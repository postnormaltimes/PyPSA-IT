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1.xml" ContentType="application/vnd.openxmlformats-officedocument.spreadsheetml.worksheet+xml"/>
  <Override PartName="/xl/tables/table17.xml" ContentType="application/vnd.openxmlformats-officedocument.spreadsheetml.table+xml"/>
  <Override PartName="/xl/worksheets/sheet22.xml" ContentType="application/vnd.openxmlformats-officedocument.spreadsheetml.worksheet+xml"/>
  <Override PartName="/xl/tables/table18.xml" ContentType="application/vnd.openxmlformats-officedocument.spreadsheetml.table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tables/table22.xml" ContentType="application/vnd.openxmlformats-officedocument.spreadsheetml.table+xml"/>
  <Override PartName="/xl/worksheets/sheet27.xml" ContentType="application/vnd.openxmlformats-officedocument.spreadsheetml.worksheet+xml"/>
  <Override PartName="/xl/tables/table23.xml" ContentType="application/vnd.openxmlformats-officedocument.spreadsheetml.table+xml"/>
  <Override PartName="/xl/worksheets/sheet28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d25c61daf1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978e08f981bc490b"/>
    <x:sheet xmlns:r="http://schemas.openxmlformats.org/officeDocument/2006/relationships" name="01_SOURCE_REGISTER" sheetId="2" r:id="Rae28fa9f6c354e3e"/>
    <x:sheet xmlns:r="http://schemas.openxmlformats.org/officeDocument/2006/relationships" name="02_STRUCTURE_MAP" sheetId="3" r:id="Rc22efd4229874c35"/>
    <x:sheet xmlns:r="http://schemas.openxmlformats.org/officeDocument/2006/relationships" name="03_TABLE_FIGURE_CATALOGUE" sheetId="4" r:id="Re9147cf0f1c64b13"/>
    <x:sheet xmlns:r="http://schemas.openxmlformats.org/officeDocument/2006/relationships" name="04_EXTERNAL_REFERENCES" sheetId="5" r:id="R4be35edbbb6b4eba"/>
    <x:sheet xmlns:r="http://schemas.openxmlformats.org/officeDocument/2006/relationships" name="99_LISTS" sheetId="6" r:id="R92ae8dd2ac534d6d"/>
    <x:sheet xmlns:r="http://schemas.openxmlformats.org/officeDocument/2006/relationships" name="05_PHASE2_SUMMARY" sheetId="7" r:id="R5c691f11dac74751"/>
    <x:sheet xmlns:r="http://schemas.openxmlformats.org/officeDocument/2006/relationships" name="06_MODEL_REQUIREMENTS" sheetId="8" r:id="Rb53a00b0fcde44a2"/>
    <x:sheet xmlns:r="http://schemas.openxmlformats.org/officeDocument/2006/relationships" name="07_PYPSA_INPUT_MAP" sheetId="9" r:id="Ra9debae00af8406c"/>
    <x:sheet xmlns:r="http://schemas.openxmlformats.org/officeDocument/2006/relationships" name="08_MODELLING_DECISIONS" sheetId="10" r:id="R1aae65d11fcf41da"/>
    <x:sheet xmlns:r="http://schemas.openxmlformats.org/officeDocument/2006/relationships" name="10_SCENARIO_CROSSWALK" sheetId="11" r:id="R6d86b098f20649a7"/>
    <x:sheet xmlns:r="http://schemas.openxmlformats.org/officeDocument/2006/relationships" name="11_DEMAND_TOTAL" sheetId="12" r:id="R7c87fc713ea64c4d"/>
    <x:sheet xmlns:r="http://schemas.openxmlformats.org/officeDocument/2006/relationships" name="12_DEMAND_SECTORAL" sheetId="13" r:id="R719272ef2d574d5a"/>
    <x:sheet xmlns:r="http://schemas.openxmlformats.org/officeDocument/2006/relationships" name="13_SCENARIO_PARAMETERS" sheetId="14" r:id="R836877286fb94392"/>
    <x:sheet xmlns:r="http://schemas.openxmlformats.org/officeDocument/2006/relationships" name="14_GEN_CAP_NATIONAL" sheetId="15" r:id="Raa49d90f66a440ab"/>
    <x:sheet xmlns:r="http://schemas.openxmlformats.org/officeDocument/2006/relationships" name="15_GEN_CAP_ZONAL" sheetId="16" r:id="Ree07e253963e4d72"/>
    <x:sheet xmlns:r="http://schemas.openxmlformats.org/officeDocument/2006/relationships" name="16_ANNUAL_BALANCE" sheetId="17" r:id="R8a725b3352274de2"/>
    <x:sheet xmlns:r="http://schemas.openxmlformats.org/officeDocument/2006/relationships" name="18_3A_EXTRACTION_LOG" sheetId="18" r:id="R7da92fc4776d49ab"/>
    <x:sheet xmlns:r="http://schemas.openxmlformats.org/officeDocument/2006/relationships" name="17_3A_QA" sheetId="19" r:id="R0a1dcc783f144738"/>
    <x:sheet xmlns:r="http://schemas.openxmlformats.org/officeDocument/2006/relationships" name="09_3A_SUMMARY" sheetId="20" r:id="Ra5cc3542af154702"/>
    <x:sheet xmlns:r="http://schemas.openxmlformats.org/officeDocument/2006/relationships" name="20_STORAGE" sheetId="21" r:id="Rd35405bebf254185"/>
    <x:sheet xmlns:r="http://schemas.openxmlformats.org/officeDocument/2006/relationships" name="21_STORAGE_ZONAL" sheetId="22" r:id="Rc8fe14cf902d44d8"/>
    <x:sheet xmlns:r="http://schemas.openxmlformats.org/officeDocument/2006/relationships" name="22_HYDRO" sheetId="23" r:id="R70ea813414ed426b"/>
    <x:sheet xmlns:r="http://schemas.openxmlformats.org/officeDocument/2006/relationships" name="23_FLEXIBILITY_CONTEXT" sheetId="24" r:id="Rc8734cc8bba44771"/>
    <x:sheet xmlns:r="http://schemas.openxmlformats.org/officeDocument/2006/relationships" name="26_3B_DECISIONS" sheetId="25" r:id="R4cabdb381e6748f3"/>
    <x:sheet xmlns:r="http://schemas.openxmlformats.org/officeDocument/2006/relationships" name="25_3B_EXTRACTION_LOG" sheetId="26" r:id="R26ed96e98c814e9e"/>
    <x:sheet xmlns:r="http://schemas.openxmlformats.org/officeDocument/2006/relationships" name="24_3B_QA" sheetId="27" r:id="Rf53dd54007ea456e"/>
    <x:sheet xmlns:r="http://schemas.openxmlformats.org/officeDocument/2006/relationships" name="19_3B_SUMMARY" sheetId="28" r:id="R035d484042a7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00"/>
    <x:numFmt numFmtId="202" formatCode="0.00000"/>
    <x:numFmt numFmtId="203" formatCode="0.00"/>
    <x:numFmt numFmtId="204" formatCode="0"/>
  </x:numFmts>
  <x:fonts count="19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24313A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b/>
      <x:sz val="12"/>
      <x:name val="Aptos"/>
    </x:font>
    <x:font>
      <x:sz val="11"/>
      <x:color rgb="FF24313A"/>
      <x:name val="Aptos"/>
    </x:font>
    <x:font>
      <x:b/>
      <x:sz val="18"/>
      <x:color rgb="FF24313A"/>
      <x:name val="Aptos"/>
    </x:font>
    <x:font>
      <x:b/>
      <x:sz val="11"/>
      <x:color rgb="FF24313A"/>
      <x:name val="Aptos"/>
    </x:font>
    <x:font>
      <x:b/>
      <x:sz val="12"/>
      <x:color rgb="FF24313A"/>
      <x:name val="Aptos"/>
    </x:font>
    <x:font>
      <x:b/>
      <x:sz val="18"/>
      <x:color rgb="FF24313A"/>
      <x:name val="Aptos Display"/>
    </x:font>
    <x:font>
      <x:i/>
      <x:sz val="10"/>
      <x:color rgb="FF24313A"/>
      <x:name val="Aptos Display"/>
    </x:font>
    <x:font>
      <x:sz val="9"/>
      <x:color rgb="FF24313A"/>
      <x:name val="Aptos"/>
    </x:font>
    <x:font>
      <x:b/>
      <x:sz val="9"/>
      <x:color rgb="FFFFFFFF"/>
      <x:name val="Aptos"/>
    </x:font>
    <x:font>
      <x:sz val="9"/>
      <x:name val="Aptos"/>
    </x:font>
    <x:font>
      <x:b/>
      <x:sz val="9"/>
      <x:name val="Aptos"/>
    </x:font>
    <x:font>
      <x:sz val="9"/>
      <x:color rgb="FF1155CC"/>
      <x:name val="Aptos"/>
    </x:font>
    <x:font>
      <x:b/>
      <x:sz val="9"/>
      <x:color rgb="FF24313A"/>
      <x:name val="Aptos"/>
    </x:font>
    <x:font>
      <x:sz val="8"/>
      <x:name val="Aptos"/>
    </x:font>
  </x:fonts>
  <x:fills count="28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DEFE4"/>
      </x:patternFill>
    </x:fill>
    <x:fill>
      <x:patternFill patternType="solid">
        <x:fgColor rgb="FFFFF0CC"/>
      </x:patternFill>
    </x:fill>
    <x:fill>
      <x:patternFill patternType="solid">
        <x:fgColor rgb="FFE7ECF0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9EFEF"/>
      </x:patternFill>
    </x:fill>
    <x:fill>
      <x:patternFill patternType="solid">
        <x:fgColor rgb="FFD9EFEF"/>
      </x:patternFill>
    </x:fill>
    <x:fill>
      <x:patternFill patternType="solid">
        <x:fgColor rgb="FFDDEFE4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FFF0CC"/>
      </x:patternFill>
    </x:fill>
    <x:fill>
      <x:patternFill patternType="solid">
        <x:fgColor rgb="FFE7ECF0"/>
      </x:patternFill>
    </x:fill>
    <x:fill>
      <x:patternFill patternType="solid">
        <x:fgColor rgb="FF163A5F"/>
      </x:patternFill>
    </x:fill>
    <x:fill>
      <x:patternFill patternType="solid">
        <x:fgColor rgb="FFDCEEF8"/>
      </x:patternFill>
    </x:fill>
    <x:fill>
      <x:patternFill patternType="solid">
        <x:fgColor rgb="FF1F6FA8"/>
      </x:patternFill>
    </x:fill>
    <x:fill>
      <x:patternFill patternType="solid">
        <x:fgColor rgb="FFF4F8FB"/>
      </x:patternFill>
    </x:fill>
    <x:fill>
      <x:patternFill patternType="solid">
        <x:fgColor rgb="FFD9EFEF"/>
      </x:patternFill>
    </x:fill>
    <x:fill>
      <x:patternFill patternType="solid">
        <x:fgColor rgb="FFFFF0CC"/>
      </x:patternFill>
    </x:fill>
  </x:fills>
  <x:borders count="5">
    <x:border/>
    <x:border/>
    <x:border/>
    <x:border/>
    <x:border/>
  </x:borders>
  <x:cellStyleXfs count="1">
    <x:xf numFmtId="0" fontId="0" fillId="0" borderId="0"/>
  </x:cellStyleXfs>
  <x:cellXfs count="2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8" fillId="5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6" fillId="6" borderId="0" xfId="0" applyNumberFormat="1" applyFont="1" applyFill="1" applyBorder="1"/>
    <x:xf numFmtId="0" fontId="6" fillId="7" borderId="0" xfId="0" applyNumberFormat="1" applyFont="1" applyFill="1" applyBorder="1"/>
    <x:xf numFmtId="0" fontId="6" fillId="8" borderId="0" xfId="0" applyNumberFormat="1" applyFont="1" applyFill="1" applyBorder="1"/>
    <x:xf numFmtId="0" fontId="7" fillId="2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/>
    <x:xf numFmtId="0" fontId="8" fillId="4" borderId="1" xfId="0" applyNumberFormat="1" applyFont="1" applyFill="1" applyBorder="1"/>
    <x:xf numFmtId="0" fontId="8" fillId="5" borderId="1" xfId="0" applyNumberFormat="1" applyFont="1" applyFill="1" applyBorder="1"/>
    <x:xf numFmtId="0" fontId="9" fillId="0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6" fillId="6" borderId="1" xfId="0" applyNumberFormat="1" applyFont="1" applyFill="1" applyBorder="1"/>
    <x:xf numFmtId="0" fontId="6" fillId="7" borderId="1" xfId="0" applyNumberFormat="1" applyFont="1" applyFill="1" applyBorder="1"/>
    <x:xf numFmtId="0" fontId="6" fillId="8" borderId="1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horizontal="left" vertical="center"/>
    </x:xf>
    <x:xf numFmtId="0" fontId="11" fillId="3" borderId="1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4" borderId="0" xfId="0" applyNumberFormat="1" applyFont="1" applyFill="1" applyBorder="1"/>
    <x:xf numFmtId="0" fontId="13" fillId="4" borderId="0" xfId="0" applyNumberFormat="1" applyFont="1" applyFill="1" applyBorder="1"/>
    <x:xf numFmtId="0" fontId="13" fillId="4" borderId="2" xfId="0" applyNumberFormat="1" applyFont="1" applyFill="1" applyBorder="1"/>
    <x:xf numFmtId="0" fontId="13" fillId="4" borderId="2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horizontal="center" wrapText="1"/>
    </x:xf>
    <x:xf numFmtId="0" fontId="13" fillId="4" borderId="2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/>
    <x:xf numFmtId="0" fontId="13" fillId="4" borderId="1" xfId="0" applyNumberFormat="1" applyFont="1" applyFill="1" applyBorder="1"/>
    <x:xf numFmtId="0" fontId="13" fillId="4" borderId="3" xfId="0" applyNumberFormat="1" applyFont="1" applyFill="1" applyBorder="1"/>
    <x:xf numFmtId="0" fontId="13" fillId="4" borderId="3" xfId="0" applyNumberFormat="1" applyFont="1" applyFill="1" applyBorder="1" applyAlignment="1">
      <x:alignment wrapText="1"/>
    </x:xf>
    <x:xf numFmtId="0" fontId="13" fillId="4" borderId="3" xfId="0" applyNumberFormat="1" applyFont="1" applyFill="1" applyBorder="1" applyAlignment="1">
      <x:alignment horizontal="center" wrapText="1"/>
    </x:xf>
    <x:xf numFmtId="0" fontId="13" fillId="4" borderId="3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wrapText="1"/>
    </x:xf>
    <x:xf numFmtId="0" fontId="12" fillId="0" borderId="1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horizontal="center"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3" fillId="4" borderId="3" xfId="0" applyNumberFormat="1" applyFont="1" applyFill="1" applyBorder="1" applyAlignment="1">
      <x:alignment horizontal="center"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horizontal="center" wrapText="1"/>
    </x:xf>
    <x:xf numFmtId="0" fontId="13" fillId="4" borderId="0" xfId="0" applyNumberFormat="1" applyFont="1" applyFill="1" applyBorder="1" applyAlignment="1">
      <x:alignment horizontal="center" vertical="center" wrapText="1"/>
    </x:xf>
    <x:xf numFmtId="0" fontId="13" fillId="4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13" fillId="9" borderId="0" xfId="0" applyNumberFormat="1" applyFont="1" applyFill="1" applyBorder="1"/>
    <x:xf numFmtId="0" fontId="14" fillId="0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/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4" xfId="0" applyNumberFormat="1" applyFont="1" applyFill="1" applyBorder="1"/>
    <x:xf numFmtId="0" fontId="13" fillId="11" borderId="4" xfId="0" applyNumberFormat="1" applyFont="1" applyFill="1" applyBorder="1" applyAlignment="1">
      <x:alignment wrapText="1"/>
    </x:xf>
    <x:xf numFmtId="0" fontId="13" fillId="11" borderId="4" xfId="0" applyNumberFormat="1" applyFont="1" applyFill="1" applyBorder="1" applyAlignment="1">
      <x:alignment horizontal="center" wrapText="1"/>
    </x:xf>
    <x:xf numFmtId="0" fontId="13" fillId="11" borderId="4" xfId="0" applyNumberFormat="1" applyFont="1" applyFill="1" applyBorder="1" applyAlignment="1">
      <x:alignment horizontal="center" vertical="center" wrapText="1"/>
    </x:xf>
    <x:xf numFmtId="0" fontId="13" fillId="11" borderId="4" xfId="0" applyNumberFormat="1" applyFont="1" applyFill="1" applyBorder="1" applyAlignment="1">
      <x:alignment horizontal="center"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/>
    <x:xf numFmtId="0" fontId="14" fillId="5" borderId="0" xfId="0" applyNumberFormat="1" applyFont="1" applyFill="1" applyBorder="1"/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wrapText="1"/>
    </x:xf>
    <x:xf numFmtId="0" fontId="12" fillId="15" borderId="0" xfId="0" applyNumberFormat="1" applyFont="1" applyFill="1" applyBorder="1" applyAlignment="1">
      <x:alignment vertical="top" wrapText="1"/>
    </x:xf>
    <x:xf numFmtId="0" fontId="17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vertical="center" wrapText="1"/>
    </x:xf>
    <x:xf numFmtId="0" fontId="12" fillId="18" borderId="0" xfId="0" applyNumberFormat="1" applyFont="1" applyFill="1" applyBorder="1" applyAlignment="1">
      <x:alignment vertical="top" wrapText="1"/>
    </x:xf>
    <x:xf numFmtId="0" fontId="13" fillId="18" borderId="0" xfId="0" applyNumberFormat="1" applyFont="1" applyFill="1" applyBorder="1" applyAlignment="1">
      <x:alignment vertical="top" wrapText="1"/>
    </x:xf>
    <x:xf numFmtId="0" fontId="13" fillId="18" borderId="0" xfId="0" applyNumberFormat="1" applyFont="1" applyFill="1" applyBorder="1" applyAlignment="1">
      <x:alignment horizontal="center" vertical="top" wrapText="1"/>
    </x:xf>
    <x:xf numFmtId="0" fontId="13" fillId="18" borderId="0" xfId="0" applyNumberFormat="1" applyFont="1" applyFill="1" applyBorder="1" applyAlignment="1">
      <x:alignment horizontal="center" vertical="center" wrapText="1"/>
    </x:xf>
    <x:xf numFmtId="200" fontId="12" fillId="0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/>
    <x:xf numFmtId="200" fontId="0" fillId="0" borderId="0" xfId="0" applyNumberFormat="1" applyFont="1" applyFill="1" applyBorder="1"/>
    <x:xf numFmtId="0" fontId="0" fillId="20" borderId="0" xfId="0" applyNumberFormat="1" applyFont="1" applyFill="1" applyBorder="1"/>
    <x:xf numFmtId="0" fontId="14" fillId="20" borderId="0" xfId="0" applyNumberFormat="1" applyFont="1" applyFill="1" applyBorder="1"/>
    <x:xf numFmtId="0" fontId="14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4" fillId="21" borderId="0" xfId="0" applyNumberFormat="1" applyFont="1" applyFill="1" applyBorder="1"/>
    <x:xf numFmtId="200" fontId="14" fillId="20" borderId="0" xfId="0" applyNumberFormat="1" applyFont="1" applyFill="1" applyBorder="1"/>
    <x:xf numFmtId="0" fontId="7" fillId="16" borderId="0" xfId="0" applyNumberFormat="1" applyFont="1" applyFill="1" applyBorder="1" applyAlignment="1">
      <x:alignment vertical="center"/>
    </x:xf>
    <x:xf numFmtId="0" fontId="8" fillId="18" borderId="0" xfId="0" applyNumberFormat="1" applyFont="1" applyFill="1" applyBorder="1"/>
    <x:xf numFmtId="0" fontId="8" fillId="19" borderId="0" xfId="0" applyNumberFormat="1" applyFont="1" applyFill="1" applyBorder="1"/>
    <x:xf numFmtId="0" fontId="8" fillId="16" borderId="0" xfId="0" applyNumberFormat="1" applyFont="1" applyFill="1" applyBorder="1"/>
    <x:xf numFmtId="200" fontId="6" fillId="0" borderId="0" xfId="0" applyNumberFormat="1" applyFont="1" applyFill="1" applyBorder="1"/>
    <x:xf numFmtId="0" fontId="12" fillId="20" borderId="0" xfId="0" applyNumberFormat="1" applyFont="1" applyFill="1" applyBorder="1" applyAlignment="1">
      <x:alignment wrapText="1"/>
    </x:xf>
    <x:xf numFmtId="0" fontId="8" fillId="21" borderId="0" xfId="0" applyNumberFormat="1" applyFont="1" applyFill="1" applyBorder="1"/>
    <x:xf numFmtId="0" fontId="12" fillId="20" borderId="0" xfId="0" applyNumberFormat="1" applyFont="1" applyFill="1" applyBorder="1"/>
    <x:xf numFmtId="200" fontId="12" fillId="20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vertical="top" wrapText="1"/>
    </x:xf>
    <x:xf numFmtId="0" fontId="17" fillId="6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vertical="top" wrapText="1"/>
    </x:xf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/>
    <x:xf numFmtId="200" fontId="14" fillId="7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/>
    <x:xf numFmtId="0" fontId="12" fillId="7" borderId="0" xfId="0" applyNumberFormat="1" applyFont="1" applyFill="1" applyBorder="1"/>
    <x:xf numFmtId="200" fontId="12" fillId="7" borderId="0" xfId="0" applyNumberFormat="1" applyFont="1" applyFill="1" applyBorder="1"/>
    <x:xf numFmtId="0" fontId="18" fillId="0" borderId="0" xfId="0" applyNumberFormat="1" applyFont="1" applyFill="1" applyBorder="1"/>
    <x:xf numFmtId="200" fontId="18" fillId="0" borderId="0" xfId="0" applyNumberFormat="1" applyFont="1" applyFill="1" applyBorder="1"/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 applyAlignment="1">
      <x:alignment vertical="center" wrapText="1"/>
    </x:xf>
    <x:xf numFmtId="0" fontId="12" fillId="24" borderId="0" xfId="0" applyNumberFormat="1" applyFont="1" applyFill="1" applyBorder="1" applyAlignment="1">
      <x:alignment vertical="top" wrapText="1"/>
    </x:xf>
    <x:xf numFmtId="0" fontId="13" fillId="24" borderId="0" xfId="0" applyNumberFormat="1" applyFont="1" applyFill="1" applyBorder="1" applyAlignment="1">
      <x:alignment vertical="top" wrapText="1"/>
    </x:xf>
    <x:xf numFmtId="0" fontId="13" fillId="24" borderId="0" xfId="0" applyNumberFormat="1" applyFont="1" applyFill="1" applyBorder="1" applyAlignment="1">
      <x:alignment horizontal="center" vertical="top" wrapText="1"/>
    </x:xf>
    <x:xf numFmtId="0" fontId="13" fillId="24" borderId="0" xfId="0" applyNumberFormat="1" applyFont="1" applyFill="1" applyBorder="1" applyAlignment="1">
      <x:alignment horizontal="center" vertical="center" wrapText="1"/>
    </x:xf>
    <x:xf numFmtId="201" fontId="12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2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2" fillId="0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0" fillId="25" borderId="0" xfId="0" applyNumberFormat="1" applyFont="1" applyFill="1" applyBorder="1"/>
    <x:xf numFmtId="0" fontId="4" fillId="25" borderId="0" xfId="0" applyNumberFormat="1" applyFont="1" applyFill="1" applyBorder="1"/>
    <x:xf numFmtId="0" fontId="0" fillId="26" borderId="0" xfId="0" applyNumberFormat="1" applyFont="1" applyFill="1" applyBorder="1"/>
    <x:xf numFmtId="0" fontId="6" fillId="26" borderId="0" xfId="0" applyNumberFormat="1" applyFont="1" applyFill="1" applyBorder="1"/>
    <x:xf numFmtId="0" fontId="6" fillId="26" borderId="0" xfId="0" applyNumberFormat="1" applyFont="1" applyFill="1" applyBorder="1" applyAlignment="1">
      <x:alignment wrapText="1"/>
    </x:xf>
    <x:xf numFmtId="0" fontId="6" fillId="26" borderId="0" xfId="0" applyNumberFormat="1" applyFont="1" applyFill="1" applyBorder="1" applyAlignment="1">
      <x:alignment vertical="center" wrapText="1"/>
    </x:xf>
    <x:xf numFmtId="0" fontId="3" fillId="22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7" borderId="0" xfId="0" applyNumberFormat="1" applyFont="1" applyFill="1" applyBorder="1"/>
    <x:xf numFmtId="0" fontId="14" fillId="27" borderId="0" xfId="0" applyNumberFormat="1" applyFont="1" applyFill="1" applyBorder="1"/>
    <x:xf numFmtId="0" fontId="14" fillId="27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7" fillId="22" borderId="0" xfId="0" applyNumberFormat="1" applyFont="1" applyFill="1" applyBorder="1" applyAlignment="1">
      <x:alignment vertical="center"/>
    </x:xf>
    <x:xf numFmtId="0" fontId="8" fillId="24" borderId="0" xfId="0" applyNumberFormat="1" applyFont="1" applyFill="1" applyBorder="1"/>
    <x:xf numFmtId="0" fontId="8" fillId="25" borderId="0" xfId="0" applyNumberFormat="1" applyFont="1" applyFill="1" applyBorder="1"/>
    <x:xf numFmtId="0" fontId="8" fillId="22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12" fillId="27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/>
    <x:xf numFmtId="0" fontId="13" fillId="24" borderId="0" xfId="0" applyNumberFormat="1" applyFont="1" applyFill="1" applyBorder="1"/>
    <x:xf numFmtId="0" fontId="13" fillId="22" borderId="0" xfId="0" applyNumberFormat="1" applyFont="1" applyFill="1" applyBorder="1"/>
  </x:cellXfs>
  <x:cellStyles count="1">
    <x:cellStyle name="Normal" xfId="0"/>
  </x:cellStyles>
  <x:dxfs count="47">
    <x:dxf>
      <x:fill>
        <x:patternFill>
          <x:bgColor rgb="FFDDEFE4"/>
        </x:patternFill>
      </x:fill>
    </x:dxf>
    <x:dxf>
      <x:fill>
        <x:patternFill>
          <x:bgColor rgb="FFDCEEF8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E7ECF0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DCEEF8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E7ECF0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DDEFE4"/>
        </x:patternFill>
      </x:fill>
    </x:dxf>
    <x:dxf>
      <x:fill>
        <x:patternFill>
          <x:bgColor rgb="FFF8D7DA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>
          <x:bgColor rgb="FFF8D7DA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DDEFE4"/>
        </x:patternFill>
      </x:fill>
    </x:dxf>
    <x:dxf>
      <x:font>
        <x:b/>
      </x:font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ill>
        <x:patternFill>
          <x:bgColor rgb="FFDDEFE4"/>
        </x:patternFill>
      </x:fill>
    </x:dxf>
    <x:dxf>
      <x:fill>
        <x:patternFill>
          <x:bgColor rgb="FFFFF0CC"/>
        </x:patternFill>
      </x:fill>
    </x:dxf>
    <x:dxf>
      <x:font>
        <x:b/>
      </x:font>
      <x:fill>
        <x:patternFill patternType="solid">
          <x:bgColor rgb="FFDDEFE4"/>
        </x:patternFill>
      </x:fill>
    </x:dxf>
    <x:dxf>
      <x:font>
        <x:b/>
      </x:font>
      <x:fill>
        <x:patternFill patternType="solid">
          <x:bgColor rgb="FFFFF0CC"/>
        </x:patternFill>
      </x:fill>
    </x:dxf>
    <x:dxf>
      <x:font>
        <x:b/>
      </x:font>
      <x:fill>
        <x:patternFill patternType="solid">
          <x:bgColor rgb="FFFFF0CC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DDEFE4"/>
        </x:patternFill>
      </x:fill>
    </x:dxf>
    <x:dxf>
      <x:fill>
        <x:patternFill patternType="solid">
          <x:bgColor rgb="FFF8D7DA"/>
        </x:patternFill>
      </x:fill>
    </x:dxf>
    <x:dxf>
      <x:font>
        <x:b/>
      </x:font>
      <x:fill>
        <x:patternFill patternType="solid">
          <x:bgColor rgb="FFDDEFE4"/>
        </x:patternFill>
      </x:fill>
    </x:dxf>
    <x:dxf>
      <x:font>
        <x:b/>
      </x:font>
      <x:fill>
        <x:patternFill patternType="solid">
          <x:bgColor rgb="FFFFF0CC"/>
        </x:patternFill>
      </x:fill>
    </x:dxf>
    <x:dxf>
      <x:font>
        <x:b/>
      </x:font>
      <x:fill>
        <x:patternFill patternType="solid">
          <x:bgColor rgb="FFDDEFE4"/>
        </x:patternFill>
      </x:fill>
    </x:dxf>
    <x:dxf>
      <x:font>
        <x:b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0a6511fc64d48" /><Relationship Type="http://schemas.openxmlformats.org/officeDocument/2006/relationships/theme" Target="/xl/theme/theme1.xml" Id="R97a0e4ed5e5d4dbd" /><Relationship Type="http://schemas.microsoft.com/office/2022/11/relationships/FeaturePropertyBag" Target="/xl/featurePropertyBag/featurePropertyBag.xml" Id="R36d78da2b95d47ee" /><Relationship Type="http://schemas.openxmlformats.org/officeDocument/2006/relationships/sharedStrings" Target="/xl/sharedStrings.xml" Id="Ref2f92b4201e4739" /><Relationship Type="http://schemas.openxmlformats.org/officeDocument/2006/relationships/worksheet" Target="/xl/worksheets/sheet1.xml" Id="R978e08f981bc490b" /><Relationship Type="http://schemas.openxmlformats.org/officeDocument/2006/relationships/worksheet" Target="/xl/worksheets/sheet2.xml" Id="Rae28fa9f6c354e3e" /><Relationship Type="http://schemas.openxmlformats.org/officeDocument/2006/relationships/worksheet" Target="/xl/worksheets/sheet3.xml" Id="Rc22efd4229874c35" /><Relationship Type="http://schemas.openxmlformats.org/officeDocument/2006/relationships/worksheet" Target="/xl/worksheets/sheet4.xml" Id="Re9147cf0f1c64b13" /><Relationship Type="http://schemas.openxmlformats.org/officeDocument/2006/relationships/worksheet" Target="/xl/worksheets/sheet5.xml" Id="R4be35edbbb6b4eba" /><Relationship Type="http://schemas.openxmlformats.org/officeDocument/2006/relationships/worksheet" Target="/xl/worksheets/sheet6.xml" Id="R92ae8dd2ac534d6d" /><Relationship Type="http://schemas.openxmlformats.org/officeDocument/2006/relationships/worksheet" Target="/xl/worksheets/sheet7.xml" Id="R5c691f11dac74751" /><Relationship Type="http://schemas.openxmlformats.org/officeDocument/2006/relationships/worksheet" Target="/xl/worksheets/sheet8.xml" Id="Rb53a00b0fcde44a2" /><Relationship Type="http://schemas.openxmlformats.org/officeDocument/2006/relationships/worksheet" Target="/xl/worksheets/sheet9.xml" Id="Ra9debae00af8406c" /><Relationship Type="http://schemas.openxmlformats.org/officeDocument/2006/relationships/worksheet" Target="/xl/worksheets/sheet10.xml" Id="R1aae65d11fcf41da" /><Relationship Type="http://schemas.openxmlformats.org/officeDocument/2006/relationships/worksheet" Target="/xl/worksheets/sheet11.xml" Id="R6d86b098f20649a7" /><Relationship Type="http://schemas.openxmlformats.org/officeDocument/2006/relationships/worksheet" Target="/xl/worksheets/sheet12.xml" Id="R7c87fc713ea64c4d" /><Relationship Type="http://schemas.openxmlformats.org/officeDocument/2006/relationships/worksheet" Target="/xl/worksheets/sheet13.xml" Id="R719272ef2d574d5a" /><Relationship Type="http://schemas.openxmlformats.org/officeDocument/2006/relationships/worksheet" Target="/xl/worksheets/sheet14.xml" Id="R836877286fb94392" /><Relationship Type="http://schemas.openxmlformats.org/officeDocument/2006/relationships/worksheet" Target="/xl/worksheets/sheet15.xml" Id="Raa49d90f66a440ab" /><Relationship Type="http://schemas.openxmlformats.org/officeDocument/2006/relationships/worksheet" Target="/xl/worksheets/sheet16.xml" Id="Ree07e253963e4d72" /><Relationship Type="http://schemas.openxmlformats.org/officeDocument/2006/relationships/worksheet" Target="/xl/worksheets/sheet17.xml" Id="R8a725b3352274de2" /><Relationship Type="http://schemas.openxmlformats.org/officeDocument/2006/relationships/worksheet" Target="/xl/worksheets/sheet18.xml" Id="R7da92fc4776d49ab" /><Relationship Type="http://schemas.openxmlformats.org/officeDocument/2006/relationships/worksheet" Target="/xl/worksheets/sheet19.xml" Id="R0a1dcc783f144738" /><Relationship Type="http://schemas.openxmlformats.org/officeDocument/2006/relationships/worksheet" Target="/xl/worksheets/sheet20.xml" Id="Ra5cc3542af154702" /><Relationship Type="http://schemas.openxmlformats.org/officeDocument/2006/relationships/worksheet" Target="/xl/worksheets/sheet21.xml" Id="Rd35405bebf254185" /><Relationship Type="http://schemas.openxmlformats.org/officeDocument/2006/relationships/worksheet" Target="/xl/worksheets/sheet22.xml" Id="Rc8fe14cf902d44d8" /><Relationship Type="http://schemas.openxmlformats.org/officeDocument/2006/relationships/worksheet" Target="/xl/worksheets/sheet23.xml" Id="R70ea813414ed426b" /><Relationship Type="http://schemas.openxmlformats.org/officeDocument/2006/relationships/worksheet" Target="/xl/worksheets/sheet24.xml" Id="Rc8734cc8bba44771" /><Relationship Type="http://schemas.openxmlformats.org/officeDocument/2006/relationships/worksheet" Target="/xl/worksheets/sheet25.xml" Id="R4cabdb381e6748f3" /><Relationship Type="http://schemas.openxmlformats.org/officeDocument/2006/relationships/worksheet" Target="/xl/worksheets/sheet26.xml" Id="R26ed96e98c814e9e" /><Relationship Type="http://schemas.openxmlformats.org/officeDocument/2006/relationships/worksheet" Target="/xl/worksheets/sheet27.xml" Id="Rf53dd54007ea456e" /><Relationship Type="http://schemas.openxmlformats.org/officeDocument/2006/relationships/worksheet" Target="/xl/worksheets/sheet28.xml" Id="R035d484042a746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c3e2fd9d19451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22df1431ada41fe" /><Relationship Type="http://schemas.openxmlformats.org/officeDocument/2006/relationships/chart" Target="/xl/drawings/charts/chart3.xml" Id="Rf9e50e18e01a41d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ddea956131c4488" /><Relationship Type="http://schemas.openxmlformats.org/officeDocument/2006/relationships/chart" Target="/xl/drawings/charts/chart5.xml" Id="R07246c3ea9f846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Requisiti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N. requisiti</c:v>
          </c:tx>
          <c:cat>
            <c:strRef>
              <c:f>'05_PHASE2_SUMMARY'!$A$13:$A$22</c:f>
              <c:strCache>
                <c:ptCount val="0"/>
              </c:strCache>
            </c:strRef>
          </c:cat>
          <c:val>
            <c:numRef>
              <c:f>'05_PHASE2_SUMMARY'!$B$13:$B$22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Fabbisogno elettrico 2040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Fabbisogno TWh</c:v>
          </c:tx>
          <c:cat>
            <c:strRef>
              <c:f>'09_3A_SUMMARY'!$A$16:$A$18</c:f>
              <c:strCache>
                <c:ptCount val="0"/>
              </c:strCache>
            </c:strRef>
          </c:cat>
          <c:val>
            <c:numRef>
              <c:f>'09_3A_SUMMARY'!$B$16:$B$18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Capacità installata 2050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FRNP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'09_3A_SUMMARY'!$B$45:$B$48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Solare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'09_3A_SUMMARY'!$C$45:$C$48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Onshore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'09_3A_SUMMARY'!$D$45:$D$48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Offshore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'09_3A_SUMMARY'!$E$45:$E$48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Nucleare GW</c:v>
          </c:tx>
          <c:cat>
            <c:strRef>
              <c:f>'09_3A_SUMMARY'!$A$45:$A$48</c:f>
              <c:strCache>
                <c:ptCount val="0"/>
              </c:strCache>
            </c:strRef>
          </c:cat>
          <c:val>
            <c:numRef>
              <c:f>'09_3A_SUMMARY'!$F$45:$F$48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Capacità energetica storage 2040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Small GWh</c:v>
          </c:tx>
          <c:cat>
            <c:strRef>
              <c:f>'19_3B_SUMMARY'!$A$45:$A$47</c:f>
              <c:strCache>
                <c:ptCount val="0"/>
              </c:strCache>
            </c:strRef>
          </c:cat>
          <c:val>
            <c:numRef>
              <c:f>'19_3B_SUMMARY'!$B$45:$B$47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Utility GWh</c:v>
          </c:tx>
          <c:cat>
            <c:strRef>
              <c:f>'19_3B_SUMMARY'!$A$45:$A$47</c:f>
              <c:strCache>
                <c:ptCount val="0"/>
              </c:strCache>
            </c:strRef>
          </c:cat>
          <c:val>
            <c:numRef>
              <c:f>'19_3B_SUMMARY'!$C$45:$C$47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CM GWh</c:v>
          </c:tx>
          <c:cat>
            <c:strRef>
              <c:f>'19_3B_SUMMARY'!$A$45:$A$47</c:f>
              <c:strCache>
                <c:ptCount val="0"/>
              </c:strCache>
            </c:strRef>
          </c:cat>
          <c:val>
            <c:numRef>
              <c:f>'19_3B_SUMMARY'!$D$45:$D$47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Crescita dei flexibility needs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Daily</c:v>
          </c:tx>
          <c:cat>
            <c:strRef>
              <c:f>'19_3B_SUMMARY'!$F$45:$F$48</c:f>
              <c:strCache>
                <c:ptCount val="0"/>
              </c:strCache>
            </c:strRef>
          </c:cat>
          <c:val>
            <c:numRef>
              <c:f>'19_3B_SUMMARY'!$G$45:$G$48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Weekly</c:v>
          </c:tx>
          <c:cat>
            <c:strRef>
              <c:f>'19_3B_SUMMARY'!$F$45:$F$48</c:f>
              <c:strCache>
                <c:ptCount val="0"/>
              </c:strCache>
            </c:strRef>
          </c:cat>
          <c:val>
            <c:numRef>
              <c:f>'19_3B_SUMMARY'!$H$45:$H$48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2"/>
          <c:order val="2"/>
          <c:tx>
            <c:v>Monthly</c:v>
          </c:tx>
          <c:cat>
            <c:strRef>
              <c:f>'19_3B_SUMMARY'!$F$45:$F$48</c:f>
              <c:strCache>
                <c:ptCount val="0"/>
              </c:strCache>
            </c:strRef>
          </c:cat>
          <c:val>
            <c:numRef>
              <c:f>'19_3B_SUMMARY'!$I$45:$I$48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c3e2fd9d1945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2df1431ada41fe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e50e18e01a41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dea956131c4488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246c3ea9f846b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urceRegisterTable" displayName="SourceRegisterTable" ref="A4:P12" headerRowCount="1">
  <x:tableColumns count="16">
    <x:tableColumn id="1" name="Source ID"/>
    <x:tableColumn id="2" name="Titolo"/>
    <x:tableColumn id="3" name="Autore"/>
    <x:tableColumn id="4" name="Anno"/>
    <x:tableColumn id="5" name="Pagine"/>
    <x:tableColumn id="6" name="Tipo documento"/>
    <x:tableColumn id="7" name="Versione/data"/>
    <x:tableColumn id="8" name="Ruolo principale"/>
    <x:tableColumn id="9" name="Scenari"/>
    <x:tableColumn id="10" name="Anni coperti"/>
    <x:tableColumn id="11" name="Geografia"/>
    <x:tableColumn id="12" name="Tecnologie"/>
    <x:tableColumn id="13" name="Contenuto quantitativo"/>
    <x:tableColumn id="14" name="Leggibilità"/>
    <x:tableColumn id="15" name="Priorità"/>
    <x:tableColumn id="16" name="Limiti/sezioni secondarie"/>
  </x:tableColumns>
  <x:tableStyleInfo name="TableStyleMedium2" showRowStripes="1"/>
</x:table>
</file>

<file path=xl/tables/table2.xml><?xml version="1.0" encoding="utf-8"?>
<x:table xmlns:x="http://schemas.openxmlformats.org/spreadsheetml/2006/main" id="2" name="StructureMapTable" displayName="StructureMapTable" ref="A4:G78" headerRowCount="1">
  <x:tableColumns count="7">
    <x:tableColumn id="1" name="Source ID"/>
    <x:tableColumn id="2" name="Documento"/>
    <x:tableColumn id="3" name="Sezione"/>
    <x:tableColumn id="4" name="Pagine stampate"/>
    <x:tableColumn id="5" name="Blocchi del modello"/>
    <x:tableColumn id="6" name="Priorità"/>
    <x:tableColumn id="7" name="Uso previsto / cautela"/>
  </x:tableColumns>
  <x:tableStyleInfo name="TableStyleMedium2" showRowStripes="1"/>
</x:table>
</file>

<file path=xl/tables/table3.xml><?xml version="1.0" encoding="utf-8"?>
<x:table xmlns:x="http://schemas.openxmlformats.org/spreadsheetml/2006/main" id="3" name="TableFigureCatalogue" displayName="TableFigureCatalogue" ref="A4:N392" headerRowCount="1">
  <x:tableColumns count="14">
    <x:tableColumn id="1" name="Catalogue ID"/>
    <x:tableColumn id="2" name="Source ID"/>
    <x:tableColumn id="3" name="Documento"/>
    <x:tableColumn id="4" name="Tipo"/>
    <x:tableColumn id="5" name="Numero"/>
    <x:tableColumn id="6" name="Pagina PDF"/>
    <x:tableColumn id="7" name="Pagina stampata"/>
    <x:tableColumn id="8" name="Sezione"/>
    <x:tableColumn id="9" name="Titolo"/>
    <x:tableColumn id="10" name="Tema"/>
    <x:tableColumn id="11" name="Priorità"/>
    <x:tableColumn id="12" name="Metodo previsto"/>
    <x:tableColumn id="13" name="Rischio"/>
    <x:tableColumn id="14" name="Stato"/>
  </x:tableColumns>
  <x:tableStyleInfo name="TableStyleMedium2" showRowStripes="1"/>
</x:table>
</file>

<file path=xl/tables/table4.xml><?xml version="1.0" encoding="utf-8"?>
<x:table xmlns:x="http://schemas.openxmlformats.org/spreadsheetml/2006/main" id="4" name="ExternalReferencesTable" displayName="ExternalReferencesTable" ref="A4:I49" headerRowCount="1">
  <x:tableColumns count="9">
    <x:tableColumn id="1" name="Ref ID"/>
    <x:tableColumn id="2" name="Riferimento"/>
    <x:tableColumn id="3" name="Editore"/>
    <x:tableColumn id="4" name="Anno"/>
    <x:tableColumn id="5" name="Tipo"/>
    <x:tableColumn id="6" name="Citato in"/>
    <x:tableColumn id="7" name="Uso previsto"/>
    <x:tableColumn id="8" name="Priorità"/>
    <x:tableColumn id="9" name="Stato"/>
  </x:tableColumns>
  <x:tableStyleInfo name="TableStyleMedium2" showRowStripes="1"/>
</x:table>
</file>

<file path=xl/tables/table5.xml><?xml version="1.0" encoding="utf-8"?>
<x:table xmlns:x="http://schemas.openxmlformats.org/spreadsheetml/2006/main" id="5" name="ModelRequirementsTable" displayName="ModelRequirementsTable" ref="A4:X138" headerRowCount="1">
  <x:tableColumns count="24">
    <x:tableColumn id="1" name="Requirement ID"/>
    <x:tableColumn id="2" name="Categoria"/>
    <x:tableColumn id="3" name="Sottocategoria"/>
    <x:tableColumn id="4" name="Variabile"/>
    <x:tableColumn id="5" name="Descrizione"/>
    <x:tableColumn id="6" name="Unità"/>
    <x:tableColumn id="7" name="Anni"/>
    <x:tableColumn id="8" name="Scenari"/>
    <x:tableColumn id="9" name="Granularità temporale"/>
    <x:tableColumn id="10" name="Granularità geografica"/>
    <x:tableColumn id="11" name="Tecnologie"/>
    <x:tableColumn id="12" name="Componente PyPSA"/>
    <x:tableColumn id="13" name="Campo/i PyPSA"/>
    <x:tableColumn id="14" name="Formato input atteso"/>
    <x:tableColumn id="15" name="Obbligatorio"/>
    <x:tableColumn id="16" name="Model-critical"/>
    <x:tableColumn id="17" name="Fonte primaria"/>
    <x:tableColumn id="18" name="Fonte secondaria"/>
    <x:tableColumn id="19" name="Metodo di derivazione"/>
    <x:tableColumn id="20" name="Stato"/>
    <x:tableColumn id="21" name="Target qualità"/>
    <x:tableColumn id="22" name="Decision ID"/>
    <x:tableColumn id="23" name="Richiesto entro"/>
    <x:tableColumn id="24" name="Note"/>
  </x:tableColumns>
  <x:tableStyleInfo name="TableStyleMedium2" showRowStripes="1"/>
</x:table>
</file>

<file path=xl/tables/table6.xml><?xml version="1.0" encoding="utf-8"?>
<x:table xmlns:x="http://schemas.openxmlformats.org/spreadsheetml/2006/main" id="6" name="PyPSAInputMapTable" displayName="PyPSAInputMapTable" ref="A4:O39" headerRowCount="1">
  <x:tableColumns count="15">
    <x:tableColumn id="1" name="Map ID"/>
    <x:tableColumn id="2" name="Blocco input"/>
    <x:tableColumn id="3" name="Concetto"/>
    <x:tableColumn id="4" name="Componente PyPSA"/>
    <x:tableColumn id="5" name="Statico / serie"/>
    <x:tableColumn id="6" name="Campo/i"/>
    <x:tableColumn id="7" name="Unità"/>
    <x:tableColumn id="8" name="Convenzione segno"/>
    <x:tableColumn id="9" name="Trattamento dispatch-only"/>
    <x:tableColumn id="10" name="Trasformazione"/>
    <x:tableColumn id="11" name="Fonte prevista"/>
    <x:tableColumn id="12" name="Decision ID"/>
    <x:tableColumn id="13" name="Controllo QA"/>
    <x:tableColumn id="14" name="Documentazione ufficiale"/>
    <x:tableColumn id="15" name="Stato"/>
  </x:tableColumns>
  <x:tableStyleInfo name="TableStyleMedium2" showRowStripes="1"/>
</x:table>
</file>

<file path=xl/tables/table7.xml><?xml version="1.0" encoding="utf-8"?>
<x:table xmlns:x="http://schemas.openxmlformats.org/spreadsheetml/2006/main" id="7" name="ModellingDecisionsTable" displayName="ModellingDecisionsTable" ref="A4:L40" headerRowCount="1">
  <x:tableColumns count="12">
    <x:tableColumn id="1" name="Decision ID"/>
    <x:tableColumn id="2" name="Tema"/>
    <x:tableColumn id="3" name="Domanda decisionale"/>
    <x:tableColumn id="4" name="Default raccomandato"/>
    <x:tableColumn id="5" name="Razionale"/>
    <x:tableColumn id="6" name="Alternative"/>
    <x:tableColumn id="7" name="Impatto sui risultati"/>
    <x:tableColumn id="8" name="Richiesta entro"/>
    <x:tableColumn id="9" name="Bloccante ora"/>
    <x:tableColumn id="10" name="Stato"/>
    <x:tableColumn id="11" name="Decisione utente"/>
    <x:tableColumn id="12" name="Nota implementativa"/>
  </x:tableColumns>
  <x:tableStyleInfo name="TableStyleMedium2" showRowStripes="1"/>
</x:table>
</file>

<file path=xl/tables/table8.xml><?xml version="1.0" encoding="utf-8"?>
<x:table xmlns:x="http://schemas.openxmlformats.org/spreadsheetml/2006/main" id="8" name="ScenarioCrosswalk3A" displayName="ScenarioCrosswalk3A" ref="A4:N17" headerRowCount="1">
  <x:tableColumns count="14">
    <x:tableColumn id="1" name="Scenario ID"/>
    <x:tableColumn id="2" name="Etichetta"/>
    <x:tableColumn id="3" name="Anno"/>
    <x:tableColumn id="4" name="Famiglia"/>
    <x:tableColumn id="5" name="Tipo evidenza"/>
    <x:tableColumn id="6" name="Status policy"/>
    <x:tableColumn id="7" name="Origine"/>
    <x:tableColumn id="8" name="Ruolo elettrico"/>
    <x:tableColumn id="9" name="Relazione"/>
    <x:tableColumn id="10" name="Uso nel progetto"/>
    <x:tableColumn id="11" name="Fonte"/>
    <x:tableColumn id="12" name="Pagine PDF"/>
    <x:tableColumn id="13" name="Pagine stampate"/>
    <x:tableColumn id="14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DemandTotal3A" displayName="DemandTotal3A" ref="A4:R77" headerRowCount="1">
  <x:tableColumns count="18">
    <x:tableColumn id="1" name="Record ID"/>
    <x:tableColumn id="2" name="Scenario ID"/>
    <x:tableColumn id="3" name="Anno"/>
    <x:tableColumn id="4" name="Scenario"/>
    <x:tableColumn id="5" name="Voce"/>
    <x:tableColumn id="6" name="Valore"/>
    <x:tableColumn id="7" name="Unità"/>
    <x:tableColumn id="8" name="Geografia"/>
    <x:tableColumn id="9" name="Perimetro"/>
    <x:tableColumn id="10" name="Tipo evidenza"/>
    <x:tableColumn id="11" name="Fonte"/>
    <x:tableColumn id="12" name="File fonte"/>
    <x:tableColumn id="13" name="Pagina PDF"/>
    <x:tableColumn id="14" name="Pagina stampata"/>
    <x:tableColumn id="15" name="Tabella/Figura"/>
    <x:tableColumn id="16" name="Metodo"/>
    <x:tableColumn id="17" name="Affidabilità"/>
    <x:tableColumn id="18" name="Note"/>
  </x:tableColumns>
  <x:tableStyleInfo name="TableStyleMedium2" showRowStripes="1"/>
</x:table>
</file>

<file path=xl/tables/table10.xml><?xml version="1.0" encoding="utf-8"?>
<x:table xmlns:x="http://schemas.openxmlformats.org/spreadsheetml/2006/main" id="10" name="DemandSector3A" displayName="DemandSector3A" ref="A4:R46" headerRowCount="1">
  <x:tableColumns count="18">
    <x:tableColumn id="1" name="Record ID"/>
    <x:tableColumn id="2" name="Scenario ID"/>
    <x:tableColumn id="3" name="Anno"/>
    <x:tableColumn id="4" name="Scenario"/>
    <x:tableColumn id="5" name="Voce"/>
    <x:tableColumn id="6" name="Valore"/>
    <x:tableColumn id="7" name="Unità"/>
    <x:tableColumn id="8" name="Geografia"/>
    <x:tableColumn id="9" name="Perimetro"/>
    <x:tableColumn id="10" name="Tipo evidenza"/>
    <x:tableColumn id="11" name="Fonte"/>
    <x:tableColumn id="12" name="File fonte"/>
    <x:tableColumn id="13" name="Pagina PDF"/>
    <x:tableColumn id="14" name="Pagina stampata"/>
    <x:tableColumn id="15" name="Tabella/Figura"/>
    <x:tableColumn id="16" name="Metodo"/>
    <x:tableColumn id="17" name="Affidabilità"/>
    <x:tableColumn id="18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ScenarioParameters3A" displayName="ScenarioParameters3A" ref="A4:R20" headerRowCount="1">
  <x:tableColumns count="18">
    <x:tableColumn id="1" name="Record ID"/>
    <x:tableColumn id="2" name="Gruppo"/>
    <x:tableColumn id="3" name="Parametro"/>
    <x:tableColumn id="4" name="Anno"/>
    <x:tableColumn id="5" name="Valore"/>
    <x:tableColumn id="6" name="Unità"/>
    <x:tableColumn id="7" name="Base prezzi"/>
    <x:tableColumn id="8" name="Scenari applicabili"/>
    <x:tableColumn id="9" name="Tipo evidenza"/>
    <x:tableColumn id="10" name="Uso modello"/>
    <x:tableColumn id="11" name="Fonte"/>
    <x:tableColumn id="12" name="File fonte"/>
    <x:tableColumn id="13" name="Pagina PDF"/>
    <x:tableColumn id="14" name="Pagina stampata"/>
    <x:tableColumn id="15" name="Tabella/Figura"/>
    <x:tableColumn id="16" name="Metodo"/>
    <x:tableColumn id="17" name="Affidabilità"/>
    <x:tableColumn id="18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GenCapNational3A" displayName="GenCapNational3A" ref="A4:W92" headerRowCount="1">
  <x:tableColumns count="23">
    <x:tableColumn id="1" name="Record ID"/>
    <x:tableColumn id="2" name="Scenario ID"/>
    <x:tableColumn id="3" name="Anno"/>
    <x:tableColumn id="4" name="Scenario"/>
    <x:tableColumn id="5" name="Gruppo tecnologia"/>
    <x:tableColumn id="6" name="Tecnologia"/>
    <x:tableColumn id="7" name="Sottotecnologia"/>
    <x:tableColumn id="8" name="Min"/>
    <x:tableColumn id="9" name="Valore"/>
    <x:tableColumn id="10" name="Max"/>
    <x:tableColumn id="11" name="Unità"/>
    <x:tableColumn id="12" name="Geografia"/>
    <x:tableColumn id="13" name="Perimetro"/>
    <x:tableColumn id="14" name="Tipo evidenza"/>
    <x:tableColumn id="15" name="Fonte"/>
    <x:tableColumn id="16" name="File fonte"/>
    <x:tableColumn id="17" name="Pagina PDF"/>
    <x:tableColumn id="18" name="Pagina stampata"/>
    <x:tableColumn id="19" name="Tabella/Figura"/>
    <x:tableColumn id="20" name="Metodo"/>
    <x:tableColumn id="21" name="Affidabilità"/>
    <x:tableColumn id="22" name="Uso modello"/>
    <x:tableColumn id="23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GenCapZonal3A" displayName="GenCapZonal3A" ref="A4:T256" headerRowCount="1">
  <x:tableColumns count="20">
    <x:tableColumn id="1" name="Record ID"/>
    <x:tableColumn id="2" name="Scenario ID"/>
    <x:tableColumn id="3" name="Anno"/>
    <x:tableColumn id="4" name="Scenario"/>
    <x:tableColumn id="5" name="Zona"/>
    <x:tableColumn id="6" name="Gruppo tecnologia"/>
    <x:tableColumn id="7" name="Tecnologia"/>
    <x:tableColumn id="8" name="Categoria fonte"/>
    <x:tableColumn id="9" name="Valore"/>
    <x:tableColumn id="10" name="Unità"/>
    <x:tableColumn id="11" name="Tipo evidenza"/>
    <x:tableColumn id="12" name="Fonte"/>
    <x:tableColumn id="13" name="File fonte"/>
    <x:tableColumn id="14" name="Pagina PDF"/>
    <x:tableColumn id="15" name="Pagina stampata"/>
    <x:tableColumn id="16" name="Tabella/Figura"/>
    <x:tableColumn id="17" name="Metodo"/>
    <x:tableColumn id="18" name="Affidabilità"/>
    <x:tableColumn id="19" name="Uso modello"/>
    <x:tableColumn id="20" name="Note"/>
  </x:tableColumns>
  <x:tableStyleInfo name="TableStyleMedium2" showRowStripes="1"/>
</x:table>
</file>

<file path=xl/tables/table14.xml><?xml version="1.0" encoding="utf-8"?>
<x:table xmlns:x="http://schemas.openxmlformats.org/spreadsheetml/2006/main" id="14" name="AnnualBalance3A" displayName="AnnualBalance3A" ref="A4:Q199" headerRowCount="1">
  <x:tableColumns count="17">
    <x:tableColumn id="1" name="Record ID"/>
    <x:tableColumn id="2" name="Scenario ID"/>
    <x:tableColumn id="3" name="Anno"/>
    <x:tableColumn id="4" name="Scenario"/>
    <x:tableColumn id="5" name="Voce"/>
    <x:tableColumn id="6" name="Valore"/>
    <x:tableColumn id="7" name="Unità"/>
    <x:tableColumn id="8" name="Geografia"/>
    <x:tableColumn id="9" name="Tipo evidenza"/>
    <x:tableColumn id="10" name="Fonte"/>
    <x:tableColumn id="11" name="File fonte"/>
    <x:tableColumn id="12" name="Pagina PDF"/>
    <x:tableColumn id="13" name="Pagina stampata"/>
    <x:tableColumn id="14" name="Tabella/Figura"/>
    <x:tableColumn id="15" name="Metodo"/>
    <x:tableColumn id="16" name="Affidabilità"/>
    <x:tableColumn id="17" name="Note"/>
  </x:tableColumns>
  <x:tableStyleInfo name="TableStyleMedium2" showRowStripes="1"/>
</x:table>
</file>

<file path=xl/tables/table15.xml><?xml version="1.0" encoding="utf-8"?>
<x:table xmlns:x="http://schemas.openxmlformats.org/spreadsheetml/2006/main" id="15" name="ExtractionLog3A" displayName="ExtractionLog3A" ref="A4:I20" headerRowCount="1">
  <x:tableColumns count="9">
    <x:tableColumn id="1" name="Extraction ID"/>
    <x:tableColumn id="2" name="Fonte"/>
    <x:tableColumn id="3" name="Contenuto"/>
    <x:tableColumn id="4" name="Pagine PDF"/>
    <x:tableColumn id="5" name="Tabella/Figura"/>
    <x:tableColumn id="6" name="Blocco output"/>
    <x:tableColumn id="7" name="Stato"/>
    <x:tableColumn id="8" name="Metodo"/>
    <x:tableColumn id="9" name="Note"/>
  </x:tableColumns>
  <x:tableStyleInfo name="TableStyleMedium2" showRowStripes="1"/>
</x:table>
</file>

<file path=xl/tables/table16.xml><?xml version="1.0" encoding="utf-8"?>
<x:table xmlns:x="http://schemas.openxmlformats.org/spreadsheetml/2006/main" id="16" name="QA3A" displayName="QA3A" ref="A4:K42" headerRowCount="1">
  <x:tableColumns count="11">
    <x:tableColumn id="1" name="QA ID"/>
    <x:tableColumn id="2" name="Scenario ID"/>
    <x:tableColumn id="3" name="Controllo"/>
    <x:tableColumn id="4" name="Metrica"/>
    <x:tableColumn id="5" name="Atteso"/>
    <x:tableColumn id="6" name="Calcolato"/>
    <x:tableColumn id="7" name="Differenza"/>
    <x:tableColumn id="8" name="Tolleranza"/>
    <x:tableColumn id="9" name="Stato"/>
    <x:tableColumn id="10" name="Note"/>
    <x:tableColumn id="11" name="Logica"/>
  </x:tableColumns>
  <x:tableStyleInfo name="TableStyleMedium2" showRowStripes="1"/>
</x:table>
</file>

<file path=xl/tables/table17.xml><?xml version="1.0" encoding="utf-8"?>
<x:table xmlns:x="http://schemas.openxmlformats.org/spreadsheetml/2006/main" id="17" name="Storage3B" displayName="Storage3B" ref="A4:AC62" headerRowCount="1">
  <x:tableColumns count="29">
    <x:tableColumn id="1" name="Record ID"/>
    <x:tableColumn id="2" name="Scenario ID"/>
    <x:tableColumn id="3" name="Anno"/>
    <x:tableColumn id="4" name="Scenario"/>
    <x:tableColumn id="5" name="Geografia"/>
    <x:tableColumn id="6" name="Zona"/>
    <x:tableColumn id="7" name="Classe storage"/>
    <x:tableColumn id="8" name="Tecnologia"/>
    <x:tableColumn id="9" name="Status"/>
    <x:tableColumn id="10" name="Energia GWh"/>
    <x:tableColumn id="11" name="Potenza carica GW"/>
    <x:tableColumn id="12" name="Potenza scarica GW"/>
    <x:tableColumn id="13" name="Durata min h"/>
    <x:tableColumn id="14" name="Durata base h"/>
    <x:tableColumn id="15" name="Durata max h"/>
    <x:tableColumn id="16" name="Potenza derivata min GW"/>
    <x:tableColumn id="17" name="Potenza derivata base GW"/>
    <x:tableColumn id="18" name="Potenza derivata max GW"/>
    <x:tableColumn id="19" name="Durata implicita E/P h"/>
    <x:tableColumn id="20" name="Fonte"/>
    <x:tableColumn id="21" name="File fonte"/>
    <x:tableColumn id="22" name="Pagina PDF"/>
    <x:tableColumn id="23" name="Pagina stampata"/>
    <x:tableColumn id="24" name="Tabella/Figura"/>
    <x:tableColumn id="25" name="Tipo evidenza"/>
    <x:tableColumn id="26" name="Metodo"/>
    <x:tableColumn id="27" name="Affidabilità"/>
    <x:tableColumn id="28" name="Trattamento modello"/>
    <x:tableColumn id="29" name="Note"/>
  </x:tableColumns>
  <x:tableStyleInfo name="TableStyleMedium2" showRowStripes="1"/>
</x:table>
</file>

<file path=xl/tables/table18.xml><?xml version="1.0" encoding="utf-8"?>
<x:table xmlns:x="http://schemas.openxmlformats.org/spreadsheetml/2006/main" id="18" name="StorageZonal3B" displayName="StorageZonal3B" ref="A4:V256" headerRowCount="1">
  <x:tableColumns count="22">
    <x:tableColumn id="1" name="Record ID"/>
    <x:tableColumn id="2" name="Scenario ID"/>
    <x:tableColumn id="3" name="Anno"/>
    <x:tableColumn id="4" name="Scenario"/>
    <x:tableColumn id="5" name="Zona"/>
    <x:tableColumn id="6" name="Classe storage"/>
    <x:tableColumn id="7" name="Energia GWh"/>
    <x:tableColumn id="8" name="Esclude pompaggi esistenti"/>
    <x:tableColumn id="9" name="Durata min h"/>
    <x:tableColumn id="10" name="Durata max h"/>
    <x:tableColumn id="11" name="Potenza derivata min GW"/>
    <x:tableColumn id="12" name="Potenza derivata max GW"/>
    <x:tableColumn id="13" name="Fonte"/>
    <x:tableColumn id="14" name="File fonte"/>
    <x:tableColumn id="15" name="Pagina PDF"/>
    <x:tableColumn id="16" name="Pagina stampata"/>
    <x:tableColumn id="17" name="Tabella/Figura"/>
    <x:tableColumn id="18" name="Tipo evidenza"/>
    <x:tableColumn id="19" name="Metodo"/>
    <x:tableColumn id="20" name="Affidabilità"/>
    <x:tableColumn id="21" name="Uso modello"/>
    <x:tableColumn id="22" name="Note"/>
  </x:tableColumns>
  <x:tableStyleInfo name="TableStyleMedium2" showRowStripes="1"/>
</x:table>
</file>

<file path=xl/tables/table19.xml><?xml version="1.0" encoding="utf-8"?>
<x:table xmlns:x="http://schemas.openxmlformats.org/spreadsheetml/2006/main" id="19" name="Hydro3B" displayName="Hydro3B" ref="A4:U71" headerRowCount="1">
  <x:tableColumns count="21">
    <x:tableColumn id="1" name="Record ID"/>
    <x:tableColumn id="2" name="Scenario ID"/>
    <x:tableColumn id="3" name="Anno"/>
    <x:tableColumn id="4" name="Scenario"/>
    <x:tableColumn id="5" name="Geografia"/>
    <x:tableColumn id="6" name="Zona"/>
    <x:tableColumn id="7" name="Classe idro"/>
    <x:tableColumn id="8" name="Metrica"/>
    <x:tableColumn id="9" name="Valore"/>
    <x:tableColumn id="10" name="Unità"/>
    <x:tableColumn id="11" name="Status"/>
    <x:tableColumn id="12" name="Fonte"/>
    <x:tableColumn id="13" name="File fonte"/>
    <x:tableColumn id="14" name="Pagina PDF"/>
    <x:tableColumn id="15" name="Pagina stampata"/>
    <x:tableColumn id="16" name="Tabella/Figura"/>
    <x:tableColumn id="17" name="Tipo evidenza"/>
    <x:tableColumn id="18" name="Metodo"/>
    <x:tableColumn id="19" name="Affidabilità"/>
    <x:tableColumn id="20" name="Uso modello"/>
    <x:tableColumn id="21" name="Note"/>
  </x:tableColumns>
  <x:tableStyleInfo name="TableStyleMedium2" showRowStripes="1"/>
</x:table>
</file>

<file path=xl/tables/table20.xml><?xml version="1.0" encoding="utf-8"?>
<x:table xmlns:x="http://schemas.openxmlformats.org/spreadsheetml/2006/main" id="20" name="Flexibility3B" displayName="Flexibility3B" ref="A4:U100" headerRowCount="1">
  <x:tableColumns count="21">
    <x:tableColumn id="1" name="Record ID"/>
    <x:tableColumn id="2" name="Scenario ID"/>
    <x:tableColumn id="3" name="Anno"/>
    <x:tableColumn id="4" name="Scenario"/>
    <x:tableColumn id="5" name="Scala temporale"/>
    <x:tableColumn id="6" name="Categoria"/>
    <x:tableColumn id="7" name="Metrica"/>
    <x:tableColumn id="8" name="Operatore"/>
    <x:tableColumn id="9" name="Valore"/>
    <x:tableColumn id="10" name="Unità"/>
    <x:tableColumn id="11" name="Status"/>
    <x:tableColumn id="12" name="Fonte"/>
    <x:tableColumn id="13" name="File fonte"/>
    <x:tableColumn id="14" name="Pagina PDF"/>
    <x:tableColumn id="15" name="Pagina stampata"/>
    <x:tableColumn id="16" name="Tabella/Figura"/>
    <x:tableColumn id="17" name="Tipo evidenza"/>
    <x:tableColumn id="18" name="Metodo"/>
    <x:tableColumn id="19" name="Affidabilità"/>
    <x:tableColumn id="20" name="Uso modello"/>
    <x:tableColumn id="21" name="Note"/>
  </x:tableColumns>
  <x:tableStyleInfo name="TableStyleMedium2" showRowStripes="1"/>
</x:table>
</file>

<file path=xl/tables/table21.xml><?xml version="1.0" encoding="utf-8"?>
<x:table xmlns:x="http://schemas.openxmlformats.org/spreadsheetml/2006/main" id="21" name="Decisions3B" displayName="Decisions3B" ref="A4:F13" headerRowCount="1">
  <x:tableColumns count="6">
    <x:tableColumn id="1" name="ID"/>
    <x:tableColumn id="2" name="Tema"/>
    <x:tableColumn id="3" name="Impostazione raccomandata"/>
    <x:tableColumn id="4" name="Status"/>
    <x:tableColumn id="5" name="Bloccante"/>
    <x:tableColumn id="6" name="Motivazione"/>
  </x:tableColumns>
  <x:tableStyleInfo name="TableStyleMedium2" showRowStripes="1"/>
</x:table>
</file>

<file path=xl/tables/table22.xml><?xml version="1.0" encoding="utf-8"?>
<x:table xmlns:x="http://schemas.openxmlformats.org/spreadsheetml/2006/main" id="22" name="ExtractionLog3B" displayName="ExtractionLog3B" ref="A4:I17" headerRowCount="1">
  <x:tableColumns count="9">
    <x:tableColumn id="1" name="Extraction ID"/>
    <x:tableColumn id="2" name="Fonte"/>
    <x:tableColumn id="3" name="Contenuto"/>
    <x:tableColumn id="4" name="Pagine PDF"/>
    <x:tableColumn id="5" name="Tabella/Figura"/>
    <x:tableColumn id="6" name="Blocco output"/>
    <x:tableColumn id="7" name="Stato"/>
    <x:tableColumn id="8" name="Metodo"/>
    <x:tableColumn id="9" name="Note"/>
  </x:tableColumns>
  <x:tableStyleInfo name="TableStyleMedium2" showRowStripes="1"/>
</x:table>
</file>

<file path=xl/tables/table23.xml><?xml version="1.0" encoding="utf-8"?>
<x:table xmlns:x="http://schemas.openxmlformats.org/spreadsheetml/2006/main" id="23" name="QA3B" displayName="QA3B" ref="A4:K50" headerRowCount="1">
  <x:tableColumns count="11">
    <x:tableColumn id="1" name="QA ID"/>
    <x:tableColumn id="2" name="Tipo controllo"/>
    <x:tableColumn id="3" name="Scenario ID"/>
    <x:tableColumn id="4" name="Metrica"/>
    <x:tableColumn id="5" name="Atteso"/>
    <x:tableColumn id="6" name="Calcolato"/>
    <x:tableColumn id="7" name="Differenza"/>
    <x:tableColumn id="8" name="Tolleranza"/>
    <x:tableColumn id="9" name="Stato"/>
    <x:tableColumn id="10" name="Note"/>
    <x:tableColumn id="11" name="Logica"/>
  </x:tableColumns>
  <x:tableStyleInfo name="TableStyleMedium2" showRowStripes="1"/>
</x:table>
</file>

<file path=xl/theme/theme1.xml><?xml version="1.0" encoding="utf-8"?>
<a:theme xmlns:a="http://schemas.openxmlformats.org/drawingml/2006/main" name="Research">
  <a:themeElements>
    <a:clrScheme name="Research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Research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5fc68d502c48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4ff714d9cf48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22cdea07e341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606780db124d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f4b0aea8efba48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7ec8c682a36541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3cc256d42d88431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e2bd278cf1054c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84c683fd4c3408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2252daa2517748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80f03bbdc6a4aa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4ca666b37c844f6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9d33788ae4f646c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96568c01a2c44f3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bdd25317cb3e439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1adccd95e86241d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b9da932f960a4f1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.xml" Id="Re5705014c3ce4af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7.xml" Id="Re586a6406d56472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8.xml" Id="Rd85af623a93c457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9.xml" Id="Rfc762528d6764ca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0.xml" Id="R6ee14b78a6b14b9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1.xml" Id="R581e618385a5468e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2.xml" Id="R4386b0dfa8874137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3.xml" Id="R0fa3be521e5d4886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3.xml" Id="Rc2e884dcf7654ed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62" t="str">
        <x:v>Fase 1 — Inventario documentale Terna–PNIEC</x:v>
      </x:c>
      <x:c r="B1" s="62"/>
      <x:c r="C1" s="62"/>
      <x:c r="D1" s="62"/>
      <x:c r="E1" s="62"/>
      <x:c r="F1" s="62"/>
      <x:c r="G1" s="62"/>
      <x:c r="H1" s="62"/>
    </x:row>
    <x:row r="2" ht="28" customHeight="1">
      <x:c r="A2" s="63" t="str">
        <x:v>Modello PyPSA-Eur per il mercato spot italiano, orizzonti 2040 e 2050</x:v>
      </x:c>
      <x:c r="B2" s="63"/>
      <x:c r="C2" s="63"/>
      <x:c r="D2" s="63"/>
      <x:c r="E2" s="63"/>
      <x:c r="F2" s="63"/>
      <x:c r="G2" s="63"/>
      <x:c r="H2" s="63"/>
    </x:row>
    <x:row r="3">
      <x:c r="A3" s="45"/>
      <x:c r="B3" s="45"/>
      <x:c r="C3" s="45"/>
      <x:c r="D3" s="45"/>
      <x:c r="E3" s="45"/>
      <x:c r="F3" s="45"/>
      <x:c r="G3" s="45"/>
      <x:c r="H3" s="45"/>
    </x:row>
    <x:row r="4">
      <x:c r="A4" s="46" t="str">
        <x:v>Indicatore</x:v>
      </x:c>
      <x:c r="B4" s="46" t="str">
        <x:v>Valore</x:v>
      </x:c>
      <x:c r="C4" s="45"/>
      <x:c r="D4" s="46" t="str">
        <x:v>Conclusione preliminare</x:v>
      </x:c>
      <x:c r="E4" s="46"/>
      <x:c r="F4" s="46"/>
      <x:c r="G4" s="46"/>
      <x:c r="H4" s="46"/>
    </x:row>
    <x:row r="5">
      <x:c r="A5" s="47" t="str">
        <x:v>Documenti</x:v>
      </x:c>
      <x:c r="B5" s="48" t="n">
        <x:v>8</x:v>
      </x:c>
      <x:c r="C5" s="45"/>
      <x:c r="D5" s="32" t="str">
        <x:v>Il corpus copre in modo forte gli scenari nazionali 2040 e 2050 e l'architettura di rete. I principali gap sono DDS 2024 completo, profili orari, disaggregazione zonale 2050, capacità di scambio effettiva al mercato e un set omogeneo di costi/efficienze.</x:v>
      </x:c>
      <x:c r="E5" s="32"/>
      <x:c r="F5" s="32"/>
      <x:c r="G5" s="32"/>
      <x:c r="H5" s="32"/>
    </x:row>
    <x:row r="6">
      <x:c r="A6" s="47" t="str">
        <x:v>Pagine PDF</x:v>
      </x:c>
      <x:c r="B6" s="48" t="n">
        <x:v>1099</x:v>
      </x:c>
      <x:c r="C6" s="45"/>
      <x:c r="D6" s="32"/>
      <x:c r="E6" s="32"/>
      <x:c r="F6" s="32"/>
      <x:c r="G6" s="32"/>
      <x:c r="H6" s="32"/>
    </x:row>
    <x:row r="7">
      <x:c r="A7" s="47" t="str">
        <x:v>Elementi catalogati</x:v>
      </x:c>
      <x:c r="B7" s="48" t="n">
        <x:v>388</x:v>
      </x:c>
      <x:c r="C7" s="45"/>
      <x:c r="D7" s="32"/>
      <x:c r="E7" s="32"/>
      <x:c r="F7" s="32"/>
      <x:c r="G7" s="32"/>
      <x:c r="H7" s="32"/>
    </x:row>
    <x:row r="8">
      <x:c r="A8" s="47" t="str">
        <x:v>Elementi P1</x:v>
      </x:c>
      <x:c r="B8" s="48" t="n">
        <x:v>97</x:v>
      </x:c>
      <x:c r="C8" s="45"/>
      <x:c r="D8" s="32"/>
      <x:c r="E8" s="32"/>
      <x:c r="F8" s="32"/>
      <x:c r="G8" s="32"/>
      <x:c r="H8" s="32"/>
    </x:row>
    <x:row r="9">
      <x:c r="A9" s="47" t="str">
        <x:v>Riferimenti esterni</x:v>
      </x:c>
      <x:c r="B9" s="48" t="n">
        <x:v>45</x:v>
      </x:c>
      <x:c r="C9" s="45"/>
      <x:c r="D9" s="32"/>
      <x:c r="E9" s="32"/>
      <x:c r="F9" s="32"/>
      <x:c r="G9" s="32"/>
      <x:c r="H9" s="32"/>
    </x:row>
    <x:row r="10">
      <x:c r="A10" s="45"/>
      <x:c r="B10" s="45"/>
      <x:c r="C10" s="45"/>
      <x:c r="D10" s="45"/>
      <x:c r="E10" s="45"/>
      <x:c r="F10" s="45"/>
      <x:c r="G10" s="45"/>
      <x:c r="H10" s="45"/>
    </x:row>
    <x:row r="11">
      <x:c r="A11" s="45"/>
      <x:c r="B11" s="45"/>
      <x:c r="C11" s="45"/>
      <x:c r="D11" s="45"/>
      <x:c r="E11" s="45"/>
      <x:c r="F11" s="45"/>
      <x:c r="G11" s="45"/>
      <x:c r="H11" s="45"/>
    </x:row>
    <x:row r="12">
      <x:c r="A12" s="49" t="str">
        <x:v>Legenda delle priorità</x:v>
      </x:c>
      <x:c r="B12" s="49"/>
      <x:c r="C12" s="49"/>
      <x:c r="D12" s="49"/>
      <x:c r="E12" s="49"/>
      <x:c r="F12" s="49"/>
      <x:c r="G12" s="49"/>
      <x:c r="H12" s="49"/>
    </x:row>
    <x:row r="13">
      <x:c r="A13" s="50" t="str">
        <x:v>P1</x:v>
      </x:c>
      <x:c r="B13" s="50" t="str">
        <x:v>Input diretto o parametro centrale</x:v>
      </x:c>
      <x:c r="C13" s="50" t="str"/>
      <x:c r="D13" s="50" t="str"/>
      <x:c r="E13" s="50" t="str"/>
      <x:c r="F13" s="50" t="str"/>
      <x:c r="G13" s="50" t="str"/>
      <x:c r="H13" s="50" t="str"/>
    </x:row>
    <x:row r="14">
      <x:c r="A14" s="51" t="str">
        <x:v>P2</x:v>
      </x:c>
      <x:c r="B14" s="51" t="str">
        <x:v>Contesto, riconciliazione o validazione</x:v>
      </x:c>
      <x:c r="C14" s="51" t="str"/>
      <x:c r="D14" s="51" t="str"/>
      <x:c r="E14" s="51" t="str"/>
      <x:c r="F14" s="51" t="str"/>
      <x:c r="G14" s="51" t="str"/>
      <x:c r="H14" s="51" t="str"/>
    </x:row>
    <x:row r="15">
      <x:c r="A15" s="52" t="str">
        <x:v>P3</x:v>
      </x:c>
      <x:c r="B15" s="52" t="str">
        <x:v>Secondario rispetto al dispatch-only</x:v>
      </x:c>
      <x:c r="C15" s="52" t="str"/>
      <x:c r="D15" s="52" t="str"/>
      <x:c r="E15" s="52" t="str"/>
      <x:c r="F15" s="52" t="str"/>
      <x:c r="G15" s="52" t="str"/>
      <x:c r="H15" s="52" t="str"/>
    </x:row>
    <x:row r="18">
      <x:c r="A18" s="92" t="str">
        <x:v>Fase 2 — Specifica del modello</x:v>
      </x:c>
      <x:c r="B18" s="92"/>
      <x:c r="C18" s="92"/>
      <x:c r="D18" s="92"/>
      <x:c r="E18" s="92"/>
      <x:c r="F18" s="92"/>
      <x:c r="G18" s="92"/>
      <x:c r="H18" s="92"/>
    </x:row>
    <x:row r="19">
      <x:c r="A19" s="124" t="str">
        <x:v>Completati 134 requisiti, 35 mapping PyPSA e 36 decisioni. La Fase 3A può iniziare senza decisioni bloccanti immediate. Le scelte provvisorie sono: modello zonale di trasporto, capacità fisse, anno completo orario e prezzi zonali come output primario.</x:v>
      </x:c>
      <x:c r="B19" s="124"/>
      <x:c r="C19" s="124"/>
      <x:c r="D19" s="124"/>
      <x:c r="E19" s="124"/>
      <x:c r="F19" s="124"/>
      <x:c r="G19" s="124"/>
      <x:c r="H19" s="124"/>
    </x:row>
    <x:row r="20">
      <x:c r="A20" s="124"/>
      <x:c r="B20" s="124"/>
      <x:c r="C20" s="124"/>
      <x:c r="D20" s="124"/>
      <x:c r="E20" s="124"/>
      <x:c r="F20" s="124"/>
      <x:c r="G20" s="124"/>
      <x:c r="H20" s="124"/>
    </x:row>
    <x:row r="21">
      <x:c r="A21" s="124"/>
      <x:c r="B21" s="124"/>
      <x:c r="C21" s="124"/>
      <x:c r="D21" s="124"/>
      <x:c r="E21" s="124"/>
      <x:c r="F21" s="124"/>
      <x:c r="G21" s="124"/>
      <x:c r="H21" s="124"/>
    </x:row>
    <x:row r="22">
      <x:c r="A22" s="124"/>
      <x:c r="B22" s="124"/>
      <x:c r="C22" s="124"/>
      <x:c r="D22" s="124"/>
      <x:c r="E22" s="124"/>
      <x:c r="F22" s="124"/>
      <x:c r="G22" s="124"/>
      <x:c r="H22" s="124"/>
    </x:row>
    <x:row r="23">
      <x:c r="A23" s="124"/>
      <x:c r="B23" s="124"/>
      <x:c r="C23" s="124"/>
      <x:c r="D23" s="124"/>
      <x:c r="E23" s="124"/>
      <x:c r="F23" s="124"/>
      <x:c r="G23" s="124"/>
      <x:c r="H23" s="124"/>
    </x:row>
    <x:row r="25">
      <x:c r="A25" s="151" t="str">
        <x:v>Fase 3A — Estrazione scenari, domanda e capacità</x:v>
      </x:c>
      <x:c r="B25" s="151"/>
      <x:c r="C25" s="151"/>
      <x:c r="D25" s="151"/>
      <x:c r="E25" s="151"/>
      <x:c r="F25" s="151"/>
      <x:c r="G25" s="151"/>
      <x:c r="H25" s="151"/>
    </x:row>
    <x:row r="26">
      <x:c r="A26" s="150" t="str">
        <x:v>DDS 2024 acquisito come S09. Estratti 13 scenari, 115 record di domanda, 88 capacità nazionali, 252 zonali e 195 voci di bilancio. QA: 34 PASS, 4 REVIEW.</x:v>
      </x:c>
      <x:c r="B26" s="150"/>
      <x:c r="C26" s="150"/>
      <x:c r="D26" s="150"/>
      <x:c r="E26" s="150"/>
      <x:c r="F26" s="150"/>
      <x:c r="G26" s="150"/>
      <x:c r="H26" s="150"/>
    </x:row>
    <x:row r="27">
      <x:c r="A27" s="150"/>
      <x:c r="B27" s="150"/>
      <x:c r="C27" s="150"/>
      <x:c r="D27" s="150"/>
      <x:c r="E27" s="150"/>
      <x:c r="F27" s="150"/>
      <x:c r="G27" s="150"/>
      <x:c r="H27" s="150"/>
    </x:row>
    <x:row r="28">
      <x:c r="A28" s="150"/>
      <x:c r="B28" s="150"/>
      <x:c r="C28" s="150"/>
      <x:c r="D28" s="150"/>
      <x:c r="E28" s="150"/>
      <x:c r="F28" s="150"/>
      <x:c r="G28" s="150"/>
      <x:c r="H28" s="150"/>
    </x:row>
    <x:row r="29">
      <x:c r="A29" s="150"/>
      <x:c r="B29" s="150"/>
      <x:c r="C29" s="150"/>
      <x:c r="D29" s="150"/>
      <x:c r="E29" s="150"/>
      <x:c r="F29" s="150"/>
      <x:c r="G29" s="150"/>
      <x:c r="H29" s="150"/>
    </x:row>
    <x:row r="30">
      <x:c r="A30" s="150"/>
      <x:c r="B30" s="150"/>
      <x:c r="C30" s="150"/>
      <x:c r="D30" s="150"/>
      <x:c r="E30" s="150"/>
      <x:c r="F30" s="150"/>
      <x:c r="G30" s="150"/>
      <x:c r="H30" s="150"/>
    </x:row>
    <x:row r="31">
      <x:c r="A31" s="150"/>
      <x:c r="B31" s="150"/>
      <x:c r="C31" s="150"/>
      <x:c r="D31" s="150"/>
      <x:c r="E31" s="150"/>
      <x:c r="F31" s="150"/>
      <x:c r="G31" s="150"/>
      <x:c r="H31" s="150"/>
    </x:row>
    <x:row r="33">
      <x:c r="A33" s="213" t="str">
        <x:v>Fase 3B — Accumuli, idroelettrico e flessibilità</x:v>
      </x:c>
      <x:c r="B33" s="213"/>
      <x:c r="C33" s="213"/>
      <x:c r="D33" s="213"/>
      <x:c r="E33" s="213"/>
      <x:c r="F33" s="213"/>
      <x:c r="G33" s="213"/>
      <x:c r="H33" s="213"/>
    </x:row>
    <x:row r="34">
      <x:c r="A34" s="212" t="str">
        <x:v>Estratti 58 record storage nazionali/contrattuali, 252 record zonali, 67 record idroelettrici e 96 record di flessibilità. Potenza derivata solo dove la durata è esplicita. QA: 43 PASS e 3 REVIEW.</x:v>
      </x:c>
      <x:c r="B34" s="212"/>
      <x:c r="C34" s="212"/>
      <x:c r="D34" s="212"/>
      <x:c r="E34" s="212"/>
      <x:c r="F34" s="212"/>
      <x:c r="G34" s="212"/>
      <x:c r="H34" s="212"/>
    </x:row>
    <x:row r="35">
      <x:c r="A35" s="212"/>
      <x:c r="B35" s="212"/>
      <x:c r="C35" s="212"/>
      <x:c r="D35" s="212"/>
      <x:c r="E35" s="212"/>
      <x:c r="F35" s="212"/>
      <x:c r="G35" s="212"/>
      <x:c r="H35" s="212"/>
    </x:row>
    <x:row r="36">
      <x:c r="A36" s="212"/>
      <x:c r="B36" s="212"/>
      <x:c r="C36" s="212"/>
      <x:c r="D36" s="212"/>
      <x:c r="E36" s="212"/>
      <x:c r="F36" s="212"/>
      <x:c r="G36" s="212"/>
      <x:c r="H36" s="212"/>
    </x:row>
    <x:row r="37">
      <x:c r="A37" s="212"/>
      <x:c r="B37" s="212"/>
      <x:c r="C37" s="212"/>
      <x:c r="D37" s="212"/>
      <x:c r="E37" s="212"/>
      <x:c r="F37" s="212"/>
      <x:c r="G37" s="212"/>
      <x:c r="H37" s="212"/>
    </x:row>
    <x:row r="38">
      <x:c r="A38" s="212"/>
      <x:c r="B38" s="212"/>
      <x:c r="C38" s="212"/>
      <x:c r="D38" s="212"/>
      <x:c r="E38" s="212"/>
      <x:c r="F38" s="212"/>
      <x:c r="G38" s="212"/>
      <x:c r="H38" s="212"/>
    </x:row>
    <x:row r="39">
      <x:c r="A39" s="212"/>
      <x:c r="B39" s="212"/>
      <x:c r="C39" s="212"/>
      <x:c r="D39" s="212"/>
      <x:c r="E39" s="212"/>
      <x:c r="F39" s="212"/>
      <x:c r="G39" s="212"/>
      <x:c r="H39" s="212"/>
    </x:row>
    <x:row r="40">
      <x:c r="A40" s="212"/>
      <x:c r="B40" s="212"/>
      <x:c r="C40" s="212"/>
      <x:c r="D40" s="212"/>
      <x:c r="E40" s="212"/>
      <x:c r="F40" s="212"/>
      <x:c r="G40" s="212"/>
      <x:c r="H40" s="212"/>
    </x:row>
  </x:sheetData>
  <x:mergeCells>
    <x:mergeCell ref="A1:H1"/>
    <x:mergeCell ref="A2:H2"/>
    <x:mergeCell ref="D4:H4"/>
    <x:mergeCell ref="D5:H9"/>
    <x:mergeCell ref="A12:H12"/>
    <x:mergeCell ref="A18:H18"/>
    <x:mergeCell ref="A19:H23"/>
    <x:mergeCell ref="A25:H25"/>
    <x:mergeCell ref="A26:H31"/>
    <x:mergeCell ref="A33:H33"/>
    <x:mergeCell ref="A34:H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8" hidden="0" customWidth="1"/>
    <x:col min="5" max="5" width="8" hidden="0" customWidth="1"/>
    <x:col min="6" max="6" width="24" hidden="0" customWidth="1"/>
    <x:col min="7" max="7" width="22" hidden="0" customWidth="1"/>
    <x:col min="8" max="8" width="40" hidden="0" customWidth="1"/>
    <x:col min="9" max="9" width="40" hidden="0" customWidth="1"/>
    <x:col min="10" max="10" width="24" hidden="0" customWidth="1"/>
    <x:col min="11" max="11" width="34" hidden="0" customWidth="1"/>
    <x:col min="12" max="12" width="40" hidden="0" customWidth="1"/>
    <x:col min="13" max="13" width="24" hidden="0" customWidth="1"/>
    <x:col min="14" max="14" width="40" hidden="0" customWidth="1"/>
    <x:col min="15" max="15" width="24" hidden="0" customWidth="1"/>
    <x:col min="16" max="16" width="42" hidden="0" customWidth="1"/>
  </x:cols>
  <x:sheetData>
    <x:row r="1" ht="34" customHeight="1">
      <x:c r="A1" s="5" t="str">
        <x:v>Registro delle fonti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8" customHeight="1">
      <x:c r="A2" s="13" t="str">
        <x:v>Otto documenti del corpus e loro ruolo nel progetto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 ht="34" customHeight="1">
      <x:c r="A4" s="82" t="str">
        <x:v>Source ID</x:v>
      </x:c>
      <x:c r="B4" s="82" t="str">
        <x:v>Titolo</x:v>
      </x:c>
      <x:c r="C4" s="82" t="str">
        <x:v>Autore</x:v>
      </x:c>
      <x:c r="D4" s="82" t="str">
        <x:v>Anno</x:v>
      </x:c>
      <x:c r="E4" s="82" t="str">
        <x:v>Pagine</x:v>
      </x:c>
      <x:c r="F4" s="82" t="str">
        <x:v>Tipo documento</x:v>
      </x:c>
      <x:c r="G4" s="82" t="str">
        <x:v>Versione/data</x:v>
      </x:c>
      <x:c r="H4" s="82" t="str">
        <x:v>Ruolo principale</x:v>
      </x:c>
      <x:c r="I4" s="82" t="str">
        <x:v>Scenari</x:v>
      </x:c>
      <x:c r="J4" s="82" t="str">
        <x:v>Anni coperti</x:v>
      </x:c>
      <x:c r="K4" s="82" t="str">
        <x:v>Geografia</x:v>
      </x:c>
      <x:c r="L4" s="82" t="str">
        <x:v>Tecnologie</x:v>
      </x:c>
      <x:c r="M4" s="82" t="str">
        <x:v>Contenuto quantitativo</x:v>
      </x:c>
      <x:c r="N4" s="82" t="str">
        <x:v>Leggibilità</x:v>
      </x:c>
      <x:c r="O4" s="82" t="str">
        <x:v>Priorità</x:v>
      </x:c>
      <x:c r="P4" s="82" t="str">
        <x:v>Limiti/sezioni secondarie</x:v>
      </x:c>
    </x:row>
    <x:row r="5">
      <x:c r="A5" s="83" t="str">
        <x:v>S01</x:v>
      </x:c>
      <x:c r="B5" s="83" t="str">
        <x:v>Stato del sistema elettrico e scenari energetici</x:v>
      </x:c>
      <x:c r="C5" s="83" t="str">
        <x:v>Terna S.p.A.</x:v>
      </x:c>
      <x:c r="D5" s="83" t="n">
        <x:v>2025</x:v>
      </x:c>
      <x:c r="E5" s="83" t="n">
        <x:v>104</x:v>
      </x:c>
      <x:c r="F5" s="83" t="str">
        <x:v>Piano di Sviluppo Terna - fascicolo tecnico</x:v>
      </x:c>
      <x:c r="G5" s="83" t="str">
        <x:v>Marzo 2025 (PDF modificato 13 marzo 2025)</x:v>
      </x:c>
      <x:c r="H5" s="83" t="str">
        <x:v>Baseline storica 2023-2024; struttura del mercato; scenari elettrici 2030-2040; bilanci, capacità e carico residuo.</x:v>
      </x:c>
      <x:c r="I5" s="83" t="str">
        <x:v>Storico 2023-2024; PNIEC Policy 2030; PNIEC Slow 2030/2035/2040; DE-IT 2035/2040; richiamo GA-IT/DDS24.</x:v>
      </x:c>
      <x:c r="J5" s="83" t="str">
        <x:v>Storico fino al 2024; scenari 2030, 2035, 2040.</x:v>
      </x:c>
      <x:c r="K5" s="83" t="str">
        <x:v>Nazionale; zone di mercato; alcune mappe regionali/territoriali; frontiere estere.</x:v>
      </x:c>
      <x:c r="L5" s="83" t="str">
        <x:v>Solare, eolico, idroelettrico, bioenergie/altre FER, gas, carbone/olio, accumuli elettrochimici, pompaggi, elettrolizzatori.</x:v>
      </x:c>
      <x:c r="M5" s="83" t="str">
        <x:v>Molto elevato: tabelle, mappe, grafici e bilanci.</x:v>
      </x:c>
      <x:c r="N5" s="83" t="str">
        <x:v>PDF testuale; tabelle parzialmente estraibili; mappe e grafici richiedono verifica visuale/digitalizzazione.</x:v>
      </x:c>
      <x:c r="O5" s="83" t="str">
        <x:v>Critica / fonte primaria 2040</x:v>
      </x:c>
      <x:c r="P5" s="83" t="str">
        <x:v>Dettagli di qualità/robustezza non direttamente traducibili nel dispatch zonale, salvo contesto e validazione.</x:v>
      </x:c>
    </x:row>
    <x:row r="6">
      <x:c r="A6" s="83" t="str">
        <x:v>S02</x:v>
      </x:c>
      <x:c r="B6" s="83" t="str">
        <x:v>Piano di Sviluppo 2025 - Overview</x:v>
      </x:c>
      <x:c r="C6" s="83" t="str">
        <x:v>Terna S.p.A.</x:v>
      </x:c>
      <x:c r="D6" s="83" t="n">
        <x:v>2025</x:v>
      </x:c>
      <x:c r="E6" s="83" t="n">
        <x:v>68</x:v>
      </x:c>
      <x:c r="F6" s="83" t="str">
        <x:v>Piano di Sviluppo Terna - overview</x:v>
      </x:c>
      <x:c r="G6" s="83" t="str">
        <x:v>Marzo 2025 (PDF modificato 13 marzo 2025)</x:v>
      </x:c>
      <x:c r="H6" s="83" t="str">
        <x:v>Mappa sintetica del PdS 2025; cross-check di scenari, mercato, investimenti e cronologia rete 2030-2040.</x:v>
      </x:c>
      <x:c r="I6" s="83" t="str">
        <x:v>PNIEC/DDS24; orizzonti 2030, 2034 e 2040.</x:v>
      </x:c>
      <x:c r="J6" s="83" t="str">
        <x:v>Contesto storico recente; 2030, 2034, 2040.</x:v>
      </x:c>
      <x:c r="K6" s="83" t="str">
        <x:v>Nazionale, zonale e interconnessioni estere.</x:v>
      </x:c>
      <x:c r="L6" s="83" t="str">
        <x:v>FER, accumuli, generazione termica, data center; infrastrutture AC/HVDC.</x:v>
      </x:c>
      <x:c r="M6" s="83" t="str">
        <x:v>Medio-alto: indicatori sintetici, mappe e timeline.</x:v>
      </x:c>
      <x:c r="N6" s="83" t="str">
        <x:v>PDF testuale; molti grafici sintetici e mappe da verificare visualmente.</x:v>
      </x:c>
      <x:c r="O6" s="83" t="str">
        <x:v>Alta / fonte di orientamento e cross-check</x:v>
      </x:c>
      <x:c r="P6" s="83" t="str">
        <x:v>Dati sintetici non sostituiscono i fascicoli tecnici sottostanti.</x:v>
      </x:c>
    </x:row>
    <x:row r="7">
      <x:c r="A7" s="83" t="str">
        <x:v>S03</x:v>
      </x:c>
      <x:c r="B7" s="83" t="str">
        <x:v>Benefici di sistema e analisi robustezza rete</x:v>
      </x:c>
      <x:c r="C7" s="83" t="str">
        <x:v>Terna S.p.A.</x:v>
      </x:c>
      <x:c r="D7" s="83" t="n">
        <x:v>2025</x:v>
      </x:c>
      <x:c r="E7" s="83" t="n">
        <x:v>64</x:v>
      </x:c>
      <x:c r="F7" s="83" t="str">
        <x:v>Piano di Sviluppo Terna - fascicolo tecnico</x:v>
      </x:c>
      <x:c r="G7" s="83" t="str">
        <x:v>Marzo 2025 (PDF modificato 13 marzo 2025)</x:v>
      </x:c>
      <x:c r="H7" s="83" t="str">
        <x:v>Capacità di trasporto, effetti con/senza interventi, congestioni, adeguatezza, FER, riserva, emissioni e perdite.</x:v>
      </x:c>
      <x:c r="I7" s="83" t="str">
        <x:v>PNIEC 2030; DE-IT 2035/2040; analisi con e senza sviluppi di rete.</x:v>
      </x:c>
      <x:c r="J7" s="83" t="str">
        <x:v>2030, 2035, 2040; confronti con rete di riferimento.</x:v>
      </x:c>
      <x:c r="K7" s="83" t="str">
        <x:v>Frontiere estere; zone di mercato italiane; corridoi e aree di rete.</x:v>
      </x:c>
      <x:c r="L7" s="83" t="str">
        <x:v>FER, termoelettrico, accumuli; interventi AC/HVDC; risorse inverter-based.</x:v>
      </x:c>
      <x:c r="M7" s="83" t="str">
        <x:v>Elevato: capacità, benefici, indicatori di adeguatezza e mappe.</x:v>
      </x:c>
      <x:c r="N7" s="83" t="str">
        <x:v>PDF testuale; tabelle discrete; mappe/capacità richiedono controllo visuale.</x:v>
      </x:c>
      <x:c r="O7" s="83" t="str">
        <x:v>Critica / fonte primaria rete e validazione</x:v>
      </x:c>
      <x:c r="P7" s="83" t="str">
        <x:v>System strength e simulazioni dinamiche non modellati direttamente nel dispatch, salvo assunzioni/limiti.</x:v>
      </x:c>
    </x:row>
    <x:row r="8">
      <x:c r="A8" s="83" t="str">
        <x:v>S04</x:v>
      </x:c>
      <x:c r="B8" s="83" t="str">
        <x:v>Programmazione territoriale efficiente e interventi di connessione</x:v>
      </x:c>
      <x:c r="C8" s="83" t="str">
        <x:v>Terna S.p.A.</x:v>
      </x:c>
      <x:c r="D8" s="83" t="n">
        <x:v>2025</x:v>
      </x:c>
      <x:c r="E8" s="83" t="n">
        <x:v>108</x:v>
      </x:c>
      <x:c r="F8" s="83" t="str">
        <x:v>Piano di Sviluppo Terna - fascicolo tecnico</x:v>
      </x:c>
      <x:c r="G8" s="83" t="str">
        <x:v>Marzo 2025 (PDF modificato 13 marzo 2025)</x:v>
      </x:c>
      <x:c r="H8" s="83" t="str">
        <x:v>Pipeline territoriale di connessione; distribuzione regionale/locale; microzone; grandi carichi e opere di connessione.</x:v>
      </x:c>
      <x:c r="I8" s="83" t="str">
        <x:v>Richieste 2023-2024; confronto PNIEC Policy 2030; approccio microzonale prospettico.</x:v>
      </x:c>
      <x:c r="J8" s="83" t="str">
        <x:v>Storico richieste fino a dicembre 2024; target 2030; progetti in corso.</x:v>
      </x:c>
      <x:c r="K8" s="83" t="str">
        <x:v>Nazionale, regionale, provinciale/comunale e microzonale.</x:v>
      </x:c>
      <x:c r="L8" s="83" t="str">
        <x:v>Solare, eolico on/offshore, BESS, pompaggi, termoelettrico; data center, RFI, cold ironing, cabine primarie.</x:v>
      </x:c>
      <x:c r="M8" s="83" t="str">
        <x:v>Molto elevato: mappe regionali, tabelle pipeline e appendici progetto.</x:v>
      </x:c>
      <x:c r="N8" s="83" t="str">
        <x:v>PDF testuale ma con numerose mappe/infografiche; appendici tabellari estraibili con revisione.</x:v>
      </x:c>
      <x:c r="O8" s="83" t="str">
        <x:v>Alta per allocazione geografica; non fonte di capacità certa</x:v>
      </x:c>
      <x:c r="P8" s="83" t="str">
        <x:v>Le richieste di connessione sono pipeline e non devono essere trattate come capacità futura realizzata.</x:v>
      </x:c>
    </x:row>
    <x:row r="9">
      <x:c r="A9" s="83" t="str">
        <x:v>S05</x:v>
      </x:c>
      <x:c r="B9" s="83" t="str">
        <x:v>Esigenze di sviluppo: i nuovi progetti</x:v>
      </x:c>
      <x:c r="C9" s="83" t="str">
        <x:v>Terna S.p.A.</x:v>
      </x:c>
      <x:c r="D9" s="83" t="n">
        <x:v>2025</x:v>
      </x:c>
      <x:c r="E9" s="83" t="n">
        <x:v>100</x:v>
      </x:c>
      <x:c r="F9" s="83" t="str">
        <x:v>Piano di Sviluppo Terna - fascicolo progetti</x:v>
      </x:c>
      <x:c r="G9" s="83" t="str">
        <x:v>Marzo 2025 (PDF modificato 13 marzo 2025)</x:v>
      </x:c>
      <x:c r="H9" s="83" t="str">
        <x:v>Architettura futura della RTN, capacità interzonali/estere, Hypergrid, cronologia e stato dei progetti.</x:v>
      </x:c>
      <x:c r="I9" s="83" t="str">
        <x:v>Target capacity e architetture 2030, 2034, 2040.</x:v>
      </x:c>
      <x:c r="J9" s="83" t="str">
        <x:v>2025-2034; orizzonte architetturale 2040.</x:v>
      </x:c>
      <x:c r="K9" s="83" t="str">
        <x:v>Aree Nord-Ovest, Nord-Est, Centro-Sud; zone e frontiere estere; singoli corridoi/progetti.</x:v>
      </x:c>
      <x:c r="L9" s="83" t="str">
        <x:v>Linee AC, HVDC/VSC, reconductoring, DTR, stazioni e interconnector.</x:v>
      </x:c>
      <x:c r="M9" s="83" t="str">
        <x:v>Elevato: mappe, schede e tabelle di progetto.</x:v>
      </x:c>
      <x:c r="N9" s="83" t="str">
        <x:v>PDF testuale; schede progetto e mappe richiedono estrazione strutturata e controllo visuale.</x:v>
      </x:c>
      <x:c r="O9" s="83" t="str">
        <x:v>Critica / fonte primaria architettura rete</x:v>
      </x:c>
      <x:c r="P9" s="83" t="str">
        <x:v>CAPEX di rete e dettagli impiantistici restano contestuali nel dispatch-only.</x:v>
      </x:c>
    </x:row>
    <x:row r="10">
      <x:c r="A10" s="83" t="str">
        <x:v>S06</x:v>
      </x:c>
      <x:c r="B10" s="83" t="str">
        <x:v>Pianificazione della rete elettrica</x:v>
      </x:c>
      <x:c r="C10" s="83" t="str">
        <x:v>Terna S.p.A.</x:v>
      </x:c>
      <x:c r="D10" s="83" t="n">
        <x:v>2025</x:v>
      </x:c>
      <x:c r="E10" s="83" t="n">
        <x:v>92</x:v>
      </x:c>
      <x:c r="F10" s="83" t="str">
        <x:v>Piano di Sviluppo Terna - fascicolo metodologico</x:v>
      </x:c>
      <x:c r="G10" s="83" t="str">
        <x:v>Marzo 2025 (PDF modificato 13 marzo 2025)</x:v>
      </x:c>
      <x:c r="H10" s="83" t="str">
        <x:v>Quadro metodologico, normativo e istituzionale; coordinamento TSO-DSO, TYNDP, storage e nuovi carichi.</x:v>
      </x:c>
      <x:c r="I10" s="83" t="str">
        <x:v>Pianificazione decennale; TYNDP e cooperazione europea/mediterranea.</x:v>
      </x:c>
      <x:c r="J10" s="83" t="str">
        <x:v>2025-2034; programmi UE 2021-2027; riferimenti prospettici.</x:v>
      </x:c>
      <x:c r="K10" s="83" t="str">
        <x:v>Italia, Europa, Mediterraneo; casi nazionali.</x:v>
      </x:c>
      <x:c r="L10" s="83" t="str">
        <x:v>Storage, data center, cold ironing, e-mobility; digitalizzazione rete.</x:v>
      </x:c>
      <x:c r="M10" s="83" t="str">
        <x:v>Basso-medio: prevalenza descrittiva, alcune figure/tabelle.</x:v>
      </x:c>
      <x:c r="N10" s="83" t="str">
        <x:v>PDF testuale; dati numerici limitati.</x:v>
      </x:c>
      <x:c r="O10" s="83" t="str">
        <x:v>Media / contesto e riferimenti esterni</x:v>
      </x:c>
      <x:c r="P10" s="83" t="str">
        <x:v>Digitalizzazione, finanza agevolata e stakeholder engagement non sono input del modello.</x:v>
      </x:c>
    </x:row>
    <x:row r="11">
      <x:c r="A11" s="83" t="str">
        <x:v>S07</x:v>
      </x:c>
      <x:c r="B11" s="83" t="str">
        <x:v>Prospettive di Sviluppo del Sistema Energetico 2050 - Copertura della domanda elettrica</x:v>
      </x:c>
      <x:c r="C11" s="83" t="str">
        <x:v>Terna S.p.A.</x:v>
      </x:c>
      <x:c r="D11" s="83" t="n">
        <x:v>2025</x:v>
      </x:c>
      <x:c r="E11" s="83" t="n">
        <x:v>72</x:v>
      </x:c>
      <x:c r="F11" s="83" t="str">
        <x:v>Nota tecnica Terna ex Delibera ARERA 392/2024</x:v>
      </x:c>
      <x:c r="G11" s="83" t="str">
        <x:v>2025 (PDF creato/modificato 27 ottobre 2025)</x:v>
      </x:c>
      <x:c r="H11" s="83" t="str">
        <x:v>Fonte primaria 2050: domanda, mix, accumuli, costi tecnologici, adeguatezza e flessibilità.</x:v>
      </x:c>
      <x:c r="I11" s="83" t="str">
        <x:v>DDS24 2030-2040; scenari PNIEC 2050 con e senza nucleare; analisi di sensitività.</x:v>
      </x:c>
      <x:c r="J11" s="83" t="str">
        <x:v>Storico 2019-2025; 2030, 2040, 2050.</x:v>
      </x:c>
      <x:c r="K11" s="83" t="str">
        <x:v>Prevalentemente nazionale; profili temporali nazionali.</x:v>
      </x:c>
      <x:c r="L11" s="83" t="str">
        <x:v>Solare, eolico on/offshore, batterie, idroelettrico, gas, nucleare, CCUS/CCS, tecnologie emergenti.</x:v>
      </x:c>
      <x:c r="M11" s="83" t="str">
        <x:v>Molto elevato: costi, capacità, bilanci, domanda e flessibilità.</x:v>
      </x:c>
      <x:c r="N11" s="83" t="str">
        <x:v>PDF testuale; tabelle estraibili; numerosi grafici richiedono verifica/digitalizzazione.</x:v>
      </x:c>
      <x:c r="O11" s="83" t="str">
        <x:v>Critica / fonte primaria 2050</x:v>
      </x:c>
      <x:c r="P11" s="83" t="str">
        <x:v>Dati prevalentemente nazionali: disaggregazione zonale da costruire separatamente.</x:v>
      </x:c>
    </x:row>
    <x:row r="12">
      <x:c r="A12" s="83" t="str">
        <x:v>S08</x:v>
      </x:c>
      <x:c r="B12" s="83" t="str">
        <x:v>Piano Nazionale Integrato per l'Energia e il Clima</x:v>
      </x:c>
      <x:c r="C12" s="83" t="str">
        <x:v>MASE</x:v>
      </x:c>
      <x:c r="D12" s="83" t="n">
        <x:v>2024</x:v>
      </x:c>
      <x:c r="E12" s="83" t="n">
        <x:v>491</x:v>
      </x:c>
      <x:c r="F12" s="83" t="str">
        <x:v>Piano nazionale energia e clima</x:v>
      </x:c>
      <x:c r="G12" s="83" t="str">
        <x:v>Giugno 2024</x:v>
      </x:c>
      <x:c r="H12" s="83" t="str">
        <x:v>Target ufficiali, traiettorie di policy, domanda/consumi settoriali, interconnessioni, prezzi e base analitica.</x:v>
      </x:c>
      <x:c r="I12" s="83" t="str">
        <x:v>Scenario di riferimento/WEM; scenario con politiche aggiuntive/PNIEC; proiezioni fino al 2040; ipotesi nucleare 2035-2050.</x:v>
      </x:c>
      <x:c r="J12" s="83" t="str">
        <x:v>Storico fino al 2022/2023; obiettivi 2030; proiezioni 2040; alcune ipotesi 2050.</x:v>
      </x:c>
      <x:c r="K12" s="83" t="str">
        <x:v>Prevalentemente nazionale; alcuni dati regionali/settoriali; interconnessioni transfrontaliere.</x:v>
      </x:c>
      <x:c r="L12" s="83" t="str">
        <x:v>FER elettriche/termiche/trasporti, termoelettrico, nucleare, idrogeno, CCS, reti e accumuli.</x:v>
      </x:c>
      <x:c r="M12" s="83" t="str">
        <x:v>Molto elevato ma disperso in 491 pagine.</x:v>
      </x:c>
      <x:c r="N12" s="83" t="str">
        <x:v>PDF testuale; molte tabelle estraibili, alcune complesse; figure e note richiedono controllo.</x:v>
      </x:c>
      <x:c r="O12" s="83" t="str">
        <x:v>Alta / fonte ufficiale di policy e cross-check</x:v>
      </x:c>
      <x:c r="P12" s="83" t="str">
        <x:v>Ampie sezioni non elettriche o solo normative saranno catalogate ma non estratte integralmente.</x:v>
      </x:c>
    </x:row>
    <x:row r="13">
      <x:c r="A13" s="129" t="str">
        <x:v>S09</x:v>
      </x:c>
      <x:c r="B13" s="129" t="str">
        <x:v>Documento di Descrizione degli Scenari 2024</x:v>
      </x:c>
      <x:c r="C13" s="129" t="str">
        <x:v>Terna e Snam</x:v>
      </x:c>
      <x:c r="D13" s="129" t="n">
        <x:v>2024</x:v>
      </x:c>
      <x:c r="E13" s="129" t="n">
        <x:v>121</x:v>
      </x:c>
      <x:c r="F13" s="129" t="str">
        <x:v>Documento congiunto di scenario tecnico</x:v>
      </x:c>
      <x:c r="G13" s="129" t="str">
        <x:v>2024</x:v>
      </x:c>
      <x:c r="H13" s="129" t="str">
        <x:v>Fonte primaria 2030-2040 per domanda, capacità FER, bilanci, commodity e risultati di simulazione.</x:v>
      </x:c>
      <x:c r="I13" s="129" t="str">
        <x:v>PNIEC Policy; PNIEC Slow; DE-IT; GA-IT</x:v>
      </x:c>
      <x:c r="J13" s="129" t="str">
        <x:v>2023; 2030; 2035; 2040</x:v>
      </x:c>
      <x:c r="K13" s="129" t="str">
        <x:v>Nazionale e sette zone per solare, eolico, accumuli ed elettrolizzatori.</x:v>
      </x:c>
      <x:c r="L13" s="129" t="str">
        <x:v>Domanda; FER; storage; H2; termoelettrico aggregato; commodity; bilanci; flussi.</x:v>
      </x:c>
      <x:c r="M13" s="129" t="str">
        <x:v>Molto elevato: tabelle e figure direttamente utilizzabili.</x:v>
      </x:c>
      <x:c r="N13" s="129" t="str">
        <x:v>PDF testuale; tabelle estraibili e pagine quantitative verificate visivamente.</x:v>
      </x:c>
      <x:c r="O13" s="129" t="str">
        <x:v>Critica / fonte primaria 2040</x:v>
      </x:c>
      <x:c r="P13" s="129" t="str">
        <x:v>Non copre il 2050 dettagliato; termoelettrico e idrico aggregati; rete completa in fasi successive.</x:v>
      </x:c>
    </x:row>
  </x:sheetData>
  <x:mergeCells>
    <x:mergeCell ref="A1:P1"/>
    <x:mergeCell ref="A2:P2"/>
  </x:mergeCells>
  <x:conditionalFormatting sqref="O5:O12">
    <x:cfRule type="expression" dxfId="0" priority="1">
      <x:formula>LEFT(O5,7)="Critica"</x:formula>
    </x:cfRule>
    <x:cfRule type="expression" dxfId="1" priority="2">
      <x:formula>LEFT(O5,4)="Alta"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5fc68d502c48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8" hidden="0" customWidth="1"/>
    <x:col min="4" max="4" width="14" hidden="0" customWidth="1"/>
    <x:col min="5" max="5" width="35" hidden="0" customWidth="1"/>
    <x:col min="6" max="6" width="10" hidden="0" customWidth="1"/>
    <x:col min="7" max="7" width="58" hidden="0" customWidth="1"/>
  </x:cols>
  <x:sheetData>
    <x:row r="1" ht="34" customHeight="1">
      <x:c r="A1" s="5" t="str">
        <x:v>Mappa della struttura documentale</x:v>
      </x:c>
      <x:c r="B1" s="5"/>
      <x:c r="C1" s="5"/>
      <x:c r="D1" s="5"/>
      <x:c r="E1" s="5"/>
      <x:c r="F1" s="5"/>
      <x:c r="G1" s="5"/>
    </x:row>
    <x:row r="2" ht="28" customHeight="1">
      <x:c r="A2" s="13" t="str">
        <x:v>Capitoli, pagine, blocchi del modello e priorità</x:v>
      </x:c>
      <x:c r="B2" s="13"/>
      <x:c r="C2" s="13"/>
      <x:c r="D2" s="13"/>
      <x:c r="E2" s="13"/>
      <x:c r="F2" s="13"/>
      <x:c r="G2" s="13"/>
    </x:row>
    <x:row r="4" ht="34" customHeight="1">
      <x:c r="A4" s="82" t="str">
        <x:v>Source ID</x:v>
      </x:c>
      <x:c r="B4" s="82" t="str">
        <x:v>Documento</x:v>
      </x:c>
      <x:c r="C4" s="82" t="str">
        <x:v>Sezione</x:v>
      </x:c>
      <x:c r="D4" s="82" t="str">
        <x:v>Pagine stampate</x:v>
      </x:c>
      <x:c r="E4" s="82" t="str">
        <x:v>Blocchi del modello</x:v>
      </x:c>
      <x:c r="F4" s="82" t="str">
        <x:v>Priorità</x:v>
      </x:c>
      <x:c r="G4" s="82" t="str">
        <x:v>Uso previsto / cautela</x:v>
      </x:c>
    </x:row>
    <x:row r="5">
      <x:c r="A5" s="83" t="str">
        <x:v>S01</x:v>
      </x:c>
      <x:c r="B5" s="83" t="str">
        <x:v>Stato del sistema elettrico e scenari energetici</x:v>
      </x:c>
      <x:c r="C5" s="83" t="str">
        <x:v>1. La Rete di Trasmissione Nazionale</x:v>
      </x:c>
      <x:c r="D5" s="83" t="str">
        <x:v>11-18</x:v>
      </x:c>
      <x:c r="E5" s="83" t="str">
        <x:v>Trasmissione; geografia; validazione</x:v>
      </x:c>
      <x:c r="F5" s="83" t="str">
        <x:v>P2</x:v>
      </x:c>
      <x:c r="G5" s="83" t="str">
        <x:v>Consistenze RTN e variazioni; utile per descrivere il perimetro fisico, non sufficiente per capacità di scambio.</x:v>
      </x:c>
    </x:row>
    <x:row r="6">
      <x:c r="A6" s="83" t="str">
        <x:v>S01</x:v>
      </x:c>
      <x:c r="B6" s="83" t="str">
        <x:v>Stato del sistema elettrico e scenari energetici</x:v>
      </x:c>
      <x:c r="C6" s="83" t="str">
        <x:v>2.1 Bilancio energetico nazionale</x:v>
      </x:c>
      <x:c r="D6" s="83" t="str">
        <x:v>21-22</x:v>
      </x:c>
      <x:c r="E6" s="83" t="str">
        <x:v>Domanda; produzione; import/export; validazione</x:v>
      </x:c>
      <x:c r="F6" s="83" t="str">
        <x:v>P1</x:v>
      </x:c>
      <x:c r="G6" s="83" t="str">
        <x:v>Baseline storica e perimetri del bilancio.</x:v>
      </x:c>
    </x:row>
    <x:row r="7">
      <x:c r="A7" s="83" t="str">
        <x:v>S01</x:v>
      </x:c>
      <x:c r="B7" s="83" t="str">
        <x:v>Stato del sistema elettrico e scenari energetici</x:v>
      </x:c>
      <x:c r="C7" s="83" t="str">
        <x:v>2.2 Domanda elettrica nazionale</x:v>
      </x:c>
      <x:c r="D7" s="83" t="str">
        <x:v>23-23</x:v>
      </x:c>
      <x:c r="E7" s="83" t="str">
        <x:v>Domanda</x:v>
      </x:c>
      <x:c r="F7" s="83" t="str">
        <x:v>P1</x:v>
      </x:c>
      <x:c r="G7" s="83" t="str">
        <x:v>Valori storici e definizioni del fabbisogno.</x:v>
      </x:c>
    </x:row>
    <x:row r="8">
      <x:c r="A8" s="83" t="str">
        <x:v>S01</x:v>
      </x:c>
      <x:c r="B8" s="83" t="str">
        <x:v>Stato del sistema elettrico e scenari energetici</x:v>
      </x:c>
      <x:c r="C8" s="83" t="str">
        <x:v>2.3 Produzione elettrica nazionale</x:v>
      </x:c>
      <x:c r="D8" s="83" t="str">
        <x:v>24-24</x:v>
      </x:c>
      <x:c r="E8" s="83" t="str">
        <x:v>Produzione; capacità</x:v>
      </x:c>
      <x:c r="F8" s="83" t="str">
        <x:v>P1</x:v>
      </x:c>
      <x:c r="G8" s="83" t="str">
        <x:v>Mix storico e confronto tecnologico.</x:v>
      </x:c>
    </x:row>
    <x:row r="9">
      <x:c r="A9" s="83" t="str">
        <x:v>S01</x:v>
      </x:c>
      <x:c r="B9" s="83" t="str">
        <x:v>Stato del sistema elettrico e scenari energetici</x:v>
      </x:c>
      <x:c r="C9" s="83" t="str">
        <x:v>2.4 Rinnovabili e sistemi di accumulo</x:v>
      </x:c>
      <x:c r="D9" s="83" t="str">
        <x:v>24-29</x:v>
      </x:c>
      <x:c r="E9" s="83" t="str">
        <x:v>Capacità; accumuli; produzione</x:v>
      </x:c>
      <x:c r="F9" s="83" t="str">
        <x:v>P1</x:v>
      </x:c>
      <x:c r="G9" s="83" t="str">
        <x:v>Capacità, produzione e distribuzione territoriale recente.</x:v>
      </x:c>
    </x:row>
    <x:row r="10">
      <x:c r="A10" s="83" t="str">
        <x:v>S01</x:v>
      </x:c>
      <x:c r="B10" s="83" t="str">
        <x:v>Stato del sistema elettrico e scenari energetici</x:v>
      </x:c>
      <x:c r="C10" s="83" t="str">
        <x:v>2.5 Analisi del carico residuo</x:v>
      </x:c>
      <x:c r="D10" s="83" t="str">
        <x:v>30-32</x:v>
      </x:c>
      <x:c r="E10" s="83" t="str">
        <x:v>Domanda; flessibilità; profili</x:v>
      </x:c>
      <x:c r="F10" s="83" t="str">
        <x:v>P1</x:v>
      </x:c>
      <x:c r="G10" s="83" t="str">
        <x:v>Profilo e definizione del carico residuo.</x:v>
      </x:c>
    </x:row>
    <x:row r="11">
      <x:c r="A11" s="83" t="str">
        <x:v>S01</x:v>
      </x:c>
      <x:c r="B11" s="83" t="str">
        <x:v>Stato del sistema elettrico e scenari energetici</x:v>
      </x:c>
      <x:c r="C11" s="83" t="str">
        <x:v>3.1 Mercato elettrico e zone di mercato</x:v>
      </x:c>
      <x:c r="D11" s="83" t="str">
        <x:v>34-39</x:v>
      </x:c>
      <x:c r="E11" s="83" t="str">
        <x:v>Mercato; geografia; prezzi zonali</x:v>
      </x:c>
      <x:c r="F11" s="83" t="str">
        <x:v>P1</x:v>
      </x:c>
      <x:c r="G11" s="83" t="str">
        <x:v>Regole e topologia zonale.</x:v>
      </x:c>
    </x:row>
    <x:row r="12">
      <x:c r="A12" s="83" t="str">
        <x:v>S01</x:v>
      </x:c>
      <x:c r="B12" s="83" t="str">
        <x:v>Stato del sistema elettrico e scenari energetici</x:v>
      </x:c>
      <x:c r="C12" s="83" t="str">
        <x:v>3.2 Mercato del Giorno Prima</x:v>
      </x:c>
      <x:c r="D12" s="83" t="str">
        <x:v>40-42</x:v>
      </x:c>
      <x:c r="E12" s="83" t="str">
        <x:v>Mercato; prezzi</x:v>
      </x:c>
      <x:c r="F12" s="83" t="str">
        <x:v>P1</x:v>
      </x:c>
      <x:c r="G12" s="83" t="str">
        <x:v>PUN/prezzi zonali e funzionamento MGP.</x:v>
      </x:c>
    </x:row>
    <x:row r="13">
      <x:c r="A13" s="83" t="str">
        <x:v>S01</x:v>
      </x:c>
      <x:c r="B13" s="83" t="str">
        <x:v>Stato del sistema elettrico e scenari energetici</x:v>
      </x:c>
      <x:c r="C13" s="83" t="str">
        <x:v>3.3 Mercato di bilanciamento e ridispacciamento</x:v>
      </x:c>
      <x:c r="D13" s="83" t="str">
        <x:v>43-49</x:v>
      </x:c>
      <x:c r="E13" s="83" t="str">
        <x:v>Mercato; validazione</x:v>
      </x:c>
      <x:c r="F13" s="83" t="str">
        <x:v>P2</x:v>
      </x:c>
      <x:c r="G13" s="83" t="str">
        <x:v>Contesto MSD/MBR; non modellato integralmente nel dispatch MGP.</x:v>
      </x:c>
    </x:row>
    <x:row r="14">
      <x:c r="A14" s="83" t="str">
        <x:v>S01</x:v>
      </x:c>
      <x:c r="B14" s="83" t="str">
        <x:v>Stato del sistema elettrico e scenari energetici</x:v>
      </x:c>
      <x:c r="C14" s="83" t="str">
        <x:v>3.4-3.5 Servizi e ruolo degli accumuli/pompaggi</x:v>
      </x:c>
      <x:c r="D14" s="83" t="str">
        <x:v>50-58</x:v>
      </x:c>
      <x:c r="E14" s="83" t="str">
        <x:v>Accumuli; flessibilità; idroelettrico</x:v>
      </x:c>
      <x:c r="F14" s="83" t="str">
        <x:v>P1</x:v>
      </x:c>
      <x:c r="G14" s="83" t="str">
        <x:v>Vincoli e ruolo operativo delle risorse.</x:v>
      </x:c>
    </x:row>
    <x:row r="15">
      <x:c r="A15" s="83" t="str">
        <x:v>S01</x:v>
      </x:c>
      <x:c r="B15" s="83" t="str">
        <x:v>Stato del sistema elettrico e scenari energetici</x:v>
      </x:c>
      <x:c r="C15" s="83" t="str">
        <x:v>4. Impatti sul sistema elettrico</x:v>
      </x:c>
      <x:c r="D15" s="83" t="str">
        <x:v>59-82</x:v>
      </x:c>
      <x:c r="E15" s="83" t="str">
        <x:v>FER; qualità; sicurezza; validazione</x:v>
      </x:c>
      <x:c r="F15" s="83" t="str">
        <x:v>P2</x:v>
      </x:c>
      <x:c r="G15" s="83" t="str">
        <x:v>Indicatori per validare curtailment, sicurezza e limiti del modello.</x:v>
      </x:c>
    </x:row>
    <x:row r="16">
      <x:c r="A16" s="83" t="str">
        <x:v>S01</x:v>
      </x:c>
      <x:c r="B16" s="83" t="str">
        <x:v>Stato del sistema elettrico e scenari energetici</x:v>
      </x:c>
      <x:c r="C16" s="83" t="str">
        <x:v>5.1-5.2 Costruzione scenari e DDS 2024</x:v>
      </x:c>
      <x:c r="D16" s="83" t="str">
        <x:v>84-88</x:v>
      </x:c>
      <x:c r="E16" s="83" t="str">
        <x:v>Scenario; combustibili; CO2; metodologia</x:v>
      </x:c>
      <x:c r="F16" s="83" t="str">
        <x:v>P1</x:v>
      </x:c>
      <x:c r="G16" s="83" t="str">
        <x:v>Gerarchia PNIEC Policy/Slow, DE-IT/GA-IT e ipotesi macro/commodity.</x:v>
      </x:c>
    </x:row>
    <x:row r="17">
      <x:c r="A17" s="83" t="str">
        <x:v>S01</x:v>
      </x:c>
      <x:c r="B17" s="83" t="str">
        <x:v>Stato del sistema elettrico e scenari energetici</x:v>
      </x:c>
      <x:c r="C17" s="83" t="str">
        <x:v>5.3 Scenari alla base del PdS 2025</x:v>
      </x:c>
      <x:c r="D17" s="83" t="str">
        <x:v>89-96</x:v>
      </x:c>
      <x:c r="E17" s="83" t="str">
        <x:v>Domanda; capacità; accumuli; bilancio</x:v>
      </x:c>
      <x:c r="F17" s="83" t="str">
        <x:v>P1</x:v>
      </x:c>
      <x:c r="G17" s="83" t="str">
        <x:v>Nucleo quantitativo 2030-2040.</x:v>
      </x:c>
    </x:row>
    <x:row r="18">
      <x:c r="A18" s="83" t="str">
        <x:v>S01</x:v>
      </x:c>
      <x:c r="B18" s="83" t="str">
        <x:v>Stato del sistema elettrico e scenari energetici</x:v>
      </x:c>
      <x:c r="C18" s="83" t="str">
        <x:v>5.3.4 Evoluzione carico residuo</x:v>
      </x:c>
      <x:c r="D18" s="83" t="str">
        <x:v>96-98</x:v>
      </x:c>
      <x:c r="E18" s="83" t="str">
        <x:v>Flessibilità; profili; accumuli</x:v>
      </x:c>
      <x:c r="F18" s="83" t="str">
        <x:v>P1</x:v>
      </x:c>
      <x:c r="G18" s="83" t="str">
        <x:v>Confronto orario 2023/2030/2040.</x:v>
      </x:c>
    </x:row>
    <x:row r="19">
      <x:c r="A19" s="83" t="str">
        <x:v>S02</x:v>
      </x:c>
      <x:c r="B19" s="83" t="str">
        <x:v>Piano di Sviluppo 2025 - Overview</x:v>
      </x:c>
      <x:c r="C19" s="83" t="str">
        <x:v>1. Contesto e scenari energetici</x:v>
      </x:c>
      <x:c r="D19" s="83" t="str">
        <x:v>8-23</x:v>
      </x:c>
      <x:c r="E19" s="83" t="str">
        <x:v>Scenario; prezzi; domanda; adeguatezza</x:v>
      </x:c>
      <x:c r="F19" s="83" t="str">
        <x:v>P1</x:v>
      </x:c>
      <x:c r="G19" s="83" t="str">
        <x:v>Overview e cross-check, non fonte finale se esiste fascicolo tecnico.</x:v>
      </x:c>
    </x:row>
    <x:row r="20">
      <x:c r="A20" s="83" t="str">
        <x:v>S02</x:v>
      </x:c>
      <x:c r="B20" s="83" t="str">
        <x:v>Piano di Sviluppo 2025 - Overview</x:v>
      </x:c>
      <x:c r="C20" s="83" t="str">
        <x:v>2. Contesto di mercato e regolatorio</x:v>
      </x:c>
      <x:c r="D20" s="83" t="str">
        <x:v>24-33</x:v>
      </x:c>
      <x:c r="E20" s="83" t="str">
        <x:v>Mercato; Capacity Market; MACSE; flessibilità</x:v>
      </x:c>
      <x:c r="F20" s="83" t="str">
        <x:v>P2</x:v>
      </x:c>
      <x:c r="G20" s="83" t="str">
        <x:v>Contesto dei meccanismi che spiegano il mix futuro.</x:v>
      </x:c>
    </x:row>
    <x:row r="21">
      <x:c r="A21" s="83" t="str">
        <x:v>S02</x:v>
      </x:c>
      <x:c r="B21" s="83" t="str">
        <x:v>Piano di Sviluppo 2025 - Overview</x:v>
      </x:c>
      <x:c r="C21" s="83" t="str">
        <x:v>3. Strategia di sviluppo RTN</x:v>
      </x:c>
      <x:c r="D21" s="83" t="str">
        <x:v>34-47</x:v>
      </x:c>
      <x:c r="E21" s="83" t="str">
        <x:v>Trasmissione; interconnessioni; geografia</x:v>
      </x:c>
      <x:c r="F21" s="83" t="str">
        <x:v>P1</x:v>
      </x:c>
      <x:c r="G21" s="83" t="str">
        <x:v>Cronologia e obiettivi 2030/2034/2040.</x:v>
      </x:c>
    </x:row>
    <x:row r="22">
      <x:c r="A22" s="83" t="str">
        <x:v>S02</x:v>
      </x:c>
      <x:c r="B22" s="83" t="str">
        <x:v>Piano di Sviluppo 2025 - Overview</x:v>
      </x:c>
      <x:c r="C22" s="83" t="str">
        <x:v>4. Programmazione Territoriale Efficiente</x:v>
      </x:c>
      <x:c r="D22" s="83" t="str">
        <x:v>48-53</x:v>
      </x:c>
      <x:c r="E22" s="83" t="str">
        <x:v>Geografia; connessioni; microzone</x:v>
      </x:c>
      <x:c r="F22" s="83" t="str">
        <x:v>P2</x:v>
      </x:c>
      <x:c r="G22" s="83" t="str">
        <x:v>Rinvio al fascicolo S04.</x:v>
      </x:c>
    </x:row>
    <x:row r="23">
      <x:c r="A23" s="83" t="str">
        <x:v>S02</x:v>
      </x:c>
      <x:c r="B23" s="83" t="str">
        <x:v>Piano di Sviluppo 2025 - Overview</x:v>
      </x:c>
      <x:c r="C23" s="83" t="str">
        <x:v>5. Investimenti e benefici</x:v>
      </x:c>
      <x:c r="D23" s="83" t="str">
        <x:v>54-57</x:v>
      </x:c>
      <x:c r="E23" s="83" t="str">
        <x:v>Costi contestuali; emissioni; benefici</x:v>
      </x:c>
      <x:c r="F23" s="83" t="str">
        <x:v>P2</x:v>
      </x:c>
      <x:c r="G23" s="83" t="str">
        <x:v>Non input dispatch diretto.</x:v>
      </x:c>
    </x:row>
    <x:row r="24">
      <x:c r="A24" s="83" t="str">
        <x:v>S02</x:v>
      </x:c>
      <x:c r="B24" s="83" t="str">
        <x:v>Piano di Sviluppo 2025 - Overview</x:v>
      </x:c>
      <x:c r="C24" s="83" t="str">
        <x:v>6. Struttura del Piano</x:v>
      </x:c>
      <x:c r="D24" s="83" t="str">
        <x:v>58-68</x:v>
      </x:c>
      <x:c r="E24" s="83" t="str">
        <x:v>Metodologia documentale</x:v>
      </x:c>
      <x:c r="F24" s="83" t="str">
        <x:v>P3</x:v>
      </x:c>
      <x:c r="G24" s="83" t="str">
        <x:v>Usato per navigazione del corpus.</x:v>
      </x:c>
    </x:row>
    <x:row r="25">
      <x:c r="A25" s="83" t="str">
        <x:v>S03</x:v>
      </x:c>
      <x:c r="B25" s="83" t="str">
        <x:v>Benefici di sistema e analisi robustezza rete</x:v>
      </x:c>
      <x:c r="C25" s="83" t="str">
        <x:v>1. Impatto degli sviluppi di rete</x:v>
      </x:c>
      <x:c r="D25" s="83" t="str">
        <x:v>7-12</x:v>
      </x:c>
      <x:c r="E25" s="83" t="str">
        <x:v>Scenario; congestioni; validazione</x:v>
      </x:c>
      <x:c r="F25" s="83" t="str">
        <x:v>P1</x:v>
      </x:c>
      <x:c r="G25" s="83" t="str">
        <x:v>Confronti con/senza interventi.</x:v>
      </x:c>
    </x:row>
    <x:row r="26">
      <x:c r="A26" s="83" t="str">
        <x:v>S03</x:v>
      </x:c>
      <x:c r="B26" s="83" t="str">
        <x:v>Benefici di sistema e analisi robustezza rete</x:v>
      </x:c>
      <x:c r="C26" s="83" t="str">
        <x:v>2.1 Capacità di trasporto con l'estero</x:v>
      </x:c>
      <x:c r="D26" s="83" t="str">
        <x:v>15-15</x:v>
      </x:c>
      <x:c r="E26" s="83" t="str">
        <x:v>Interconnessioni</x:v>
      </x:c>
      <x:c r="F26" s="83" t="str">
        <x:v>P1</x:v>
      </x:c>
      <x:c r="G26" s="83" t="str">
        <x:v>Tabella progetti/capacità previsionali.</x:v>
      </x:c>
    </x:row>
    <x:row r="27">
      <x:c r="A27" s="83" t="str">
        <x:v>S03</x:v>
      </x:c>
      <x:c r="B27" s="83" t="str">
        <x:v>Benefici di sistema e analisi robustezza rete</x:v>
      </x:c>
      <x:c r="C27" s="83" t="str">
        <x:v>2.2 Capacità tra zone di mercato</x:v>
      </x:c>
      <x:c r="D27" s="83" t="str">
        <x:v>16-18</x:v>
      </x:c>
      <x:c r="E27" s="83" t="str">
        <x:v>Trasmissione zonale</x:v>
      </x:c>
      <x:c r="F27" s="83" t="str">
        <x:v>P1</x:v>
      </x:c>
      <x:c r="G27" s="83" t="str">
        <x:v>Input centrale per Link/Line zonali.</x:v>
      </x:c>
    </x:row>
    <x:row r="28">
      <x:c r="A28" s="83" t="str">
        <x:v>S03</x:v>
      </x:c>
      <x:c r="B28" s="83" t="str">
        <x:v>Benefici di sistema e analisi robustezza rete</x:v>
      </x:c>
      <x:c r="C28" s="83" t="str">
        <x:v>3. Adeguatezza</x:v>
      </x:c>
      <x:c r="D28" s="83" t="str">
        <x:v>19-22</x:v>
      </x:c>
      <x:c r="E28" s="83" t="str">
        <x:v>Adeguatezza; load shedding; validazione</x:v>
      </x:c>
      <x:c r="F28" s="83" t="str">
        <x:v>P2</x:v>
      </x:c>
      <x:c r="G28" s="83" t="str">
        <x:v>Indicatori LOLE/EENS e parco disponibile.</x:v>
      </x:c>
    </x:row>
    <x:row r="29">
      <x:c r="A29" s="83" t="str">
        <x:v>S03</x:v>
      </x:c>
      <x:c r="B29" s="83" t="str">
        <x:v>Benefici di sistema e analisi robustezza rete</x:v>
      </x:c>
      <x:c r="C29" s="83" t="str">
        <x:v>4. Integrazione FER e riserva</x:v>
      </x:c>
      <x:c r="D29" s="83" t="str">
        <x:v>23-28</x:v>
      </x:c>
      <x:c r="E29" s="83" t="str">
        <x:v>Curtailment; riserva; accumuli</x:v>
      </x:c>
      <x:c r="F29" s="83" t="str">
        <x:v>P1</x:v>
      </x:c>
      <x:c r="G29" s="83" t="str">
        <x:v>Validazione del modello e sensitività.</x:v>
      </x:c>
    </x:row>
    <x:row r="30">
      <x:c r="A30" s="83" t="str">
        <x:v>S03</x:v>
      </x:c>
      <x:c r="B30" s="83" t="str">
        <x:v>Benefici di sistema e analisi robustezza rete</x:v>
      </x:c>
      <x:c r="C30" s="83" t="str">
        <x:v>5. Emissioni e perdite</x:v>
      </x:c>
      <x:c r="D30" s="83" t="str">
        <x:v>29-32</x:v>
      </x:c>
      <x:c r="E30" s="83" t="str">
        <x:v>CO2; perdite; validazione</x:v>
      </x:c>
      <x:c r="F30" s="83" t="str">
        <x:v>P2</x:v>
      </x:c>
      <x:c r="G30" s="83" t="str">
        <x:v>Perdite e benefici emissivi.</x:v>
      </x:c>
    </x:row>
    <x:row r="31">
      <x:c r="A31" s="83" t="str">
        <x:v>S03</x:v>
      </x:c>
      <x:c r="B31" s="83" t="str">
        <x:v>Benefici di sistema e analisi robustezza rete</x:v>
      </x:c>
      <x:c r="C31" s="83" t="str">
        <x:v>6-7 Dinamica e system strength</x:v>
      </x:c>
      <x:c r="D31" s="83" t="str">
        <x:v>33-56</x:v>
      </x:c>
      <x:c r="E31" s="83" t="str">
        <x:v>Stabilità; inverter-based</x:v>
      </x:c>
      <x:c r="F31" s="83" t="str">
        <x:v>P3</x:v>
      </x:c>
      <x:c r="G31" s="83" t="str">
        <x:v>Non rappresentato direttamente nel modello zonale; documentare come limite.</x:v>
      </x:c>
    </x:row>
    <x:row r="32">
      <x:c r="A32" s="83" t="str">
        <x:v>S03</x:v>
      </x:c>
      <x:c r="B32" s="83" t="str">
        <x:v>Benefici di sistema e analisi robustezza rete</x:v>
      </x:c>
      <x:c r="C32" s="83" t="str">
        <x:v>8. Conclusioni</x:v>
      </x:c>
      <x:c r="D32" s="83" t="str">
        <x:v>57-64</x:v>
      </x:c>
      <x:c r="E32" s="83" t="str">
        <x:v>Sintesi</x:v>
      </x:c>
      <x:c r="F32" s="83" t="str">
        <x:v>P3</x:v>
      </x:c>
      <x:c r="G32" s="83" t="str">
        <x:v>Riepilogo, nessuna estrazione autonoma.</x:v>
      </x:c>
    </x:row>
    <x:row r="33">
      <x:c r="A33" s="83" t="str">
        <x:v>S04</x:v>
      </x:c>
      <x:c r="B33" s="83" t="str">
        <x:v>Programmazione territoriale efficiente e interventi di connessione</x:v>
      </x:c>
      <x:c r="C33" s="83" t="str">
        <x:v>1.1 Richieste FER AT/MT-BT</x:v>
      </x:c>
      <x:c r="D33" s="83" t="str">
        <x:v>11-24</x:v>
      </x:c>
      <x:c r="E33" s="83" t="str">
        <x:v>Capacità pipeline; geografia</x:v>
      </x:c>
      <x:c r="F33" s="83" t="str">
        <x:v>P1</x:v>
      </x:c>
      <x:c r="G33" s="83" t="str">
        <x:v>Usare solo come pipeline/proxy territoriale filtrato.</x:v>
      </x:c>
    </x:row>
    <x:row r="34">
      <x:c r="A34" s="83" t="str">
        <x:v>S04</x:v>
      </x:c>
      <x:c r="B34" s="83" t="str">
        <x:v>Programmazione territoriale efficiente e interventi di connessione</x:v>
      </x:c>
      <x:c r="C34" s="83" t="str">
        <x:v>1.2 Accumuli e pompaggi</x:v>
      </x:c>
      <x:c r="D34" s="83" t="str">
        <x:v>25-32</x:v>
      </x:c>
      <x:c r="E34" s="83" t="str">
        <x:v>Accumuli; capacità pipeline</x:v>
      </x:c>
      <x:c r="F34" s="83" t="str">
        <x:v>P1</x:v>
      </x:c>
      <x:c r="G34" s="83" t="str">
        <x:v>Distingue elettrochimico e idroelettrico; include durata assunta.</x:v>
      </x:c>
    </x:row>
    <x:row r="35">
      <x:c r="A35" s="83" t="str">
        <x:v>S04</x:v>
      </x:c>
      <x:c r="B35" s="83" t="str">
        <x:v>Programmazione territoriale efficiente e interventi di connessione</x:v>
      </x:c>
      <x:c r="C35" s="83" t="str">
        <x:v>1.3 Utenti passivi RTN</x:v>
      </x:c>
      <x:c r="D35" s="83" t="str">
        <x:v>33-39</x:v>
      </x:c>
      <x:c r="E35" s="83" t="str">
        <x:v>Domanda; grandi carichi; geografia</x:v>
      </x:c>
      <x:c r="F35" s="83" t="str">
        <x:v>P1</x:v>
      </x:c>
      <x:c r="G35" s="83" t="str">
        <x:v>Data center, RFI, cold ironing.</x:v>
      </x:c>
    </x:row>
    <x:row r="36">
      <x:c r="A36" s="83" t="str">
        <x:v>S04</x:v>
      </x:c>
      <x:c r="B36" s="83" t="str">
        <x:v>Programmazione territoriale efficiente e interventi di connessione</x:v>
      </x:c>
      <x:c r="C36" s="83" t="str">
        <x:v>1.4 Cabine primarie</x:v>
      </x:c>
      <x:c r="D36" s="83" t="str">
        <x:v>40-42</x:v>
      </x:c>
      <x:c r="E36" s="83" t="str">
        <x:v>Domanda; distribuzione</x:v>
      </x:c>
      <x:c r="F36" s="83" t="str">
        <x:v>P2</x:v>
      </x:c>
      <x:c r="G36" s="83" t="str">
        <x:v>Segnali di domanda e generazione distribuita.</x:v>
      </x:c>
    </x:row>
    <x:row r="37">
      <x:c r="A37" s="83" t="str">
        <x:v>S04</x:v>
      </x:c>
      <x:c r="B37" s="83" t="str">
        <x:v>Programmazione territoriale efficiente e interventi di connessione</x:v>
      </x:c>
      <x:c r="C37" s="83" t="str">
        <x:v>1.5 Produzione convenzionale</x:v>
      </x:c>
      <x:c r="D37" s="83" t="str">
        <x:v>43-44</x:v>
      </x:c>
      <x:c r="E37" s="83" t="str">
        <x:v>Capacità termica; pipeline</x:v>
      </x:c>
      <x:c r="F37" s="83" t="str">
        <x:v>P2</x:v>
      </x:c>
      <x:c r="G37" s="83" t="str">
        <x:v>Connessioni non equivalenti a installato futuro.</x:v>
      </x:c>
    </x:row>
    <x:row r="38">
      <x:c r="A38" s="83" t="str">
        <x:v>S04</x:v>
      </x:c>
      <x:c r="B38" s="83" t="str">
        <x:v>Programmazione territoriale efficiente e interventi di connessione</x:v>
      </x:c>
      <x:c r="C38" s="83" t="str">
        <x:v>2.1 Programmazione territoriale e TE.R.R.A.</x:v>
      </x:c>
      <x:c r="D38" s="83" t="str">
        <x:v>47-54</x:v>
      </x:c>
      <x:c r="E38" s="83" t="str">
        <x:v>Geografia; microzone; capacità di rete</x:v>
      </x:c>
      <x:c r="F38" s="83" t="str">
        <x:v>P1</x:v>
      </x:c>
      <x:c r="G38" s="83" t="str">
        <x:v>Possibile base per mapping sub-zonale e remaining capacity.</x:v>
      </x:c>
    </x:row>
    <x:row r="39">
      <x:c r="A39" s="83" t="str">
        <x:v>S04</x:v>
      </x:c>
      <x:c r="B39" s="83" t="str">
        <x:v>Programmazione territoriale efficiente e interventi di connessione</x:v>
      </x:c>
      <x:c r="C39" s="83" t="str">
        <x:v>2.2-2.4 Gestione grandi carichi/accumuli/CP</x:v>
      </x:c>
      <x:c r="D39" s="83" t="str">
        <x:v>55-58</x:v>
      </x:c>
      <x:c r="E39" s="83" t="str">
        <x:v>Domanda; accumuli; connessioni</x:v>
      </x:c>
      <x:c r="F39" s="83" t="str">
        <x:v>P2</x:v>
      </x:c>
      <x:c r="G39" s="83" t="str">
        <x:v>Contesto procedurale e tempistiche.</x:v>
      </x:c>
    </x:row>
    <x:row r="40">
      <x:c r="A40" s="83" t="str">
        <x:v>S04</x:v>
      </x:c>
      <x:c r="B40" s="83" t="str">
        <x:v>Programmazione territoriale efficiente e interventi di connessione</x:v>
      </x:c>
      <x:c r="C40" s="83" t="str">
        <x:v>Appendice 1 - accesso RTN</x:v>
      </x:c>
      <x:c r="D40" s="83" t="str">
        <x:v>59-64</x:v>
      </x:c>
      <x:c r="E40" s="83" t="str">
        <x:v>Metodologia; status progetti</x:v>
      </x:c>
      <x:c r="F40" s="83" t="str">
        <x:v>P2</x:v>
      </x:c>
      <x:c r="G40" s="83" t="str">
        <x:v>Necessaria per interpretare maturità delle richieste.</x:v>
      </x:c>
    </x:row>
    <x:row r="41">
      <x:c r="A41" s="83" t="str">
        <x:v>S04</x:v>
      </x:c>
      <x:c r="B41" s="83" t="str">
        <x:v>Programmazione territoriale efficiente e interventi di connessione</x:v>
      </x:c>
      <x:c r="C41" s="83" t="str">
        <x:v>Appendice 2 - interventi di connessione</x:v>
      </x:c>
      <x:c r="D41" s="83" t="str">
        <x:v>65-105</x:v>
      </x:c>
      <x:c r="E41" s="83" t="str">
        <x:v>Geografia; progetti; capacità</x:v>
      </x:c>
      <x:c r="F41" s="83" t="str">
        <x:v>P1</x:v>
      </x:c>
      <x:c r="G41" s="83" t="str">
        <x:v>Schede e tabelle per regione/comune; richiede strutturazione.</x:v>
      </x:c>
    </x:row>
    <x:row r="42">
      <x:c r="A42" s="83" t="str">
        <x:v>S05</x:v>
      </x:c>
      <x:c r="B42" s="83" t="str">
        <x:v>Esigenze di sviluppo: i nuovi progetti</x:v>
      </x:c>
      <x:c r="C42" s="83" t="str">
        <x:v>1. Esigenze del sistema</x:v>
      </x:c>
      <x:c r="D42" s="83" t="str">
        <x:v>8-17</x:v>
      </x:c>
      <x:c r="E42" s="83" t="str">
        <x:v>Trasmissione; interconnessioni; flessibilità</x:v>
      </x:c>
      <x:c r="F42" s="83" t="str">
        <x:v>P1</x:v>
      </x:c>
      <x:c r="G42" s="83" t="str">
        <x:v>Driver e target capacity.</x:v>
      </x:c>
    </x:row>
    <x:row r="43">
      <x:c r="A43" s="83" t="str">
        <x:v>S05</x:v>
      </x:c>
      <x:c r="B43" s="83" t="str">
        <x:v>Esigenze di sviluppo: i nuovi progetti</x:v>
      </x:c>
      <x:c r="C43" s="83" t="str">
        <x:v>2. Piano investimenti</x:v>
      </x:c>
      <x:c r="D43" s="83" t="str">
        <x:v>18-23</x:v>
      </x:c>
      <x:c r="E43" s="83" t="str">
        <x:v>Costi di rete; cronologia</x:v>
      </x:c>
      <x:c r="F43" s="83" t="str">
        <x:v>P2</x:v>
      </x:c>
      <x:c r="G43" s="83" t="str">
        <x:v>Contesto e stato del portafoglio.</x:v>
      </x:c>
    </x:row>
    <x:row r="44">
      <x:c r="A44" s="83" t="str">
        <x:v>S05</x:v>
      </x:c>
      <x:c r="B44" s="83" t="str">
        <x:v>Esigenze di sviluppo: i nuovi progetti</x:v>
      </x:c>
      <x:c r="C44" s="83" t="str">
        <x:v>3. Rete infrastrutturale e architettura 2034/2040</x:v>
      </x:c>
      <x:c r="D44" s="83" t="str">
        <x:v>24-33</x:v>
      </x:c>
      <x:c r="E44" s="83" t="str">
        <x:v>Topologia; trasmissione; geografia</x:v>
      </x:c>
      <x:c r="F44" s="83" t="str">
        <x:v>P1</x:v>
      </x:c>
      <x:c r="G44" s="83" t="str">
        <x:v>Mappe e architettura futura.</x:v>
      </x:c>
    </x:row>
    <x:row r="45">
      <x:c r="A45" s="83" t="str">
        <x:v>S05</x:v>
      </x:c>
      <x:c r="B45" s="83" t="str">
        <x:v>Esigenze di sviluppo: i nuovi progetti</x:v>
      </x:c>
      <x:c r="C45" s="83" t="str">
        <x:v>4. Massimizzazione asset</x:v>
      </x:c>
      <x:c r="D45" s="83" t="str">
        <x:v>34-49</x:v>
      </x:c>
      <x:c r="E45" s="83" t="str">
        <x:v>Capacità; tempistiche; sensitività</x:v>
      </x:c>
      <x:c r="F45" s="83" t="str">
        <x:v>P1</x:v>
      </x:c>
      <x:c r="G45" s="83" t="str">
        <x:v>Reconductoring, DTR e rimozione limitazioni.</x:v>
      </x:c>
    </x:row>
    <x:row r="46">
      <x:c r="A46" s="83" t="str">
        <x:v>S05</x:v>
      </x:c>
      <x:c r="B46" s="83" t="str">
        <x:v>Esigenze di sviluppo: i nuovi progetti</x:v>
      </x:c>
      <x:c r="C46" s="83" t="str">
        <x:v>5. Interconnessioni con l'estero</x:v>
      </x:c>
      <x:c r="D46" s="83" t="str">
        <x:v>50-69</x:v>
      </x:c>
      <x:c r="E46" s="83" t="str">
        <x:v>Interconnessioni; import/export</x:v>
      </x:c>
      <x:c r="F46" s="83" t="str">
        <x:v>P1</x:v>
      </x:c>
      <x:c r="G46" s="83" t="str">
        <x:v>Progetti, merchant lines e Nord Africa.</x:v>
      </x:c>
    </x:row>
    <x:row r="47">
      <x:c r="A47" s="83" t="str">
        <x:v>S05</x:v>
      </x:c>
      <x:c r="B47" s="83" t="str">
        <x:v>Esigenze di sviluppo: i nuovi progetti</x:v>
      </x:c>
      <x:c r="C47" s="83" t="str">
        <x:v>6. Nuovi interventi per area</x:v>
      </x:c>
      <x:c r="D47" s="83" t="str">
        <x:v>70-87</x:v>
      </x:c>
      <x:c r="E47" s="83" t="str">
        <x:v>Progetti; geografia</x:v>
      </x:c>
      <x:c r="F47" s="83" t="str">
        <x:v>P1</x:v>
      </x:c>
      <x:c r="G47" s="83" t="str">
        <x:v>Schede Nord-Ovest/Nord-Est/Centro-Sud.</x:v>
      </x:c>
    </x:row>
    <x:row r="48">
      <x:c r="A48" s="83" t="str">
        <x:v>S05</x:v>
      </x:c>
      <x:c r="B48" s="83" t="str">
        <x:v>Esigenze di sviluppo: i nuovi progetti</x:v>
      </x:c>
      <x:c r="C48" s="83" t="str">
        <x:v>7. Piano minimo di realizzazioni</x:v>
      </x:c>
      <x:c r="D48" s="83" t="str">
        <x:v>88-100</x:v>
      </x:c>
      <x:c r="E48" s="83" t="str">
        <x:v>Cronologia; stato progetti</x:v>
      </x:c>
      <x:c r="F48" s="83" t="str">
        <x:v>P1</x:v>
      </x:c>
      <x:c r="G48" s="83" t="str">
        <x:v>Base per scenario rete conservativo.</x:v>
      </x:c>
    </x:row>
    <x:row r="49">
      <x:c r="A49" s="83" t="str">
        <x:v>S06</x:v>
      </x:c>
      <x:c r="B49" s="83" t="str">
        <x:v>Pianificazione della rete elettrica</x:v>
      </x:c>
      <x:c r="C49" s="83" t="str">
        <x:v>1. Obiettivi, criteri e linee guida</x:v>
      </x:c>
      <x:c r="D49" s="83" t="str">
        <x:v>7-12</x:v>
      </x:c>
      <x:c r="E49" s="83" t="str">
        <x:v>Metodologia; status progetti</x:v>
      </x:c>
      <x:c r="F49" s="83" t="str">
        <x:v>P2</x:v>
      </x:c>
      <x:c r="G49" s="83" t="str">
        <x:v>Definizioni e governance del PdS.</x:v>
      </x:c>
    </x:row>
    <x:row r="50">
      <x:c r="A50" s="83" t="str">
        <x:v>S06</x:v>
      </x:c>
      <x:c r="B50" s="83" t="str">
        <x:v>Pianificazione della rete elettrica</x:v>
      </x:c>
      <x:c r="C50" s="83" t="str">
        <x:v>2. Stakeholder engagement</x:v>
      </x:c>
      <x:c r="D50" s="83" t="str">
        <x:v>13-26</x:v>
      </x:c>
      <x:c r="E50" s="83" t="str">
        <x:v>Contesto</x:v>
      </x:c>
      <x:c r="F50" s="83" t="str">
        <x:v>P3</x:v>
      </x:c>
      <x:c r="G50" s="83" t="str">
        <x:v>Non input del modello.</x:v>
      </x:c>
    </x:row>
    <x:row r="51">
      <x:c r="A51" s="83" t="str">
        <x:v>S06</x:v>
      </x:c>
      <x:c r="B51" s="83" t="str">
        <x:v>Pianificazione della rete elettrica</x:v>
      </x:c>
      <x:c r="C51" s="83" t="str">
        <x:v>3. Pianificazione europea e TYNDP</x:v>
      </x:c>
      <x:c r="D51" s="83" t="str">
        <x:v>27-36</x:v>
      </x:c>
      <x:c r="E51" s="83" t="str">
        <x:v>Scenari europei; interconnessioni</x:v>
      </x:c>
      <x:c r="F51" s="83" t="str">
        <x:v>P1</x:v>
      </x:c>
      <x:c r="G51" s="83" t="str">
        <x:v>Registro di fonti esterne e coerenza ENTSO-E.</x:v>
      </x:c>
    </x:row>
    <x:row r="52">
      <x:c r="A52" s="83" t="str">
        <x:v>S06</x:v>
      </x:c>
      <x:c r="B52" s="83" t="str">
        <x:v>Pianificazione della rete elettrica</x:v>
      </x:c>
      <x:c r="C52" s="83" t="str">
        <x:v>4. Pianificazione mediterranea</x:v>
      </x:c>
      <x:c r="D52" s="83" t="str">
        <x:v>37-42</x:v>
      </x:c>
      <x:c r="E52" s="83" t="str">
        <x:v>Interconnessioni; Nord Africa</x:v>
      </x:c>
      <x:c r="F52" s="83" t="str">
        <x:v>P2</x:v>
      </x:c>
      <x:c r="G52" s="83" t="str">
        <x:v>Contesto Med-TSO.</x:v>
      </x:c>
    </x:row>
    <x:row r="53">
      <x:c r="A53" s="83" t="str">
        <x:v>S06</x:v>
      </x:c>
      <x:c r="B53" s="83" t="str">
        <x:v>Pianificazione della rete elettrica</x:v>
      </x:c>
      <x:c r="C53" s="83" t="str">
        <x:v>5. Interoperabilità TSO-DSO e nuovi carichi</x:v>
      </x:c>
      <x:c r="D53" s="83" t="str">
        <x:v>43-58</x:v>
      </x:c>
      <x:c r="E53" s="83" t="str">
        <x:v>Domanda; accumuli; geografia</x:v>
      </x:c>
      <x:c r="F53" s="83" t="str">
        <x:v>P1</x:v>
      </x:c>
      <x:c r="G53" s="83" t="str">
        <x:v>Data center, storage, cold ironing, e-mobility.</x:v>
      </x:c>
    </x:row>
    <x:row r="54">
      <x:c r="A54" s="83" t="str">
        <x:v>S06</x:v>
      </x:c>
      <x:c r="B54" s="83" t="str">
        <x:v>Pianificazione della rete elettrica</x:v>
      </x:c>
      <x:c r="C54" s="83" t="str">
        <x:v>6. Digitalizzazione</x:v>
      </x:c>
      <x:c r="D54" s="83" t="str">
        <x:v>59-70</x:v>
      </x:c>
      <x:c r="E54" s="83" t="str">
        <x:v>Contesto rete</x:v>
      </x:c>
      <x:c r="F54" s="83" t="str">
        <x:v>P3</x:v>
      </x:c>
      <x:c r="G54" s="83" t="str">
        <x:v>Non input del dispatch.</x:v>
      </x:c>
    </x:row>
    <x:row r="55">
      <x:c r="A55" s="83" t="str">
        <x:v>S06</x:v>
      </x:c>
      <x:c r="B55" s="83" t="str">
        <x:v>Pianificazione della rete elettrica</x:v>
      </x:c>
      <x:c r="C55" s="83" t="str">
        <x:v>7. Finanza agevolata</x:v>
      </x:c>
      <x:c r="D55" s="83" t="str">
        <x:v>71-89</x:v>
      </x:c>
      <x:c r="E55" s="83" t="str">
        <x:v>Investimenti contestuali</x:v>
      </x:c>
      <x:c r="F55" s="83" t="str">
        <x:v>P3</x:v>
      </x:c>
      <x:c r="G55" s="83" t="str">
        <x:v>Non input del dispatch.</x:v>
      </x:c>
    </x:row>
    <x:row r="56">
      <x:c r="A56" s="83" t="str">
        <x:v>S07</x:v>
      </x:c>
      <x:c r="B56" s="83" t="str">
        <x:v>Prospettive di Sviluppo del Sistema Energetico 2050 - Copertura della domanda elettrica</x:v>
      </x:c>
      <x:c r="C56" s="83" t="str">
        <x:v>1. Introduzione</x:v>
      </x:c>
      <x:c r="D56" s="83" t="str">
        <x:v>4-4</x:v>
      </x:c>
      <x:c r="E56" s="83" t="str">
        <x:v>Metodologia; perimetro</x:v>
      </x:c>
      <x:c r="F56" s="83" t="str">
        <x:v>P2</x:v>
      </x:c>
      <x:c r="G56" s="83" t="str">
        <x:v>Nota ex Delibera ARERA 392/2024; dati nazionali.</x:v>
      </x:c>
    </x:row>
    <x:row r="57">
      <x:c r="A57" s="83" t="str">
        <x:v>S07</x:v>
      </x:c>
      <x:c r="B57" s="83" t="str">
        <x:v>Prospettive di Sviluppo del Sistema Energetico 2050 - Copertura della domanda elettrica</x:v>
      </x:c>
      <x:c r="C57" s="83" t="str">
        <x:v>2.1 Dipendenza e prezzi</x:v>
      </x:c>
      <x:c r="D57" s="83" t="str">
        <x:v>5-9</x:v>
      </x:c>
      <x:c r="E57" s="83" t="str">
        <x:v>Prezzi; fuel; marginal cost</x:v>
      </x:c>
      <x:c r="F57" s="83" t="str">
        <x:v>P1</x:v>
      </x:c>
      <x:c r="G57" s="83" t="str">
        <x:v>Relazione gas-PUN e costo variabile CCGT.</x:v>
      </x:c>
    </x:row>
    <x:row r="58">
      <x:c r="A58" s="83" t="str">
        <x:v>S07</x:v>
      </x:c>
      <x:c r="B58" s="83" t="str">
        <x:v>Prospettive di Sviluppo del Sistema Energetico 2050 - Copertura della domanda elettrica</x:v>
      </x:c>
      <x:c r="C58" s="83" t="str">
        <x:v>2.2 Trend di sistema</x:v>
      </x:c>
      <x:c r="D58" s="83" t="str">
        <x:v>10-19</x:v>
      </x:c>
      <x:c r="E58" s="83" t="str">
        <x:v>Capacità; produzione; accumuli</x:v>
      </x:c>
      <x:c r="F58" s="83" t="str">
        <x:v>P1</x:v>
      </x:c>
      <x:c r="G58" s="83" t="str">
        <x:v>Trend UE/Italia e parco termoelettrico.</x:v>
      </x:c>
    </x:row>
    <x:row r="59">
      <x:c r="A59" s="83" t="str">
        <x:v>S07</x:v>
      </x:c>
      <x:c r="B59" s="83" t="str">
        <x:v>Prospettive di Sviluppo del Sistema Energetico 2050 - Copertura della domanda elettrica</x:v>
      </x:c>
      <x:c r="C59" s="83" t="str">
        <x:v>2.3 Trend di mercato</x:v>
      </x:c>
      <x:c r="D59" s="83" t="str">
        <x:v>20-21</x:v>
      </x:c>
      <x:c r="E59" s="83" t="str">
        <x:v>Prezzi; overgeneration</x:v>
      </x:c>
      <x:c r="F59" s="83" t="str">
        <x:v>P2</x:v>
      </x:c>
      <x:c r="G59" s="83" t="str">
        <x:v>Prezzi bassi/negativi e marginalità.</x:v>
      </x:c>
    </x:row>
    <x:row r="60">
      <x:c r="A60" s="83" t="str">
        <x:v>S07</x:v>
      </x:c>
      <x:c r="B60" s="83" t="str">
        <x:v>Prospettive di Sviluppo del Sistema Energetico 2050 - Copertura della domanda elettrica</x:v>
      </x:c>
      <x:c r="C60" s="83" t="str">
        <x:v>2.4 Investimenti e strumenti a termine</x:v>
      </x:c>
      <x:c r="D60" s="83" t="str">
        <x:v>22-27</x:v>
      </x:c>
      <x:c r="E60" s="83" t="str">
        <x:v>CAPEX/OPEX; LCOE; contesto</x:v>
      </x:c>
      <x:c r="F60" s="83" t="str">
        <x:v>P1</x:v>
      </x:c>
      <x:c r="G60" s="83" t="str">
        <x:v>Costi tecnologici e distinzione costi fissi/variabili.</x:v>
      </x:c>
    </x:row>
    <x:row r="61">
      <x:c r="A61" s="83" t="str">
        <x:v>S07</x:v>
      </x:c>
      <x:c r="B61" s="83" t="str">
        <x:v>Prospettive di Sviluppo del Sistema Energetico 2050 - Copertura della domanda elettrica</x:v>
      </x:c>
      <x:c r="C61" s="83" t="str">
        <x:v>3. Evoluzione 2030-2040</x:v>
      </x:c>
      <x:c r="D61" s="83" t="str">
        <x:v>28-30</x:v>
      </x:c>
      <x:c r="E61" s="83" t="str">
        <x:v>Scenario; domanda; capacità; bilancio</x:v>
      </x:c>
      <x:c r="F61" s="83" t="str">
        <x:v>P1</x:v>
      </x:c>
      <x:c r="G61" s="83" t="str">
        <x:v>Crosswalk DDS 2024 e punto di partenza 2050.</x:v>
      </x:c>
    </x:row>
    <x:row r="62">
      <x:c r="A62" s="83" t="str">
        <x:v>S07</x:v>
      </x:c>
      <x:c r="B62" s="83" t="str">
        <x:v>Prospettive di Sviluppo del Sistema Energetico 2050 - Copertura della domanda elettrica</x:v>
      </x:c>
      <x:c r="C62" s="83" t="str">
        <x:v>4. Interazione stakeholder</x:v>
      </x:c>
      <x:c r="D62" s="83" t="str">
        <x:v>31-32</x:v>
      </x:c>
      <x:c r="E62" s="83" t="str">
        <x:v>Validazione qualitativa</x:v>
      </x:c>
      <x:c r="F62" s="83" t="str">
        <x:v>P2</x:v>
      </x:c>
      <x:c r="G62" s="83" t="str">
        <x:v>Contesto di robustezza delle ipotesi.</x:v>
      </x:c>
    </x:row>
    <x:row r="63">
      <x:c r="A63" s="83" t="str">
        <x:v>S07</x:v>
      </x:c>
      <x:c r="B63" s="83" t="str">
        <x:v>Prospettive di Sviluppo del Sistema Energetico 2050 - Copertura della domanda elettrica</x:v>
      </x:c>
      <x:c r="C63" s="83" t="str">
        <x:v>5.1 Tecnologie mature/emergenti</x:v>
      </x:c>
      <x:c r="D63" s="83" t="str">
        <x:v>33-48</x:v>
      </x:c>
      <x:c r="E63" s="83" t="str">
        <x:v>CAPEX; LCOE; efficienza; tecnologie</x:v>
      </x:c>
      <x:c r="F63" s="83" t="str">
        <x:v>P1</x:v>
      </x:c>
      <x:c r="G63" s="83" t="str">
        <x:v>Solare, eolico, batterie, nucleare, offshore, CCUS.</x:v>
      </x:c>
    </x:row>
    <x:row r="64">
      <x:c r="A64" s="83" t="str">
        <x:v>S07</x:v>
      </x:c>
      <x:c r="B64" s="83" t="str">
        <x:v>Prospettive di Sviluppo del Sistema Energetico 2050 - Copertura della domanda elettrica</x:v>
      </x:c>
      <x:c r="C64" s="83" t="str">
        <x:v>5.2 Copertura della domanda 2050</x:v>
      </x:c>
      <x:c r="D64" s="83" t="str">
        <x:v>49-60</x:v>
      </x:c>
      <x:c r="E64" s="83" t="str">
        <x:v>Domanda; capacità; bilancio; accumuli</x:v>
      </x:c>
      <x:c r="F64" s="83" t="str">
        <x:v>P1</x:v>
      </x:c>
      <x:c r="G64" s="83" t="str">
        <x:v>Nucleo quantitativo 2050.</x:v>
      </x:c>
    </x:row>
    <x:row r="65">
      <x:c r="A65" s="83" t="str">
        <x:v>S07</x:v>
      </x:c>
      <x:c r="B65" s="83" t="str">
        <x:v>Prospettive di Sviluppo del Sistema Energetico 2050 - Copertura della domanda elettrica</x:v>
      </x:c>
      <x:c r="C65" s="83" t="str">
        <x:v>5.3 Adeguatezza e flessibilità</x:v>
      </x:c>
      <x:c r="D65" s="83" t="str">
        <x:v>61-70</x:v>
      </x:c>
      <x:c r="E65" s="83" t="str">
        <x:v>Adeguatezza; carico residuo; flessibilità</x:v>
      </x:c>
      <x:c r="F65" s="83" t="str">
        <x:v>P1</x:v>
      </x:c>
      <x:c r="G65" s="83" t="str">
        <x:v>Validazione e dimensionamento risorse.</x:v>
      </x:c>
    </x:row>
    <x:row r="66">
      <x:c r="A66" s="83" t="str">
        <x:v>S08</x:v>
      </x:c>
      <x:c r="B66" s="83" t="str">
        <x:v>Piano Nazionale Integrato per l'Energia e il Clima</x:v>
      </x:c>
      <x:c r="C66" s="83" t="str">
        <x:v>1. Schema generale e processo</x:v>
      </x:c>
      <x:c r="D66" s="83" t="str">
        <x:v>4-72</x:v>
      </x:c>
      <x:c r="E66" s="83" t="str">
        <x:v>Contesto; baseline politica</x:v>
      </x:c>
      <x:c r="F66" s="83" t="str">
        <x:v>P2</x:v>
      </x:c>
      <x:c r="G66" s="83" t="str">
        <x:v>Sintesi e situazione attuale; estrazione selettiva.</x:v>
      </x:c>
    </x:row>
    <x:row r="67">
      <x:c r="A67" s="83" t="str">
        <x:v>S08</x:v>
      </x:c>
      <x:c r="B67" s="83" t="str">
        <x:v>Piano Nazionale Integrato per l'Energia e il Clima</x:v>
      </x:c>
      <x:c r="C67" s="83" t="str">
        <x:v>2.1.1 Emissioni</x:v>
      </x:c>
      <x:c r="D67" s="83" t="str">
        <x:v>73-83</x:v>
      </x:c>
      <x:c r="E67" s="83" t="str">
        <x:v>CO2; fattori emissivi; scenari</x:v>
      </x:c>
      <x:c r="F67" s="83" t="str">
        <x:v>P2</x:v>
      </x:c>
      <x:c r="G67" s="83" t="str">
        <x:v>Target e traiettorie.</x:v>
      </x:c>
    </x:row>
    <x:row r="68">
      <x:c r="A68" s="83" t="str">
        <x:v>S08</x:v>
      </x:c>
      <x:c r="B68" s="83" t="str">
        <x:v>Piano Nazionale Integrato per l'Energia e il Clima</x:v>
      </x:c>
      <x:c r="C68" s="83" t="str">
        <x:v>2.1.2 Energia rinnovabile</x:v>
      </x:c>
      <x:c r="D68" s="83" t="str">
        <x:v>84-115</x:v>
      </x:c>
      <x:c r="E68" s="83" t="str">
        <x:v>Capacità; produzione; settori</x:v>
      </x:c>
      <x:c r="F68" s="83" t="str">
        <x:v>P1</x:v>
      </x:c>
      <x:c r="G68" s="83" t="str">
        <x:v>Target FER e potenza 2030.</x:v>
      </x:c>
    </x:row>
    <x:row r="69">
      <x:c r="A69" s="83" t="str">
        <x:v>S08</x:v>
      </x:c>
      <x:c r="B69" s="83" t="str">
        <x:v>Piano Nazionale Integrato per l'Energia e il Clima</x:v>
      </x:c>
      <x:c r="C69" s="83" t="str">
        <x:v>2.2 Efficienza energetica</x:v>
      </x:c>
      <x:c r="D69" s="83" t="str">
        <x:v>116-142</x:v>
      </x:c>
      <x:c r="E69" s="83" t="str">
        <x:v>Domanda; consumi settoriali</x:v>
      </x:c>
      <x:c r="F69" s="83" t="str">
        <x:v>P1</x:v>
      </x:c>
      <x:c r="G69" s="83" t="str">
        <x:v>Base per elettrificazione/consumi.</x:v>
      </x:c>
    </x:row>
    <x:row r="70">
      <x:c r="A70" s="83" t="str">
        <x:v>S08</x:v>
      </x:c>
      <x:c r="B70" s="83" t="str">
        <x:v>Piano Nazionale Integrato per l'Energia e il Clima</x:v>
      </x:c>
      <x:c r="C70" s="83" t="str">
        <x:v>2.3 Sicurezza energetica</x:v>
      </x:c>
      <x:c r="D70" s="83" t="str">
        <x:v>143-158</x:v>
      </x:c>
      <x:c r="E70" s="83" t="str">
        <x:v>Fuel; importazioni; adeguatezza</x:v>
      </x:c>
      <x:c r="F70" s="83" t="str">
        <x:v>P2</x:v>
      </x:c>
      <x:c r="G70" s="83" t="str">
        <x:v>Contesto commodity e disponibilità.</x:v>
      </x:c>
    </x:row>
    <x:row r="71">
      <x:c r="A71" s="83" t="str">
        <x:v>S08</x:v>
      </x:c>
      <x:c r="B71" s="83" t="str">
        <x:v>Piano Nazionale Integrato per l'Energia e il Clima</x:v>
      </x:c>
      <x:c r="C71" s="83" t="str">
        <x:v>2.4 Mercato interno</x:v>
      </x:c>
      <x:c r="D71" s="83" t="str">
        <x:v>159-178</x:v>
      </x:c>
      <x:c r="E71" s="83" t="str">
        <x:v>Interconnessioni; rete; mercato; prezzi</x:v>
      </x:c>
      <x:c r="F71" s="83" t="str">
        <x:v>P1</x:v>
      </x:c>
      <x:c r="G71" s="83" t="str">
        <x:v>Topologia, mercato e politiche.</x:v>
      </x:c>
    </x:row>
    <x:row r="72">
      <x:c r="A72" s="83" t="str">
        <x:v>S08</x:v>
      </x:c>
      <x:c r="B72" s="83" t="str">
        <x:v>Piano Nazionale Integrato per l'Energia e il Clima</x:v>
      </x:c>
      <x:c r="C72" s="83" t="str">
        <x:v>3. Politiche e misure</x:v>
      </x:c>
      <x:c r="D72" s="83" t="str">
        <x:v>194-362</x:v>
      </x:c>
      <x:c r="E72" s="83" t="str">
        <x:v>Target; strumenti; cronologia</x:v>
      </x:c>
      <x:c r="F72" s="83" t="str">
        <x:v>P2</x:v>
      </x:c>
      <x:c r="G72" s="83" t="str">
        <x:v>Da usare per status e plausibilità, non come dataset unico.</x:v>
      </x:c>
    </x:row>
    <x:row r="73">
      <x:c r="A73" s="83" t="str">
        <x:v>S08</x:v>
      </x:c>
      <x:c r="B73" s="83" t="str">
        <x:v>Piano Nazionale Integrato per l'Energia e il Clima</x:v>
      </x:c>
      <x:c r="C73" s="83" t="str">
        <x:v>4.1 Fattori esogeni</x:v>
      </x:c>
      <x:c r="D73" s="83" t="str">
        <x:v>363-366</x:v>
      </x:c>
      <x:c r="E73" s="83" t="str">
        <x:v>Macro; fuel; CO2</x:v>
      </x:c>
      <x:c r="F73" s="83" t="str">
        <x:v>P1</x:v>
      </x:c>
      <x:c r="G73" s="83" t="str">
        <x:v>Prezzi e driver scenario.</x:v>
      </x:c>
    </x:row>
    <x:row r="74">
      <x:c r="A74" s="83" t="str">
        <x:v>S08</x:v>
      </x:c>
      <x:c r="B74" s="83" t="str">
        <x:v>Piano Nazionale Integrato per l'Energia e il Clima</x:v>
      </x:c>
      <x:c r="C74" s="83" t="str">
        <x:v>4.2 Decarbonizzazione/FER</x:v>
      </x:c>
      <x:c r="D74" s="83" t="str">
        <x:v>367-379</x:v>
      </x:c>
      <x:c r="E74" s="83" t="str">
        <x:v>Capacità; produzione; emissioni</x:v>
      </x:c>
      <x:c r="F74" s="83" t="str">
        <x:v>P1</x:v>
      </x:c>
      <x:c r="G74" s="83" t="str">
        <x:v>Proiezioni WEM fino al 2040.</x:v>
      </x:c>
    </x:row>
    <x:row r="75">
      <x:c r="A75" s="83" t="str">
        <x:v>S08</x:v>
      </x:c>
      <x:c r="B75" s="83" t="str">
        <x:v>Piano Nazionale Integrato per l'Energia e il Clima</x:v>
      </x:c>
      <x:c r="C75" s="83" t="str">
        <x:v>4.3 Efficienza e consumi</x:v>
      </x:c>
      <x:c r="D75" s="83" t="str">
        <x:v>380-397</x:v>
      </x:c>
      <x:c r="E75" s="83" t="str">
        <x:v>Domanda; settori; efficienza</x:v>
      </x:c>
      <x:c r="F75" s="83" t="str">
        <x:v>P1</x:v>
      </x:c>
      <x:c r="G75" s="83" t="str">
        <x:v>Consumi storici/prospettici.</x:v>
      </x:c>
    </x:row>
    <x:row r="76">
      <x:c r="A76" s="83" t="str">
        <x:v>S08</x:v>
      </x:c>
      <x:c r="B76" s="83" t="str">
        <x:v>Piano Nazionale Integrato per l'Energia e il Clima</x:v>
      </x:c>
      <x:c r="C76" s="83" t="str">
        <x:v>4.4 Sicurezza energetica</x:v>
      </x:c>
      <x:c r="D76" s="83" t="str">
        <x:v>398-401</x:v>
      </x:c>
      <x:c r="E76" s="83" t="str">
        <x:v>Fuel; importazioni</x:v>
      </x:c>
      <x:c r="F76" s="83" t="str">
        <x:v>P2</x:v>
      </x:c>
      <x:c r="G76" s="83" t="str">
        <x:v>Baseline e dipendenza.</x:v>
      </x:c>
    </x:row>
    <x:row r="77">
      <x:c r="A77" s="83" t="str">
        <x:v>S08</x:v>
      </x:c>
      <x:c r="B77" s="83" t="str">
        <x:v>Piano Nazionale Integrato per l'Energia e il Clima</x:v>
      </x:c>
      <x:c r="C77" s="83" t="str">
        <x:v>4.5 Mercato interno e prezzi</x:v>
      </x:c>
      <x:c r="D77" s="83" t="str">
        <x:v>402-429</x:v>
      </x:c>
      <x:c r="E77" s="83" t="str">
        <x:v>Interconnessioni; trasmissione; prezzi</x:v>
      </x:c>
      <x:c r="F77" s="83" t="str">
        <x:v>P1</x:v>
      </x:c>
      <x:c r="G77" s="83" t="str">
        <x:v>Mappe, limiti di transito e PUN.</x:v>
      </x:c>
    </x:row>
    <x:row r="78">
      <x:c r="A78" s="83" t="str">
        <x:v>S08</x:v>
      </x:c>
      <x:c r="B78" s="83" t="str">
        <x:v>Piano Nazionale Integrato per l'Energia e il Clima</x:v>
      </x:c>
      <x:c r="C78" s="83" t="str">
        <x:v>5. Valutazione impatti</x:v>
      </x:c>
      <x:c r="D78" s="83" t="str">
        <x:v>456-491</x:v>
      </x:c>
      <x:c r="E78" s="83" t="str">
        <x:v>Scenario 2040; domanda; capacità; investimenti</x:v>
      </x:c>
      <x:c r="F78" s="83" t="str">
        <x:v>P1</x:v>
      </x:c>
      <x:c r="G78" s="83" t="str">
        <x:v>Confronto riferimento/PNIEC e quadro investimenti.</x:v>
      </x:c>
    </x:row>
  </x:sheetData>
  <x:mergeCells>
    <x:mergeCell ref="A1:G1"/>
    <x:mergeCell ref="A2:G2"/>
  </x:mergeCells>
  <x:conditionalFormatting sqref="F5:F78">
    <x:cfRule type="expression" dxfId="2" priority="1">
      <x:formula>F5="P1"</x:formula>
    </x:cfRule>
    <x:cfRule type="expression" dxfId="3" priority="2">
      <x:formula>F5="P2"</x:formula>
    </x:cfRule>
    <x:cfRule type="expression" dxfId="4" priority="3">
      <x:formula>F5="P3"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04ff714d9cf48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32" hidden="0" customWidth="1"/>
    <x:col min="4" max="4" width="10" hidden="0" customWidth="1"/>
    <x:col min="5" max="5" width="9" hidden="0" customWidth="1"/>
    <x:col min="6" max="6" width="10" hidden="0" customWidth="1"/>
    <x:col min="7" max="7" width="12" hidden="0" customWidth="1"/>
    <x:col min="8" max="8" width="34" hidden="0" customWidth="1"/>
    <x:col min="9" max="9" width="65" hidden="0" customWidth="1"/>
    <x:col min="10" max="10" width="30" hidden="0" customWidth="1"/>
    <x:col min="11" max="11" width="24" hidden="0" customWidth="1"/>
    <x:col min="12" max="12" width="42" hidden="0" customWidth="1"/>
    <x:col min="13" max="13" width="10" hidden="0" customWidth="1"/>
    <x:col min="14" max="14" width="22" hidden="0" customWidth="1"/>
  </x:cols>
  <x:sheetData>
    <x:row r="1" ht="34" customHeight="1">
      <x:c r="A1" s="5" t="str">
        <x:v>Catalogo preliminare di tabelle, figure e mappe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8" customHeight="1">
      <x:c r="A2" s="13" t="str">
        <x:v>388 elementi; nessuna estrazione numerica completa in questa fase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4" customHeight="1">
      <x:c r="A4" s="82" t="str">
        <x:v>Catalogue ID</x:v>
      </x:c>
      <x:c r="B4" s="82" t="str">
        <x:v>Source ID</x:v>
      </x:c>
      <x:c r="C4" s="82" t="str">
        <x:v>Documento</x:v>
      </x:c>
      <x:c r="D4" s="82" t="str">
        <x:v>Tipo</x:v>
      </x:c>
      <x:c r="E4" s="82" t="str">
        <x:v>Numero</x:v>
      </x:c>
      <x:c r="F4" s="82" t="str">
        <x:v>Pagina PDF</x:v>
      </x:c>
      <x:c r="G4" s="82" t="str">
        <x:v>Pagina stampata</x:v>
      </x:c>
      <x:c r="H4" s="82" t="str">
        <x:v>Sezione</x:v>
      </x:c>
      <x:c r="I4" s="82" t="str">
        <x:v>Titolo</x:v>
      </x:c>
      <x:c r="J4" s="82" t="str">
        <x:v>Tema</x:v>
      </x:c>
      <x:c r="K4" s="82" t="str">
        <x:v>Priorità</x:v>
      </x:c>
      <x:c r="L4" s="82" t="str">
        <x:v>Metodo previsto</x:v>
      </x:c>
      <x:c r="M4" s="82" t="str">
        <x:v>Rischio</x:v>
      </x:c>
      <x:c r="N4" s="82" t="str">
        <x:v>Stato</x:v>
      </x:c>
    </x:row>
    <x:row r="5">
      <x:c r="A5" s="83" t="str">
        <x:v>S08-TAB-1-18</x:v>
      </x:c>
      <x:c r="B5" s="83" t="str">
        <x:v>S08</x:v>
      </x:c>
      <x:c r="C5" s="83" t="str">
        <x:v>Piano Nazionale Integrato per l'Energia e il Clima</x:v>
      </x:c>
      <x:c r="D5" s="83" t="str">
        <x:v>Tabella</x:v>
      </x:c>
      <x:c r="E5" s="83" t="str">
        <x:v>1</x:v>
      </x:c>
      <x:c r="F5" s="83" t="n">
        <x:v>18</x:v>
      </x:c>
      <x:c r="G5" s="83" t="n">
        <x:v>17</x:v>
      </x:c>
      <x:c r="H5" s="83" t="str">
        <x:v>1. Schema generale e processo</x:v>
      </x:c>
      <x:c r="I5" s="83" t="str">
        <x:v>Tabella 1 - Principali indicatori di scenario e obiettivi su energia e clima al 2030</x:v>
      </x:c>
      <x:c r="J5" s="83" t="str">
        <x:v>Scenario e metodologia</x:v>
      </x:c>
      <x:c r="K5" s="83" t="str">
        <x:v>P2 - contesto/validazione</x:v>
      </x:c>
      <x:c r="L5" s="83" t="str">
        <x:v>Tabella testuale/PDF</x:v>
      </x:c>
      <x:c r="M5" s="83" t="str">
        <x:v>Basso</x:v>
      </x:c>
      <x:c r="N5" s="83" t="str">
        <x:v>Da verificare in Fase 3</x:v>
      </x:c>
    </x:row>
    <x:row r="6">
      <x:c r="A6" s="83" t="str">
        <x:v>S08-TAB-4-42</x:v>
      </x:c>
      <x:c r="B6" s="83" t="str">
        <x:v>S08</x:v>
      </x:c>
      <x:c r="C6" s="83" t="str">
        <x:v>Piano Nazionale Integrato per l'Energia e il Clima</x:v>
      </x:c>
      <x:c r="D6" s="83" t="str">
        <x:v>Tabella</x:v>
      </x:c>
      <x:c r="E6" s="83" t="str">
        <x:v>4</x:v>
      </x:c>
      <x:c r="F6" s="83" t="n">
        <x:v>42</x:v>
      </x:c>
      <x:c r="G6" s="83" t="n">
        <x:v>41</x:v>
      </x:c>
      <x:c r="H6" s="83" t="str">
        <x:v>1. Schema generale e processo</x:v>
      </x:c>
      <x:c r="I6" s="83" t="str">
        <x:v>Tabella 4 - Dati di import e di export dai vari Paesi con cui l’Italia è interconnessa</x:v>
      </x:c>
      <x:c r="J6" s="83" t="str">
        <x:v>Trasmissione e interconnessioni</x:v>
      </x:c>
      <x:c r="K6" s="83" t="str">
        <x:v>P2 - contesto/validazione</x:v>
      </x:c>
      <x:c r="L6" s="83" t="str">
        <x:v>Tabella testuale/PDF</x:v>
      </x:c>
      <x:c r="M6" s="83" t="str">
        <x:v>Basso</x:v>
      </x:c>
      <x:c r="N6" s="83" t="str">
        <x:v>Da verificare in Fase 3</x:v>
      </x:c>
    </x:row>
    <x:row r="7">
      <x:c r="A7" s="83" t="str">
        <x:v>S08-FIG-1-43</x:v>
      </x:c>
      <x:c r="B7" s="83" t="str">
        <x:v>S08</x:v>
      </x:c>
      <x:c r="C7" s="83" t="str">
        <x:v>Piano Nazionale Integrato per l'Energia e il Clima</x:v>
      </x:c>
      <x:c r="D7" s="83" t="str">
        <x:v>Figura</x:v>
      </x:c>
      <x:c r="E7" s="83" t="str">
        <x:v>1</x:v>
      </x:c>
      <x:c r="F7" s="83" t="n">
        <x:v>43</x:v>
      </x:c>
      <x:c r="G7" s="83" t="n">
        <x:v>42</x:v>
      </x:c>
      <x:c r="H7" s="83" t="str">
        <x:v>1. Schema generale e processo</x:v>
      </x:c>
      <x:c r="I7" s="83" t="str">
        <x:v>Figura 1 – Capacità di scambio transfrontaliera in import ed export delle interconnessioni esistenti</x:v>
      </x:c>
      <x:c r="J7" s="83" t="str">
        <x:v>Trasmissione e interconnessioni</x:v>
      </x:c>
      <x:c r="K7" s="83" t="str">
        <x:v>P1 - input diretto/parametro</x:v>
      </x:c>
      <x:c r="L7" s="83" t="str">
        <x:v>Figura o mappa; lettura etichette / eventuale digitalizzazione</x:v>
      </x:c>
      <x:c r="M7" s="83" t="str">
        <x:v>Medio</x:v>
      </x:c>
      <x:c r="N7" s="83" t="str">
        <x:v>Da verificare in Fase 3</x:v>
      </x:c>
    </x:row>
    <x:row r="8">
      <x:c r="A8" s="83" t="str">
        <x:v>S08-FIG-2-46</x:v>
      </x:c>
      <x:c r="B8" s="83" t="str">
        <x:v>S08</x:v>
      </x:c>
      <x:c r="C8" s="83" t="str">
        <x:v>Piano Nazionale Integrato per l'Energia e il Clima</x:v>
      </x:c>
      <x:c r="D8" s="83" t="str">
        <x:v>Figura</x:v>
      </x:c>
      <x:c r="E8" s="83" t="str">
        <x:v>2</x:v>
      </x:c>
      <x:c r="F8" s="83" t="n">
        <x:v>46</x:v>
      </x:c>
      <x:c r="G8" s="83" t="n">
        <x:v>45</x:v>
      </x:c>
      <x:c r="H8" s="83" t="str">
        <x:v>1. Schema generale e processo</x:v>
      </x:c>
      <x:c r="I8" s="83" t="str">
        <x:v>Figura 2 – Mappa rete gas nazionale e principali punti di entrata</x:v>
      </x:c>
      <x:c r="J8" s="83" t="str">
        <x:v>Mercato e prezzi</x:v>
      </x:c>
      <x:c r="K8" s="83" t="str">
        <x:v>P1 - input diretto/parametro</x:v>
      </x:c>
      <x:c r="L8" s="83" t="str">
        <x:v>Figura o mappa; lettura etichette / eventuale digitalizzazione</x:v>
      </x:c>
      <x:c r="M8" s="83" t="str">
        <x:v>Medio</x:v>
      </x:c>
      <x:c r="N8" s="83" t="str">
        <x:v>Da verificare in Fase 3</x:v>
      </x:c>
    </x:row>
    <x:row r="9">
      <x:c r="A9" s="83" t="str">
        <x:v>S08-TAB-6-75</x:v>
      </x:c>
      <x:c r="B9" s="83" t="str">
        <x:v>S08</x:v>
      </x:c>
      <x:c r="C9" s="83" t="str">
        <x:v>Piano Nazionale Integrato per l'Energia e il Clima</x:v>
      </x:c>
      <x:c r="D9" s="83" t="str">
        <x:v>Tabella</x:v>
      </x:c>
      <x:c r="E9" s="83" t="str">
        <x:v>6</x:v>
      </x:c>
      <x:c r="F9" s="83" t="n">
        <x:v>75</x:v>
      </x:c>
      <x:c r="G9" s="83" t="n">
        <x:v>74</x:v>
      </x:c>
      <x:c r="H9" s="83" t="str">
        <x:v>2. Obiettivi e traguardi</x:v>
      </x:c>
      <x:c r="I9" s="83" t="str">
        <x:v>Tabella 6 - Evoluzione delle emissioni per settore nel periodo 1990-2022 (Emissioni di GHG, Mt di CO2eq)</x:v>
      </x:c>
      <x:c r="J9" s="83" t="str">
        <x:v>Mercato e prezzi; Emissioni e ambiente</x:v>
      </x:c>
      <x:c r="K9" s="83" t="str">
        <x:v>P1 - input diretto/parametro</x:v>
      </x:c>
      <x:c r="L9" s="83" t="str">
        <x:v>Tabella testuale/PDF</x:v>
      </x:c>
      <x:c r="M9" s="83" t="str">
        <x:v>Basso</x:v>
      </x:c>
      <x:c r="N9" s="83" t="str">
        <x:v>Da verificare in Fase 3</x:v>
      </x:c>
    </x:row>
    <x:row r="10">
      <x:c r="A10" s="83" t="str">
        <x:v>S08-TAB-7-76</x:v>
      </x:c>
      <x:c r="B10" s="83" t="str">
        <x:v>S08</x:v>
      </x:c>
      <x:c r="C10" s="83" t="str">
        <x:v>Piano Nazionale Integrato per l'Energia e il Clima</x:v>
      </x:c>
      <x:c r="D10" s="83" t="str">
        <x:v>Tabella</x:v>
      </x:c>
      <x:c r="E10" s="83" t="str">
        <x:v>7</x:v>
      </x:c>
      <x:c r="F10" s="83" t="n">
        <x:v>76</x:v>
      </x:c>
      <x:c r="G10" s="83" t="n">
        <x:v>75</x:v>
      </x:c>
      <x:c r="H10" s="83" t="str">
        <x:v>2. Obiettivi e traguardi</x:v>
      </x:c>
      <x:c r="I10" s="83" t="str">
        <x:v>Tabella 7 – Scenario di riferimento ed obiettivi emissioni ETS, ESR e LULUCF al 2030</x:v>
      </x:c>
      <x:c r="J10" s="83" t="str">
        <x:v>Capacità e generazione; Emissioni e ambiente; Scenario e metodologia</x:v>
      </x:c>
      <x:c r="K10" s="83" t="str">
        <x:v>P2 - contesto/validazione</x:v>
      </x:c>
      <x:c r="L10" s="83" t="str">
        <x:v>Tabella testuale/PDF</x:v>
      </x:c>
      <x:c r="M10" s="83" t="str">
        <x:v>Basso</x:v>
      </x:c>
      <x:c r="N10" s="83" t="str">
        <x:v>Da verificare in Fase 3</x:v>
      </x:c>
    </x:row>
    <x:row r="11">
      <x:c r="A11" s="83" t="str">
        <x:v>S08-FIG-4-78</x:v>
      </x:c>
      <x:c r="B11" s="83" t="str">
        <x:v>S08</x:v>
      </x:c>
      <x:c r="C11" s="83" t="str">
        <x:v>Piano Nazionale Integrato per l'Energia e il Clima</x:v>
      </x:c>
      <x:c r="D11" s="83" t="str">
        <x:v>Figura</x:v>
      </x:c>
      <x:c r="E11" s="83" t="str">
        <x:v>4</x:v>
      </x:c>
      <x:c r="F11" s="83" t="n">
        <x:v>78</x:v>
      </x:c>
      <x:c r="G11" s="83" t="n">
        <x:v>77</x:v>
      </x:c>
      <x:c r="H11" s="83" t="str">
        <x:v>2. Obiettivi e traguardi</x:v>
      </x:c>
      <x:c r="I11" s="83" t="str">
        <x:v>Figura 4 - Andamento storico delle emissioni nei settori Effort Sharing e scenari futuri a politiche aggiuntive</x:v>
      </x:c>
      <x:c r="J11" s="83" t="str">
        <x:v>Emissioni e ambiente</x:v>
      </x:c>
      <x:c r="K11" s="83" t="str">
        <x:v>P2 - contesto/validazione</x:v>
      </x:c>
      <x:c r="L11" s="83" t="str">
        <x:v>Figura o mappa; lettura etichette / eventuale digitalizzazione</x:v>
      </x:c>
      <x:c r="M11" s="83" t="str">
        <x:v>Medio</x:v>
      </x:c>
      <x:c r="N11" s="83" t="str">
        <x:v>Da verificare in Fase 3</x:v>
      </x:c>
    </x:row>
    <x:row r="12">
      <x:c r="A12" s="83" t="str">
        <x:v>S08-TAB-8-79</x:v>
      </x:c>
      <x:c r="B12" s="83" t="str">
        <x:v>S08</x:v>
      </x:c>
      <x:c r="C12" s="83" t="str">
        <x:v>Piano Nazionale Integrato per l'Energia e il Clima</x:v>
      </x:c>
      <x:c r="D12" s="83" t="str">
        <x:v>Tabella</x:v>
      </x:c>
      <x:c r="E12" s="83" t="str">
        <x:v>8</x:v>
      </x:c>
      <x:c r="F12" s="83" t="n">
        <x:v>79</x:v>
      </x:c>
      <x:c r="G12" s="83" t="n">
        <x:v>78</x:v>
      </x:c>
      <x:c r="H12" s="83" t="str">
        <x:v>2. Obiettivi e traguardi</x:v>
      </x:c>
      <x:c r="I12" s="83" t="str">
        <x:v>Tabella 8 - Proiezioni per categorie LULUCF (MtCO2eq) [Fonte: ISPRA]</x:v>
      </x:c>
      <x:c r="J12" s="83" t="str">
        <x:v>Mercato e prezzi; Emissioni e ambiente</x:v>
      </x:c>
      <x:c r="K12" s="83" t="str">
        <x:v>P1 - input diretto/parametro</x:v>
      </x:c>
      <x:c r="L12" s="83" t="str">
        <x:v>Tabella testuale/PDF</x:v>
      </x:c>
      <x:c r="M12" s="83" t="str">
        <x:v>Basso</x:v>
      </x:c>
      <x:c r="N12" s="83" t="str">
        <x:v>Da verificare in Fase 3</x:v>
      </x:c>
    </x:row>
    <x:row r="13">
      <x:c r="A13" s="83" t="str">
        <x:v>S08-TAB-9-89</x:v>
      </x:c>
      <x:c r="B13" s="83" t="str">
        <x:v>S08</x:v>
      </x:c>
      <x:c r="C13" s="83" t="str">
        <x:v>Piano Nazionale Integrato per l'Energia e il Clima</x:v>
      </x:c>
      <x:c r="D13" s="83" t="str">
        <x:v>Tabella</x:v>
      </x:c>
      <x:c r="E13" s="83" t="str">
        <x:v>9</x:v>
      </x:c>
      <x:c r="F13" s="83" t="n">
        <x:v>89</x:v>
      </x:c>
      <x:c r="G13" s="83" t="n">
        <x:v>88</x:v>
      </x:c>
      <x:c r="H13" s="83" t="str">
        <x:v>2. Obiettivi e traguardi</x:v>
      </x:c>
      <x:c r="I13" s="83" t="str">
        <x:v>Tabella 9 – Emissioni CO2 settori industriali Hard to Abate nel 2022</x:v>
      </x:c>
      <x:c r="J13" s="83" t="str">
        <x:v>Mercato e prezzi; Emissioni e ambiente</x:v>
      </x:c>
      <x:c r="K13" s="83" t="str">
        <x:v>P1 - input diretto/parametro</x:v>
      </x:c>
      <x:c r="L13" s="83" t="str">
        <x:v>Tabella testuale/PDF</x:v>
      </x:c>
      <x:c r="M13" s="83" t="str">
        <x:v>Basso</x:v>
      </x:c>
      <x:c r="N13" s="83" t="str">
        <x:v>Da verificare in Fase 3</x:v>
      </x:c>
    </x:row>
    <x:row r="14">
      <x:c r="A14" s="83" t="str">
        <x:v>S08-FIG-5-90</x:v>
      </x:c>
      <x:c r="B14" s="83" t="str">
        <x:v>S08</x:v>
      </x:c>
      <x:c r="C14" s="83" t="str">
        <x:v>Piano Nazionale Integrato per l'Energia e il Clima</x:v>
      </x:c>
      <x:c r="D14" s="83" t="str">
        <x:v>Figura</x:v>
      </x:c>
      <x:c r="E14" s="83" t="str">
        <x:v>5</x:v>
      </x:c>
      <x:c r="F14" s="83" t="n">
        <x:v>90</x:v>
      </x:c>
      <x:c r="G14" s="83" t="n">
        <x:v>89</x:v>
      </x:c>
      <x:c r="H14" s="83" t="str">
        <x:v>2. Obiettivi e traguardi</x:v>
      </x:c>
      <x:c r="I14" s="83" t="str">
        <x:v>Figura 5 – Mappatura emissioni siti industriali, inceneritori e termoelettrici effettuata nell’ambito delle attivitàd i</x:v>
      </x:c>
      <x:c r="J14" s="83" t="str">
        <x:v>Emissioni e ambiente</x:v>
      </x:c>
      <x:c r="K14" s="83" t="str">
        <x:v>P2 - contesto/validazione</x:v>
      </x:c>
      <x:c r="L14" s="83" t="str">
        <x:v>Figura o mappa; lettura etichette / eventuale digitalizzazione</x:v>
      </x:c>
      <x:c r="M14" s="83" t="str">
        <x:v>Medio</x:v>
      </x:c>
      <x:c r="N14" s="83" t="str">
        <x:v>Da verificare in Fase 3</x:v>
      </x:c>
    </x:row>
    <x:row r="15">
      <x:c r="A15" s="83" t="str">
        <x:v>S08-FIG-6-92</x:v>
      </x:c>
      <x:c r="B15" s="83" t="str">
        <x:v>S08</x:v>
      </x:c>
      <x:c r="C15" s="83" t="str">
        <x:v>Piano Nazionale Integrato per l'Energia e il Clima</x:v>
      </x:c>
      <x:c r="D15" s="83" t="str">
        <x:v>Figura</x:v>
      </x:c>
      <x:c r="E15" s="83" t="str">
        <x:v>6</x:v>
      </x:c>
      <x:c r="F15" s="83" t="n">
        <x:v>92</x:v>
      </x:c>
      <x:c r="G15" s="83" t="n">
        <x:v>91</x:v>
      </x:c>
      <x:c r="H15" s="83" t="str">
        <x:v>2. Obiettivi e traguardi</x:v>
      </x:c>
      <x:c r="I15" s="83" t="str">
        <x:v>Figura 6 – Sviluppo della capacità di generazione nucleare nello scenario considerato, rappresentata</x:v>
      </x:c>
      <x:c r="J15" s="83" t="str">
        <x:v>Capacità e generazione; Scenario e metodologia</x:v>
      </x:c>
      <x:c r="K15" s="83" t="str">
        <x:v>P2 - contesto/validazione</x:v>
      </x:c>
      <x:c r="L15" s="83" t="str">
        <x:v>Figura o mappa; lettura etichette / eventuale digitalizzazione</x:v>
      </x:c>
      <x:c r="M15" s="83" t="str">
        <x:v>Medio</x:v>
      </x:c>
      <x:c r="N15" s="83" t="str">
        <x:v>Da verificare in Fase 3</x:v>
      </x:c>
    </x:row>
    <x:row r="16">
      <x:c r="A16" s="83" t="str">
        <x:v>S08-FIG-7-94</x:v>
      </x:c>
      <x:c r="B16" s="83" t="str">
        <x:v>S08</x:v>
      </x:c>
      <x:c r="C16" s="83" t="str">
        <x:v>Piano Nazionale Integrato per l'Energia e il Clima</x:v>
      </x:c>
      <x:c r="D16" s="83" t="str">
        <x:v>Figura</x:v>
      </x:c>
      <x:c r="E16" s="83" t="str">
        <x:v>7</x:v>
      </x:c>
      <x:c r="F16" s="83" t="n">
        <x:v>94</x:v>
      </x:c>
      <x:c r="G16" s="83" t="n">
        <x:v>93</x:v>
      </x:c>
      <x:c r="H16" s="83" t="str">
        <x:v>2. Obiettivi e traguardi</x:v>
      </x:c>
      <x:c r="I16" s="83" t="str">
        <x:v>Figura 7 – Richiesta di energia elettrica al 2050 negli scenari con e senza nucleare.</x:v>
      </x:c>
      <x:c r="J16" s="83" t="str">
        <x:v>Capacità e generazione</x:v>
      </x:c>
      <x:c r="K16" s="83" t="str">
        <x:v>P1 - input diretto/parametro</x:v>
      </x:c>
      <x:c r="L16" s="83" t="str">
        <x:v>Figura o mappa; lettura etichette / eventuale digitalizzazione</x:v>
      </x:c>
      <x:c r="M16" s="83" t="str">
        <x:v>Medio</x:v>
      </x:c>
      <x:c r="N16" s="83" t="str">
        <x:v>Da verificare in Fase 3</x:v>
      </x:c>
    </x:row>
    <x:row r="17">
      <x:c r="A17" s="83" t="str">
        <x:v>S08-FIG-8-94</x:v>
      </x:c>
      <x:c r="B17" s="83" t="str">
        <x:v>S08</x:v>
      </x:c>
      <x:c r="C17" s="83" t="str">
        <x:v>Piano Nazionale Integrato per l'Energia e il Clima</x:v>
      </x:c>
      <x:c r="D17" s="83" t="str">
        <x:v>Figura</x:v>
      </x:c>
      <x:c r="E17" s="83" t="str">
        <x:v>8</x:v>
      </x:c>
      <x:c r="F17" s="83" t="n">
        <x:v>94</x:v>
      </x:c>
      <x:c r="G17" s="83" t="n">
        <x:v>93</x:v>
      </x:c>
      <x:c r="H17" s="83" t="str">
        <x:v>2. Obiettivi e traguardi</x:v>
      </x:c>
      <x:c r="I17" s="83" t="str">
        <x:v>Figura 8 – Produzione nazionale di energia elettrica al 2050 negli scenari con e senza nucleare.</x:v>
      </x:c>
      <x:c r="J17" s="83" t="str">
        <x:v>Capacità e generazione</x:v>
      </x:c>
      <x:c r="K17" s="83" t="str">
        <x:v>P1 - input diretto/parametro</x:v>
      </x:c>
      <x:c r="L17" s="83" t="str">
        <x:v>Figura o mappa; lettura etichette / eventuale digitalizzazione</x:v>
      </x:c>
      <x:c r="M17" s="83" t="str">
        <x:v>Medio</x:v>
      </x:c>
      <x:c r="N17" s="83" t="str">
        <x:v>Da verificare in Fase 3</x:v>
      </x:c>
    </x:row>
    <x:row r="18">
      <x:c r="A18" s="83" t="str">
        <x:v>S08-FIG-9-97</x:v>
      </x:c>
      <x:c r="B18" s="83" t="str">
        <x:v>S08</x:v>
      </x:c>
      <x:c r="C18" s="83" t="str">
        <x:v>Piano Nazionale Integrato per l'Energia e il Clima</x:v>
      </x:c>
      <x:c r="D18" s="83" t="str">
        <x:v>Figura</x:v>
      </x:c>
      <x:c r="E18" s="83" t="str">
        <x:v>9</x:v>
      </x:c>
      <x:c r="F18" s="83" t="n">
        <x:v>97</x:v>
      </x:c>
      <x:c r="G18" s="83" t="n">
        <x:v>96</x:v>
      </x:c>
      <x:c r="H18" s="83" t="str">
        <x:v>2. Obiettivi e traguardi</x:v>
      </x:c>
      <x:c r="I18" s="83" t="str">
        <x:v>Figura 9 - Traiettoria della quota FER complessiva (Quota dei Consumi Finali Lordi di energia coperta da fonti</x:v>
      </x:c>
      <x:c r="J18" s="83" t="str">
        <x:v>Domanda e consumi; Capacità e generazione; Scenario e metodologia</x:v>
      </x:c>
      <x:c r="K18" s="83" t="str">
        <x:v>P2 - contesto/validazione</x:v>
      </x:c>
      <x:c r="L18" s="83" t="str">
        <x:v>Figura o mappa; lettura etichette / eventuale digitalizzazione</x:v>
      </x:c>
      <x:c r="M18" s="83" t="str">
        <x:v>Medio</x:v>
      </x:c>
      <x:c r="N18" s="83" t="str">
        <x:v>Da verificare in Fase 3</x:v>
      </x:c>
    </x:row>
    <x:row r="19">
      <x:c r="A19" s="83" t="str">
        <x:v>S08-TAB-10-97</x:v>
      </x:c>
      <x:c r="B19" s="83" t="str">
        <x:v>S08</x:v>
      </x:c>
      <x:c r="C19" s="83" t="str">
        <x:v>Piano Nazionale Integrato per l'Energia e il Clima</x:v>
      </x:c>
      <x:c r="D19" s="83" t="str">
        <x:v>Tabella</x:v>
      </x:c>
      <x:c r="E19" s="83" t="str">
        <x:v>10</x:v>
      </x:c>
      <x:c r="F19" s="83" t="n">
        <x:v>97</x:v>
      </x:c>
      <x:c r="G19" s="83" t="n">
        <x:v>96</x:v>
      </x:c>
      <x:c r="H19" s="83" t="str">
        <x:v>2. Obiettivi e traguardi</x:v>
      </x:c>
      <x:c r="I19" s="83" t="str">
        <x:v>Tabella 10 – Obiettivo complessivo FER al 2030 (ktep) [Fonte: RSE, GSE]</x:v>
      </x:c>
      <x:c r="J19" s="83" t="str">
        <x:v>Capacità e generazione</x:v>
      </x:c>
      <x:c r="K19" s="83" t="str">
        <x:v>P2 - contesto/validazione</x:v>
      </x:c>
      <x:c r="L19" s="83" t="str">
        <x:v>Tabella testuale/PDF</x:v>
      </x:c>
      <x:c r="M19" s="83" t="str">
        <x:v>Basso</x:v>
      </x:c>
      <x:c r="N19" s="83" t="str">
        <x:v>Da verificare in Fase 3</x:v>
      </x:c>
    </x:row>
    <x:row r="20">
      <x:c r="A20" s="83" t="str">
        <x:v>S08-FIG-10-99</x:v>
      </x:c>
      <x:c r="B20" s="83" t="str">
        <x:v>S08</x:v>
      </x:c>
      <x:c r="C20" s="83" t="str">
        <x:v>Piano Nazionale Integrato per l'Energia e il Clima</x:v>
      </x:c>
      <x:c r="D20" s="83" t="str">
        <x:v>Figura</x:v>
      </x:c>
      <x:c r="E20" s="83" t="str">
        <x:v>10</x:v>
      </x:c>
      <x:c r="F20" s="83" t="n">
        <x:v>99</x:v>
      </x:c>
      <x:c r="G20" s="83" t="n">
        <x:v>98</x:v>
      </x:c>
      <x:c r="H20" s="83" t="str">
        <x:v>2. Obiettivi e traguardi</x:v>
      </x:c>
      <x:c r="I20" s="83" t="str">
        <x:v>Figura 10 - Traiettoria della quota FER complessiva [Fonte: RSE, GSE]</x:v>
      </x:c>
      <x:c r="J20" s="83" t="str">
        <x:v>Capacità e generazione; Scenario e metodologia</x:v>
      </x:c>
      <x:c r="K20" s="83" t="str">
        <x:v>P2 - contesto/validazione</x:v>
      </x:c>
      <x:c r="L20" s="83" t="str">
        <x:v>Figura o mappa; lettura etichette / eventuale digitalizzazione</x:v>
      </x:c>
      <x:c r="M20" s="83" t="str">
        <x:v>Medio</x:v>
      </x:c>
      <x:c r="N20" s="83" t="str">
        <x:v>Da verificare in Fase 3</x:v>
      </x:c>
    </x:row>
    <x:row r="21">
      <x:c r="A21" s="83" t="str">
        <x:v>S08-FIG-11-99</x:v>
      </x:c>
      <x:c r="B21" s="83" t="str">
        <x:v>S08</x:v>
      </x:c>
      <x:c r="C21" s="83" t="str">
        <x:v>Piano Nazionale Integrato per l'Energia e il Clima</x:v>
      </x:c>
      <x:c r="D21" s="83" t="str">
        <x:v>Figura</x:v>
      </x:c>
      <x:c r="E21" s="83" t="str">
        <x:v>11</x:v>
      </x:c>
      <x:c r="F21" s="83" t="n">
        <x:v>99</x:v>
      </x:c>
      <x:c r="G21" s="83" t="n">
        <x:v>98</x:v>
      </x:c>
      <x:c r="H21" s="83" t="str">
        <x:v>2. Obiettivi e traguardi</x:v>
      </x:c>
      <x:c r="I21" s="83" t="str">
        <x:v>Figura 11 - Traiettoria della quota FER elettrica [Fonte: RSE, GSE]</x:v>
      </x:c>
      <x:c r="J21" s="83" t="str">
        <x:v>Capacità e generazione; Scenario e metodologia</x:v>
      </x:c>
      <x:c r="K21" s="83" t="str">
        <x:v>P2 - contesto/validazione</x:v>
      </x:c>
      <x:c r="L21" s="83" t="str">
        <x:v>Figura o mappa; lettura etichette / eventuale digitalizzazione</x:v>
      </x:c>
      <x:c r="M21" s="83" t="str">
        <x:v>Medio</x:v>
      </x:c>
      <x:c r="N21" s="83" t="str">
        <x:v>Da verificare in Fase 3</x:v>
      </x:c>
    </x:row>
    <x:row r="22">
      <x:c r="A22" s="83" t="str">
        <x:v>S08-FIG-12-100</x:v>
      </x:c>
      <x:c r="B22" s="83" t="str">
        <x:v>S08</x:v>
      </x:c>
      <x:c r="C22" s="83" t="str">
        <x:v>Piano Nazionale Integrato per l'Energia e il Clima</x:v>
      </x:c>
      <x:c r="D22" s="83" t="str">
        <x:v>Figura</x:v>
      </x:c>
      <x:c r="E22" s="83" t="str">
        <x:v>12</x:v>
      </x:c>
      <x:c r="F22" s="83" t="n">
        <x:v>100</x:v>
      </x:c>
      <x:c r="G22" s="83" t="n">
        <x:v>99</x:v>
      </x:c>
      <x:c r="H22" s="83" t="str">
        <x:v>2. Obiettivi e traguardi</x:v>
      </x:c>
      <x:c r="I22" s="83" t="str">
        <x:v>Figura 12 - Traiettoria della quota FER nel settore termico [Fonte: RSE, GSE]</x:v>
      </x:c>
      <x:c r="J22" s="83" t="str">
        <x:v>Capacità e generazione; Scenario e metodologia</x:v>
      </x:c>
      <x:c r="K22" s="83" t="str">
        <x:v>P2 - contesto/validazione</x:v>
      </x:c>
      <x:c r="L22" s="83" t="str">
        <x:v>Figura o mappa; lettura etichette / eventuale digitalizzazione</x:v>
      </x:c>
      <x:c r="M22" s="83" t="str">
        <x:v>Medio</x:v>
      </x:c>
      <x:c r="N22" s="83" t="str">
        <x:v>Da verificare in Fase 3</x:v>
      </x:c>
    </x:row>
    <x:row r="23">
      <x:c r="A23" s="83" t="str">
        <x:v>S08-FIG-13-100</x:v>
      </x:c>
      <x:c r="B23" s="83" t="str">
        <x:v>S08</x:v>
      </x:c>
      <x:c r="C23" s="83" t="str">
        <x:v>Piano Nazionale Integrato per l'Energia e il Clima</x:v>
      </x:c>
      <x:c r="D23" s="83" t="str">
        <x:v>Figura</x:v>
      </x:c>
      <x:c r="E23" s="83" t="str">
        <x:v>13</x:v>
      </x:c>
      <x:c r="F23" s="83" t="n">
        <x:v>100</x:v>
      </x:c>
      <x:c r="G23" s="83" t="n">
        <x:v>99</x:v>
      </x:c>
      <x:c r="H23" s="83" t="str">
        <x:v>2. Obiettivi e traguardi</x:v>
      </x:c>
      <x:c r="I23" s="83" t="str">
        <x:v>Figura 13 - Traiettoria della quota FER nel settore trasporti(*) [Fonte: RSE, GSE]</x:v>
      </x:c>
      <x:c r="J23" s="83" t="str">
        <x:v>Capacità e generazione; Scenario e metodologia</x:v>
      </x:c>
      <x:c r="K23" s="83" t="str">
        <x:v>P2 - contesto/validazione</x:v>
      </x:c>
      <x:c r="L23" s="83" t="str">
        <x:v>Figura o mappa; lettura etichette / eventuale digitalizzazione</x:v>
      </x:c>
      <x:c r="M23" s="83" t="str">
        <x:v>Medio</x:v>
      </x:c>
      <x:c r="N23" s="83" t="str">
        <x:v>Da verificare in Fase 3</x:v>
      </x:c>
    </x:row>
    <x:row r="24">
      <x:c r="A24" s="83" t="str">
        <x:v>S08-TAB-11-103</x:v>
      </x:c>
      <x:c r="B24" s="83" t="str">
        <x:v>S08</x:v>
      </x:c>
      <x:c r="C24" s="83" t="str">
        <x:v>Piano Nazionale Integrato per l'Energia e il Clima</x:v>
      </x:c>
      <x:c r="D24" s="83" t="str">
        <x:v>Tabella</x:v>
      </x:c>
      <x:c r="E24" s="83" t="str">
        <x:v>11</x:v>
      </x:c>
      <x:c r="F24" s="83" t="n">
        <x:v>103</x:v>
      </x:c>
      <x:c r="G24" s="83" t="n">
        <x:v>102</x:v>
      </x:c>
      <x:c r="H24" s="83" t="str">
        <x:v>2. Obiettivi e traguardi</x:v>
      </x:c>
      <x:c r="I24" s="83" t="str">
        <x:v>Tabella 11 - Obiettivi di crescita della potenza da fonte rinnovabile al 2030 (MW) [Fonte: RSE, GSE, Terna]</x:v>
      </x:c>
      <x:c r="J24" s="83" t="str">
        <x:v>Scenario e metodologia</x:v>
      </x:c>
      <x:c r="K24" s="83" t="str">
        <x:v>P2 - contesto/validazione</x:v>
      </x:c>
      <x:c r="L24" s="83" t="str">
        <x:v>Tabella testuale/PDF</x:v>
      </x:c>
      <x:c r="M24" s="83" t="str">
        <x:v>Basso</x:v>
      </x:c>
      <x:c r="N24" s="83" t="str">
        <x:v>Da verificare in Fase 3</x:v>
      </x:c>
    </x:row>
    <x:row r="25">
      <x:c r="A25" s="83" t="str">
        <x:v>S08-TAB-12-104</x:v>
      </x:c>
      <x:c r="B25" s="83" t="str">
        <x:v>S08</x:v>
      </x:c>
      <x:c r="C25" s="83" t="str">
        <x:v>Piano Nazionale Integrato per l'Energia e il Clima</x:v>
      </x:c>
      <x:c r="D25" s="83" t="str">
        <x:v>Tabella</x:v>
      </x:c>
      <x:c r="E25" s="83" t="str">
        <x:v>12</x:v>
      </x:c>
      <x:c r="F25" s="83" t="n">
        <x:v>104</x:v>
      </x:c>
      <x:c r="G25" s="83" t="n">
        <x:v>103</x:v>
      </x:c>
      <x:c r="H25" s="83" t="str">
        <x:v>2. Obiettivi e traguardi</x:v>
      </x:c>
      <x:c r="I25" s="83" t="str">
        <x:v>Tabella 12 - Obiettivi di crescita al 2030 della quota rinnovabile nel settore elettrico (TWh) [Fonte: RSE, GSE,</x:v>
      </x:c>
      <x:c r="J25" s="83" t="str">
        <x:v>Scenario e metodologia</x:v>
      </x:c>
      <x:c r="K25" s="83" t="str">
        <x:v>P2 - contesto/validazione</x:v>
      </x:c>
      <x:c r="L25" s="83" t="str">
        <x:v>Tabella testuale/PDF</x:v>
      </x:c>
      <x:c r="M25" s="83" t="str">
        <x:v>Basso</x:v>
      </x:c>
      <x:c r="N25" s="83" t="str">
        <x:v>Da verificare in Fase 3</x:v>
      </x:c>
    </x:row>
    <x:row r="26">
      <x:c r="A26" s="83" t="str">
        <x:v>S08-FIG-14-105</x:v>
      </x:c>
      <x:c r="B26" s="83" t="str">
        <x:v>S08</x:v>
      </x:c>
      <x:c r="C26" s="83" t="str">
        <x:v>Piano Nazionale Integrato per l'Energia e il Clima</x:v>
      </x:c>
      <x:c r="D26" s="83" t="str">
        <x:v>Figura</x:v>
      </x:c>
      <x:c r="E26" s="83" t="str">
        <x:v>14</x:v>
      </x:c>
      <x:c r="F26" s="83" t="n">
        <x:v>105</x:v>
      </x:c>
      <x:c r="G26" s="83" t="n">
        <x:v>104</x:v>
      </x:c>
      <x:c r="H26" s="83" t="str">
        <x:v>2. Obiettivi e traguardi</x:v>
      </x:c>
      <x:c r="I26" s="83" t="str">
        <x:v>Figura 14 - Traiettorie di crescita dell’energia elettrica da FER al 2030 (TWh)* [Fonte: GSE, RSE]</x:v>
      </x:c>
      <x:c r="J26" s="83" t="str">
        <x:v>Capacità e generazione</x:v>
      </x:c>
      <x:c r="K26" s="83" t="str">
        <x:v>P2 - contesto/validazione</x:v>
      </x:c>
      <x:c r="L26" s="83" t="str">
        <x:v>Figura o mappa; lettura etichette / eventuale digitalizzazione</x:v>
      </x:c>
      <x:c r="M26" s="83" t="str">
        <x:v>Medio</x:v>
      </x:c>
      <x:c r="N26" s="83" t="str">
        <x:v>Da verificare in Fase 3</x:v>
      </x:c>
    </x:row>
    <x:row r="27">
      <x:c r="A27" s="83" t="str">
        <x:v>S08-TAB-13-107</x:v>
      </x:c>
      <x:c r="B27" s="83" t="str">
        <x:v>S08</x:v>
      </x:c>
      <x:c r="C27" s="83" t="str">
        <x:v>Piano Nazionale Integrato per l'Energia e il Clima</x:v>
      </x:c>
      <x:c r="D27" s="83" t="str">
        <x:v>Tabella</x:v>
      </x:c>
      <x:c r="E27" s="83" t="str">
        <x:v>13</x:v>
      </x:c>
      <x:c r="F27" s="83" t="n">
        <x:v>107</x:v>
      </x:c>
      <x:c r="G27" s="83" t="n">
        <x:v>106</x:v>
      </x:c>
      <x:c r="H27" s="83" t="str">
        <x:v>2. Obiettivi e traguardi</x:v>
      </x:c>
      <x:c r="I27" s="83" t="str">
        <x:v>Tabella 13 - Obiettivi di crescita al 2030 della quota rinnovabile nel settore termico (ktep) [Fonte: GSE, RSE]</x:v>
      </x:c>
      <x:c r="J27" s="83" t="str">
        <x:v>Scenario e metodologia</x:v>
      </x:c>
      <x:c r="K27" s="83" t="str">
        <x:v>P2 - contesto/validazione</x:v>
      </x:c>
      <x:c r="L27" s="83" t="str">
        <x:v>Tabella testuale/PDF</x:v>
      </x:c>
      <x:c r="M27" s="83" t="str">
        <x:v>Basso</x:v>
      </x:c>
      <x:c r="N27" s="83" t="str">
        <x:v>Da verificare in Fase 3</x:v>
      </x:c>
    </x:row>
    <x:row r="28">
      <x:c r="A28" s="83" t="str">
        <x:v>S08-FIG-15-108</x:v>
      </x:c>
      <x:c r="B28" s="83" t="str">
        <x:v>S08</x:v>
      </x:c>
      <x:c r="C28" s="83" t="str">
        <x:v>Piano Nazionale Integrato per l'Energia e il Clima</x:v>
      </x:c>
      <x:c r="D28" s="83" t="str">
        <x:v>Figura</x:v>
      </x:c>
      <x:c r="E28" s="83" t="str">
        <x:v>15</x:v>
      </x:c>
      <x:c r="F28" s="83" t="n">
        <x:v>108</x:v>
      </x:c>
      <x:c r="G28" s="83" t="n">
        <x:v>107</x:v>
      </x:c>
      <x:c r="H28" s="83" t="str">
        <x:v>2. Obiettivi e traguardi</x:v>
      </x:c>
      <x:c r="I28" s="83" t="str">
        <x:v>Figura 15 - Traiettorie di crescita dell’energia da FER al 2030 nel settore termico – ktep [Fonte: GSE, RSE]</x:v>
      </x:c>
      <x:c r="J28" s="83" t="str">
        <x:v>Capacità e generazione</x:v>
      </x:c>
      <x:c r="K28" s="83" t="str">
        <x:v>P2 - contesto/validazione</x:v>
      </x:c>
      <x:c r="L28" s="83" t="str">
        <x:v>Figura o mappa; lettura etichette / eventuale digitalizzazione</x:v>
      </x:c>
      <x:c r="M28" s="83" t="str">
        <x:v>Medio</x:v>
      </x:c>
      <x:c r="N28" s="83" t="str">
        <x:v>Da verificare in Fase 3</x:v>
      </x:c>
    </x:row>
    <x:row r="29">
      <x:c r="A29" s="83" t="str">
        <x:v>S08-TAB-14-111</x:v>
      </x:c>
      <x:c r="B29" s="83" t="str">
        <x:v>S08</x:v>
      </x:c>
      <x:c r="C29" s="83" t="str">
        <x:v>Piano Nazionale Integrato per l'Energia e il Clima</x:v>
      </x:c>
      <x:c r="D29" s="83" t="str">
        <x:v>Tabella</x:v>
      </x:c>
      <x:c r="E29" s="83" t="str">
        <x:v>14</x:v>
      </x:c>
      <x:c r="F29" s="83" t="n">
        <x:v>111</x:v>
      </x:c>
      <x:c r="G29" s="83" t="n">
        <x:v>110</x:v>
      </x:c>
      <x:c r="H29" s="83" t="str">
        <x:v>2. Obiettivi e traguardi</x:v>
      </x:c>
      <x:c r="I29" s="83" t="str">
        <x:v>Tabella 14 - Contributo delle FER nel settore trasporti previsto al 2030, secondo i criteri di calcolo definiti</x:v>
      </x:c>
      <x:c r="J29" s="83" t="str">
        <x:v>Capacità e generazione</x:v>
      </x:c>
      <x:c r="K29" s="83" t="str">
        <x:v>P2 - contesto/validazione</x:v>
      </x:c>
      <x:c r="L29" s="83" t="str">
        <x:v>Tabella testuale/PDF</x:v>
      </x:c>
      <x:c r="M29" s="83" t="str">
        <x:v>Basso</x:v>
      </x:c>
      <x:c r="N29" s="83" t="str">
        <x:v>Da verificare in Fase 3</x:v>
      </x:c>
    </x:row>
    <x:row r="30">
      <x:c r="A30" s="83" t="str">
        <x:v>S08-TAB-15-112</x:v>
      </x:c>
      <x:c r="B30" s="83" t="str">
        <x:v>S08</x:v>
      </x:c>
      <x:c r="C30" s="83" t="str">
        <x:v>Piano Nazionale Integrato per l'Energia e il Clima</x:v>
      </x:c>
      <x:c r="D30" s="83" t="str">
        <x:v>Tabella</x:v>
      </x:c>
      <x:c r="E30" s="83" t="str">
        <x:v>15</x:v>
      </x:c>
      <x:c r="F30" s="83" t="n">
        <x:v>112</x:v>
      </x:c>
      <x:c r="G30" s="83" t="n">
        <x:v>111</x:v>
      </x:c>
      <x:c r="H30" s="83" t="str">
        <x:v>2. Obiettivi e traguardi</x:v>
      </x:c>
      <x:c r="I30" s="83" t="str">
        <x:v>Tabella 15 - Contributo delle FER nel settore trasporti previsto al 2030, secondo i criteri di calcolo definiti</x:v>
      </x:c>
      <x:c r="J30" s="83" t="str">
        <x:v>Capacità e generazione</x:v>
      </x:c>
      <x:c r="K30" s="83" t="str">
        <x:v>P2 - contesto/validazione</x:v>
      </x:c>
      <x:c r="L30" s="83" t="str">
        <x:v>Tabella testuale/PDF</x:v>
      </x:c>
      <x:c r="M30" s="83" t="str">
        <x:v>Basso</x:v>
      </x:c>
      <x:c r="N30" s="83" t="str">
        <x:v>Da verificare in Fase 3</x:v>
      </x:c>
    </x:row>
    <x:row r="31">
      <x:c r="A31" s="83" t="str">
        <x:v>S08-FIG-16-112</x:v>
      </x:c>
      <x:c r="B31" s="83" t="str">
        <x:v>S08</x:v>
      </x:c>
      <x:c r="C31" s="83" t="str">
        <x:v>Piano Nazionale Integrato per l'Energia e il Clima</x:v>
      </x:c>
      <x:c r="D31" s="83" t="str">
        <x:v>Figura</x:v>
      </x:c>
      <x:c r="E31" s="83" t="str">
        <x:v>16</x:v>
      </x:c>
      <x:c r="F31" s="83" t="n">
        <x:v>112</x:v>
      </x:c>
      <x:c r="G31" s="83" t="n">
        <x:v>111</x:v>
      </x:c>
      <x:c r="H31" s="83" t="str">
        <x:v>2. Obiettivi e traguardi</x:v>
      </x:c>
      <x:c r="I31" s="83" t="str">
        <x:v>Figura 16 - Traiettorie di evoluzione dei biocarburanti nel settore dei trasporti [Fonte: GSE, RSE]</x:v>
      </x:c>
      <x:c r="J31" s="83" t="str">
        <x:v>Contesto / metodologia</x:v>
      </x:c>
      <x:c r="K31" s="83" t="str">
        <x:v>P2 - contesto/validazione</x:v>
      </x:c>
      <x:c r="L31" s="83" t="str">
        <x:v>Figura o mappa; lettura etichette / eventuale digitalizzazione</x:v>
      </x:c>
      <x:c r="M31" s="83" t="str">
        <x:v>Medio</x:v>
      </x:c>
      <x:c r="N31" s="83" t="str">
        <x:v>Da verificare in Fase 3</x:v>
      </x:c>
    </x:row>
    <x:row r="32">
      <x:c r="A32" s="83" t="str">
        <x:v>S08-FIG-17-113</x:v>
      </x:c>
      <x:c r="B32" s="83" t="str">
        <x:v>S08</x:v>
      </x:c>
      <x:c r="C32" s="83" t="str">
        <x:v>Piano Nazionale Integrato per l'Energia e il Clima</x:v>
      </x:c>
      <x:c r="D32" s="83" t="str">
        <x:v>Figura</x:v>
      </x:c>
      <x:c r="E32" s="83" t="str">
        <x:v>17</x:v>
      </x:c>
      <x:c r="F32" s="83" t="n">
        <x:v>113</x:v>
      </x:c>
      <x:c r="G32" s="83" t="n">
        <x:v>112</x:v>
      </x:c>
      <x:c r="H32" s="83" t="str">
        <x:v>2. Obiettivi e traguardi</x:v>
      </x:c>
      <x:c r="I32" s="83" t="str">
        <x:v>Figura 17 - Traiettorie di evoluzione dei consumi di RFNBO e della quota FER dell’energia elettrica nel</x:v>
      </x:c>
      <x:c r="J32" s="83" t="str">
        <x:v>Capacità e generazione</x:v>
      </x:c>
      <x:c r="K32" s="83" t="str">
        <x:v>P2 - contesto/validazione</x:v>
      </x:c>
      <x:c r="L32" s="83" t="str">
        <x:v>Figura o mappa; lettura etichette / eventuale digitalizzazione</x:v>
      </x:c>
      <x:c r="M32" s="83" t="str">
        <x:v>Medio</x:v>
      </x:c>
      <x:c r="N32" s="83" t="str">
        <x:v>Da verificare in Fase 3</x:v>
      </x:c>
    </x:row>
    <x:row r="33">
      <x:c r="A33" s="83" t="str">
        <x:v>S08-TAB-16-114</x:v>
      </x:c>
      <x:c r="B33" s="83" t="str">
        <x:v>S08</x:v>
      </x:c>
      <x:c r="C33" s="83" t="str">
        <x:v>Piano Nazionale Integrato per l'Energia e il Clima</x:v>
      </x:c>
      <x:c r="D33" s="83" t="str">
        <x:v>Tabella</x:v>
      </x:c>
      <x:c r="E33" s="83" t="str">
        <x:v>16</x:v>
      </x:c>
      <x:c r="F33" s="83" t="n">
        <x:v>114</x:v>
      </x:c>
      <x:c r="G33" s="83" t="n">
        <x:v>113</x:v>
      </x:c>
      <x:c r="H33" s="83" t="str">
        <x:v>2. Obiettivi e traguardi</x:v>
      </x:c>
      <x:c r="I33" s="83" t="str">
        <x:v>Tabella 16 - Stima degli obiettivi di consumo di idrogeno al 2030</x:v>
      </x:c>
      <x:c r="J33" s="83" t="str">
        <x:v>Scenario e metodologia</x:v>
      </x:c>
      <x:c r="K33" s="83" t="str">
        <x:v>P2 - contesto/validazione</x:v>
      </x:c>
      <x:c r="L33" s="83" t="str">
        <x:v>Tabella testuale/PDF</x:v>
      </x:c>
      <x:c r="M33" s="83" t="str">
        <x:v>Basso</x:v>
      </x:c>
      <x:c r="N33" s="83" t="str">
        <x:v>Da verificare in Fase 3</x:v>
      </x:c>
    </x:row>
    <x:row r="34">
      <x:c r="A34" s="83" t="str">
        <x:v>S08-FIG-19-118</x:v>
      </x:c>
      <x:c r="B34" s="83" t="str">
        <x:v>S08</x:v>
      </x:c>
      <x:c r="C34" s="83" t="str">
        <x:v>Piano Nazionale Integrato per l'Energia e il Clima</x:v>
      </x:c>
      <x:c r="D34" s="83" t="str">
        <x:v>Figura</x:v>
      </x:c>
      <x:c r="E34" s="83" t="str">
        <x:v>19</x:v>
      </x:c>
      <x:c r="F34" s="83" t="n">
        <x:v>118</x:v>
      </x:c>
      <x:c r="G34" s="83" t="n">
        <x:v>117</x:v>
      </x:c>
      <x:c r="H34" s="83" t="str">
        <x:v>2. Obiettivi e traguardi</x:v>
      </x:c>
      <x:c r="I34" s="83" t="str">
        <x:v>Figura 19 - Traiettoria dei consumi di energia primaria e finale (Mtep) nel periodo 2010-2030</x:v>
      </x:c>
      <x:c r="J34" s="83" t="str">
        <x:v>Scenario e metodologia</x:v>
      </x:c>
      <x:c r="K34" s="83" t="str">
        <x:v>P2 - contesto/validazione</x:v>
      </x:c>
      <x:c r="L34" s="83" t="str">
        <x:v>Figura o mappa; lettura etichette / eventuale digitalizzazione</x:v>
      </x:c>
      <x:c r="M34" s="83" t="str">
        <x:v>Medio</x:v>
      </x:c>
      <x:c r="N34" s="83" t="str">
        <x:v>Da verificare in Fase 3</x:v>
      </x:c>
    </x:row>
    <x:row r="35">
      <x:c r="A35" s="83" t="str">
        <x:v>S08-FIG-20-119</x:v>
      </x:c>
      <x:c r="B35" s="83" t="str">
        <x:v>S08</x:v>
      </x:c>
      <x:c r="C35" s="83" t="str">
        <x:v>Piano Nazionale Integrato per l'Energia e il Clima</x:v>
      </x:c>
      <x:c r="D35" s="83" t="str">
        <x:v>Figura</x:v>
      </x:c>
      <x:c r="E35" s="83" t="str">
        <x:v>20</x:v>
      </x:c>
      <x:c r="F35" s="83" t="n">
        <x:v>119</x:v>
      </x:c>
      <x:c r="G35" s="83" t="n">
        <x:v>118</x:v>
      </x:c>
      <x:c r="H35" s="83" t="str">
        <x:v>2. Obiettivi e traguardi</x:v>
      </x:c>
      <x:c r="I35" s="83" t="str">
        <x:v>Figura 20 - Obiettivo di risparmio energetico da misure efficienza energetica a confronto 2021-2030 (art.8</x:v>
      </x:c>
      <x:c r="J35" s="83" t="str">
        <x:v>Contesto / metodologia</x:v>
      </x:c>
      <x:c r="K35" s="83" t="str">
        <x:v>P1 - input diretto/parametro</x:v>
      </x:c>
      <x:c r="L35" s="83" t="str">
        <x:v>Figura o mappa; lettura etichette / eventuale digitalizzazione</x:v>
      </x:c>
      <x:c r="M35" s="83" t="str">
        <x:v>Medio</x:v>
      </x:c>
      <x:c r="N35" s="83" t="str">
        <x:v>Da verificare in Fase 3</x:v>
      </x:c>
    </x:row>
    <x:row r="36">
      <x:c r="A36" s="83" t="str">
        <x:v>S08-FIG-24-135</x:v>
      </x:c>
      <x:c r="B36" s="83" t="str">
        <x:v>S08</x:v>
      </x:c>
      <x:c r="C36" s="83" t="str">
        <x:v>Piano Nazionale Integrato per l'Energia e il Clima</x:v>
      </x:c>
      <x:c r="D36" s="83" t="str">
        <x:v>Figura</x:v>
      </x:c>
      <x:c r="E36" s="83" t="str">
        <x:v>24</x:v>
      </x:c>
      <x:c r="F36" s="83" t="n">
        <x:v>135</x:v>
      </x:c>
      <x:c r="G36" s="83" t="n">
        <x:v>134</x:v>
      </x:c>
      <x:c r="H36" s="83" t="str">
        <x:v>2. Obiettivi e traguardi</x:v>
      </x:c>
      <x:c r="I36" s="83" t="str">
        <x:v>Figura 24 - Distribuzione percentuale degli APE afferenti alla proprietà pubblica emessi tra il 2015 e il 2022</x:v>
      </x:c>
      <x:c r="J36" s="83" t="str">
        <x:v>Capacità e generazione</x:v>
      </x:c>
      <x:c r="K36" s="83" t="str">
        <x:v>P2 - contesto/validazione</x:v>
      </x:c>
      <x:c r="L36" s="83" t="str">
        <x:v>Figura o mappa; lettura etichette / eventuale digitalizzazione</x:v>
      </x:c>
      <x:c r="M36" s="83" t="str">
        <x:v>Medio</x:v>
      </x:c>
      <x:c r="N36" s="83" t="str">
        <x:v>Da verificare in Fase 3</x:v>
      </x:c>
    </x:row>
    <x:row r="37">
      <x:c r="A37" s="83" t="str">
        <x:v>S08-FIG-25-135</x:v>
      </x:c>
      <x:c r="B37" s="83" t="str">
        <x:v>S08</x:v>
      </x:c>
      <x:c r="C37" s="83" t="str">
        <x:v>Piano Nazionale Integrato per l'Energia e il Clima</x:v>
      </x:c>
      <x:c r="D37" s="83" t="str">
        <x:v>Figura</x:v>
      </x:c>
      <x:c r="E37" s="83" t="str">
        <x:v>25</x:v>
      </x:c>
      <x:c r="F37" s="83" t="n">
        <x:v>135</x:v>
      </x:c>
      <x:c r="G37" s="83" t="n">
        <x:v>134</x:v>
      </x:c>
      <x:c r="H37" s="83" t="str">
        <x:v>2. Obiettivi e traguardi</x:v>
      </x:c>
      <x:c r="I37" s="83" t="str">
        <x:v>Figura 25 - Distribuzione degli APE afferenti alla proprietà pubblica per (a) zona climatica, (b) motivazione e</x:v>
      </x:c>
      <x:c r="J37" s="83" t="str">
        <x:v>Capacità e generazione</x:v>
      </x:c>
      <x:c r="K37" s="83" t="str">
        <x:v>P2 - contesto/validazione</x:v>
      </x:c>
      <x:c r="L37" s="83" t="str">
        <x:v>Figura o mappa; lettura etichette / eventuale digitalizzazione</x:v>
      </x:c>
      <x:c r="M37" s="83" t="str">
        <x:v>Medio</x:v>
      </x:c>
      <x:c r="N37" s="83" t="str">
        <x:v>Da verificare in Fase 3</x:v>
      </x:c>
    </x:row>
    <x:row r="38">
      <x:c r="A38" s="83" t="str">
        <x:v>S08-FIG-29-145</x:v>
      </x:c>
      <x:c r="B38" s="83" t="str">
        <x:v>S08</x:v>
      </x:c>
      <x:c r="C38" s="83" t="str">
        <x:v>Piano Nazionale Integrato per l'Energia e il Clima</x:v>
      </x:c>
      <x:c r="D38" s="83" t="str">
        <x:v>Figura</x:v>
      </x:c>
      <x:c r="E38" s="83" t="str">
        <x:v>29</x:v>
      </x:c>
      <x:c r="F38" s="83" t="n">
        <x:v>145</x:v>
      </x:c>
      <x:c r="G38" s="83" t="n">
        <x:v>144</x:v>
      </x:c>
      <x:c r="H38" s="83" t="str">
        <x:v>2. Obiettivi e traguardi</x:v>
      </x:c>
      <x:c r="I38" s="83" t="str">
        <x:v>Figura 29 - Scostamento dei consumi mensili di gas e elettricità dell’area euro rispetto alla media degli</x:v>
      </x:c>
      <x:c r="J38" s="83" t="str">
        <x:v>Contesto / metodologia</x:v>
      </x:c>
      <x:c r="K38" s="83" t="str">
        <x:v>P2 - contesto/validazione</x:v>
      </x:c>
      <x:c r="L38" s="83" t="str">
        <x:v>Figura o mappa; lettura etichette / eventuale digitalizzazione</x:v>
      </x:c>
      <x:c r="M38" s="83" t="str">
        <x:v>Medio</x:v>
      </x:c>
      <x:c r="N38" s="83" t="str">
        <x:v>Da verificare in Fase 3</x:v>
      </x:c>
    </x:row>
    <x:row r="39">
      <x:c r="A39" s="83" t="str">
        <x:v>S08-FIG-30-146</x:v>
      </x:c>
      <x:c r="B39" s="83" t="str">
        <x:v>S08</x:v>
      </x:c>
      <x:c r="C39" s="83" t="str">
        <x:v>Piano Nazionale Integrato per l'Energia e il Clima</x:v>
      </x:c>
      <x:c r="D39" s="83" t="str">
        <x:v>Figura</x:v>
      </x:c>
      <x:c r="E39" s="83" t="str">
        <x:v>30</x:v>
      </x:c>
      <x:c r="F39" s="83" t="n">
        <x:v>146</x:v>
      </x:c>
      <x:c r="G39" s="83" t="n">
        <x:v>145</x:v>
      </x:c>
      <x:c r="H39" s="83" t="str">
        <x:v>2. Obiettivi e traguardi</x:v>
      </x:c>
      <x:c r="I39" s="83" t="str">
        <x:v>Figura 30 - Scostamento dei consumi mensili di gas e elettricità italiani rispetto alla media degli ultimi 5 anni</x:v>
      </x:c>
      <x:c r="J39" s="83" t="str">
        <x:v>Contesto / metodologia</x:v>
      </x:c>
      <x:c r="K39" s="83" t="str">
        <x:v>P2 - contesto/validazione</x:v>
      </x:c>
      <x:c r="L39" s="83" t="str">
        <x:v>Figura o mappa; lettura etichette / eventuale digitalizzazione</x:v>
      </x:c>
      <x:c r="M39" s="83" t="str">
        <x:v>Medio</x:v>
      </x:c>
      <x:c r="N39" s="83" t="str">
        <x:v>Da verificare in Fase 3</x:v>
      </x:c>
    </x:row>
    <x:row r="40">
      <x:c r="A40" s="83" t="str">
        <x:v>S08-TAB-32-148</x:v>
      </x:c>
      <x:c r="B40" s="83" t="str">
        <x:v>S08</x:v>
      </x:c>
      <x:c r="C40" s="83" t="str">
        <x:v>Piano Nazionale Integrato per l'Energia e il Clima</x:v>
      </x:c>
      <x:c r="D40" s="83" t="str">
        <x:v>Tabella</x:v>
      </x:c>
      <x:c r="E40" s="83" t="str">
        <x:v>32</x:v>
      </x:c>
      <x:c r="F40" s="83" t="n">
        <x:v>148</x:v>
      </x:c>
      <x:c r="G40" s="83" t="n">
        <x:v>147</x:v>
      </x:c>
      <x:c r="H40" s="83" t="str">
        <x:v>2. Obiettivi e traguardi</x:v>
      </x:c>
      <x:c r="I40" s="83" t="str">
        <x:v>Tabella 32 - Consumi dei principali comparti industriali direttamente interconnessi alla rete Snam Rete Gas</x:v>
      </x:c>
      <x:c r="J40" s="83" t="str">
        <x:v>Trasmissione e interconnessioni</x:v>
      </x:c>
      <x:c r="K40" s="83" t="str">
        <x:v>P2 - contesto/validazione</x:v>
      </x:c>
      <x:c r="L40" s="83" t="str">
        <x:v>Tabella testuale/PDF</x:v>
      </x:c>
      <x:c r="M40" s="83" t="str">
        <x:v>Basso</x:v>
      </x:c>
      <x:c r="N40" s="83" t="str">
        <x:v>Da verificare in Fase 3</x:v>
      </x:c>
    </x:row>
    <x:row r="41">
      <x:c r="A41" s="83" t="str">
        <x:v>S08-TAB-33-149</x:v>
      </x:c>
      <x:c r="B41" s="83" t="str">
        <x:v>S08</x:v>
      </x:c>
      <x:c r="C41" s="83" t="str">
        <x:v>Piano Nazionale Integrato per l'Energia e il Clima</x:v>
      </x:c>
      <x:c r="D41" s="83" t="str">
        <x:v>Tabella</x:v>
      </x:c>
      <x:c r="E41" s="83" t="str">
        <x:v>33</x:v>
      </x:c>
      <x:c r="F41" s="83" t="n">
        <x:v>149</x:v>
      </x:c>
      <x:c r="G41" s="83" t="n">
        <x:v>148</x:v>
      </x:c>
      <x:c r="H41" s="83" t="str">
        <x:v>2. Obiettivi e traguardi</x:v>
      </x:c>
      <x:c r="I41" s="83" t="str">
        <x:v>Tabella 33 - Consumi di gas per i trasporti</x:v>
      </x:c>
      <x:c r="J41" s="83" t="str">
        <x:v>Contesto / metodologia</x:v>
      </x:c>
      <x:c r="K41" s="83" t="str">
        <x:v>P2 - contesto/validazione</x:v>
      </x:c>
      <x:c r="L41" s="83" t="str">
        <x:v>Tabella testuale/PDF</x:v>
      </x:c>
      <x:c r="M41" s="83" t="str">
        <x:v>Basso</x:v>
      </x:c>
      <x:c r="N41" s="83" t="str">
        <x:v>Da verificare in Fase 3</x:v>
      </x:c>
    </x:row>
    <x:row r="42">
      <x:c r="A42" s="83" t="str">
        <x:v>S08-TAB-35-154</x:v>
      </x:c>
      <x:c r="B42" s="83" t="str">
        <x:v>S08</x:v>
      </x:c>
      <x:c r="C42" s="83" t="str">
        <x:v>Piano Nazionale Integrato per l'Energia e il Clima</x:v>
      </x:c>
      <x:c r="D42" s="83" t="str">
        <x:v>Tabella</x:v>
      </x:c>
      <x:c r="E42" s="83" t="str">
        <x:v>35</x:v>
      </x:c>
      <x:c r="F42" s="83" t="n">
        <x:v>154</x:v>
      </x:c>
      <x:c r="G42" s="83" t="n">
        <x:v>153</x:v>
      </x:c>
      <x:c r="H42" s="83" t="str">
        <x:v>2. Obiettivi e traguardi</x:v>
      </x:c>
      <x:c r="I42" s="83" t="str">
        <x:v>Tabella 35 - Dati di import e export dai vari Paesi con cui l’Italia è interconnessa</x:v>
      </x:c>
      <x:c r="J42" s="83" t="str">
        <x:v>Trasmissione e interconnessioni</x:v>
      </x:c>
      <x:c r="K42" s="83" t="str">
        <x:v>P2 - contesto/validazione</x:v>
      </x:c>
      <x:c r="L42" s="83" t="str">
        <x:v>Tabella testuale/PDF</x:v>
      </x:c>
      <x:c r="M42" s="83" t="str">
        <x:v>Basso</x:v>
      </x:c>
      <x:c r="N42" s="83" t="str">
        <x:v>Da verificare in Fase 3</x:v>
      </x:c>
    </x:row>
    <x:row r="43">
      <x:c r="A43" s="83" t="str">
        <x:v>S08-FIG-31-158</x:v>
      </x:c>
      <x:c r="B43" s="83" t="str">
        <x:v>S08</x:v>
      </x:c>
      <x:c r="C43" s="83" t="str">
        <x:v>Piano Nazionale Integrato per l'Energia e il Clima</x:v>
      </x:c>
      <x:c r="D43" s="83" t="str">
        <x:v>Figura</x:v>
      </x:c>
      <x:c r="E43" s="83" t="str">
        <x:v>31</x:v>
      </x:c>
      <x:c r="F43" s="83" t="n">
        <x:v>158</x:v>
      </x:c>
      <x:c r="G43" s="83" t="n">
        <x:v>157</x:v>
      </x:c>
      <x:c r="H43" s="83" t="str">
        <x:v>2. Obiettivi e traguardi</x:v>
      </x:c>
      <x:c r="I43" s="83" t="str">
        <x:v>Figura 31 - Localizzazione accumuli 2019 e 2030 (GW)</x:v>
      </x:c>
      <x:c r="J43" s="83" t="str">
        <x:v>Accumuli e flessibilità</x:v>
      </x:c>
      <x:c r="K43" s="83" t="str">
        <x:v>P1 - input diretto/parametro</x:v>
      </x:c>
      <x:c r="L43" s="83" t="str">
        <x:v>Figura o mappa; lettura etichette / eventuale digitalizzazione</x:v>
      </x:c>
      <x:c r="M43" s="83" t="str">
        <x:v>Medio</x:v>
      </x:c>
      <x:c r="N43" s="83" t="str">
        <x:v>Da verificare in Fase 3</x:v>
      </x:c>
    </x:row>
    <x:row r="44">
      <x:c r="A44" s="83" t="str">
        <x:v>S08-FIG-32-163</x:v>
      </x:c>
      <x:c r="B44" s="83" t="str">
        <x:v>S08</x:v>
      </x:c>
      <x:c r="C44" s="83" t="str">
        <x:v>Piano Nazionale Integrato per l'Energia e il Clima</x:v>
      </x:c>
      <x:c r="D44" s="83" t="str">
        <x:v>Figura</x:v>
      </x:c>
      <x:c r="E44" s="83" t="str">
        <x:v>32</x:v>
      </x:c>
      <x:c r="F44" s="83" t="n">
        <x:v>163</x:v>
      </x:c>
      <x:c r="G44" s="83" t="n">
        <x:v>162</x:v>
      </x:c>
      <x:c r="H44" s="83" t="str">
        <x:v>2. Obiettivi e traguardi</x:v>
      </x:c>
      <x:c r="I44" s="83" t="str">
        <x:v>Figura 32 Piano di Sviluppo 2023 di Terna: Overview nuovi interventi e incrementi capacità di trasporto</x:v>
      </x:c>
      <x:c r="J44" s="83" t="str">
        <x:v>Trasmissione e interconnessioni</x:v>
      </x:c>
      <x:c r="K44" s="83" t="str">
        <x:v>P1 - input diretto/parametro</x:v>
      </x:c>
      <x:c r="L44" s="83" t="str">
        <x:v>Figura o mappa; lettura etichette / eventuale digitalizzazione</x:v>
      </x:c>
      <x:c r="M44" s="83" t="str">
        <x:v>Medio</x:v>
      </x:c>
      <x:c r="N44" s="83" t="str">
        <x:v>Da verificare in Fase 3</x:v>
      </x:c>
    </x:row>
    <x:row r="45">
      <x:c r="A45" s="83" t="str">
        <x:v>S08-TAB-36-199</x:v>
      </x:c>
      <x:c r="B45" s="83" t="str">
        <x:v>S08</x:v>
      </x:c>
      <x:c r="C45" s="83" t="str">
        <x:v>Piano Nazionale Integrato per l'Energia e il Clima</x:v>
      </x:c>
      <x:c r="D45" s="83" t="str">
        <x:v>Tabella</x:v>
      </x:c>
      <x:c r="E45" s="83" t="str">
        <x:v>36</x:v>
      </x:c>
      <x:c r="F45" s="83" t="n">
        <x:v>199</x:v>
      </x:c>
      <x:c r="G45" s="83" t="n">
        <x:v>198</x:v>
      </x:c>
      <x:c r="H45" s="83" t="str">
        <x:v>3. Politiche e misure</x:v>
      </x:c>
      <x:c r="I45" s="83" t="str">
        <x:v>Tabella 36 - Emissioni di gas serra delle categorie del settore rifiuti, anni 1990-2022</x:v>
      </x:c>
      <x:c r="J45" s="83" t="str">
        <x:v>Emissioni e ambiente</x:v>
      </x:c>
      <x:c r="K45" s="83" t="str">
        <x:v>P2 - contesto/validazione</x:v>
      </x:c>
      <x:c r="L45" s="83" t="str">
        <x:v>Tabella testuale/PDF</x:v>
      </x:c>
      <x:c r="M45" s="83" t="str">
        <x:v>Basso</x:v>
      </x:c>
      <x:c r="N45" s="83" t="str">
        <x:v>Da verificare in Fase 3</x:v>
      </x:c>
    </x:row>
    <x:row r="46">
      <x:c r="A46" s="83" t="str">
        <x:v>S08-FIG-34-200</x:v>
      </x:c>
      <x:c r="B46" s="83" t="str">
        <x:v>S08</x:v>
      </x:c>
      <x:c r="C46" s="83" t="str">
        <x:v>Piano Nazionale Integrato per l'Energia e il Clima</x:v>
      </x:c>
      <x:c r="D46" s="83" t="str">
        <x:v>Figura</x:v>
      </x:c>
      <x:c r="E46" s="83" t="str">
        <x:v>34</x:v>
      </x:c>
      <x:c r="F46" s="83" t="n">
        <x:v>200</x:v>
      </x:c>
      <x:c r="G46" s="83" t="n">
        <x:v>199</x:v>
      </x:c>
      <x:c r="H46" s="83" t="str">
        <x:v>3. Politiche e misure</x:v>
      </x:c>
      <x:c r="I46" s="83" t="str">
        <x:v>Figura 34 - Andamento della raccolta differenziata della FORSU in Italia</x:v>
      </x:c>
      <x:c r="J46" s="83" t="str">
        <x:v>Capacità e generazione</x:v>
      </x:c>
      <x:c r="K46" s="83" t="str">
        <x:v>P2 - contesto/validazione</x:v>
      </x:c>
      <x:c r="L46" s="83" t="str">
        <x:v>Figura o mappa; lettura etichette / eventuale digitalizzazione</x:v>
      </x:c>
      <x:c r="M46" s="83" t="str">
        <x:v>Medio</x:v>
      </x:c>
      <x:c r="N46" s="83" t="str">
        <x:v>Da verificare in Fase 3</x:v>
      </x:c>
    </x:row>
    <x:row r="47">
      <x:c r="A47" s="83" t="str">
        <x:v>S08-FIG-35-209</x:v>
      </x:c>
      <x:c r="B47" s="83" t="str">
        <x:v>S08</x:v>
      </x:c>
      <x:c r="C47" s="83" t="str">
        <x:v>Piano Nazionale Integrato per l'Energia e il Clima</x:v>
      </x:c>
      <x:c r="D47" s="83" t="str">
        <x:v>Figura</x:v>
      </x:c>
      <x:c r="E47" s="83" t="str">
        <x:v>35</x:v>
      </x:c>
      <x:c r="F47" s="83" t="n">
        <x:v>209</x:v>
      </x:c>
      <x:c r="G47" s="83" t="n">
        <x:v>208</x:v>
      </x:c>
      <x:c r="H47" s="83" t="str">
        <x:v>3. Politiche e misure</x:v>
      </x:c>
      <x:c r="I47" s="83" t="str">
        <x:v>Figura 35- Emissioni di CH4 (kt CO2 eq.) nelle sorgenti della filiera del gas naturale, gas immesso in rete</x:v>
      </x:c>
      <x:c r="J47" s="83" t="str">
        <x:v>Mercato e prezzi; Emissioni e ambiente</x:v>
      </x:c>
      <x:c r="K47" s="83" t="str">
        <x:v>P1 - input diretto/parametro</x:v>
      </x:c>
      <x:c r="L47" s="83" t="str">
        <x:v>Figura o mappa; lettura etichette / eventuale digitalizzazione</x:v>
      </x:c>
      <x:c r="M47" s="83" t="str">
        <x:v>Medio</x:v>
      </x:c>
      <x:c r="N47" s="83" t="str">
        <x:v>Da verificare in Fase 3</x:v>
      </x:c>
    </x:row>
    <x:row r="48">
      <x:c r="A48" s="83" t="str">
        <x:v>S08-FIG-36-233</x:v>
      </x:c>
      <x:c r="B48" s="83" t="str">
        <x:v>S08</x:v>
      </x:c>
      <x:c r="C48" s="83" t="str">
        <x:v>Piano Nazionale Integrato per l'Energia e il Clima</x:v>
      </x:c>
      <x:c r="D48" s="83" t="str">
        <x:v>Figura</x:v>
      </x:c>
      <x:c r="E48" s="83" t="str">
        <x:v>36</x:v>
      </x:c>
      <x:c r="F48" s="83" t="n">
        <x:v>233</x:v>
      </x:c>
      <x:c r="G48" s="83" t="n">
        <x:v>232</x:v>
      </x:c>
      <x:c r="H48" s="83" t="str">
        <x:v>3. Politiche e misure</x:v>
      </x:c>
      <x:c r="I48" s="83" t="str">
        <x:v>Figura 36 - Investimenti in impianti a fonti rinnovabili termiche che nel 2022 hanno avuto accesso alle</x:v>
      </x:c>
      <x:c r="J48" s="83" t="str">
        <x:v>Contesto / metodologia</x:v>
      </x:c>
      <x:c r="K48" s="83" t="str">
        <x:v>P2 - contesto/validazione</x:v>
      </x:c>
      <x:c r="L48" s="83" t="str">
        <x:v>Figura o mappa; lettura etichette / eventuale digitalizzazione</x:v>
      </x:c>
      <x:c r="M48" s="83" t="str">
        <x:v>Medio</x:v>
      </x:c>
      <x:c r="N48" s="83" t="str">
        <x:v>Da verificare in Fase 3</x:v>
      </x:c>
    </x:row>
    <x:row r="49">
      <x:c r="A49" s="83" t="str">
        <x:v>S08-FIG-37-233</x:v>
      </x:c>
      <x:c r="B49" s="83" t="str">
        <x:v>S08</x:v>
      </x:c>
      <x:c r="C49" s="83" t="str">
        <x:v>Piano Nazionale Integrato per l'Energia e il Clima</x:v>
      </x:c>
      <x:c r="D49" s="83" t="str">
        <x:v>Figura</x:v>
      </x:c>
      <x:c r="E49" s="83" t="str">
        <x:v>37</x:v>
      </x:c>
      <x:c r="F49" s="83" t="n">
        <x:v>233</x:v>
      </x:c>
      <x:c r="G49" s="83" t="n">
        <x:v>232</x:v>
      </x:c>
      <x:c r="H49" s="83" t="str">
        <x:v>3. Politiche e misure</x:v>
      </x:c>
      <x:c r="I49" s="83" t="str">
        <x:v>Figura 37 - Investimenti in impianti a fonti rinnovabili termiche che al 31 dicembre 2022 hanno avuto</x:v>
      </x:c>
      <x:c r="J49" s="83" t="str">
        <x:v>Contesto / metodologia</x:v>
      </x:c>
      <x:c r="K49" s="83" t="str">
        <x:v>P2 - contesto/validazione</x:v>
      </x:c>
      <x:c r="L49" s="83" t="str">
        <x:v>Figura o mappa; lettura etichette / eventuale digitalizzazione</x:v>
      </x:c>
      <x:c r="M49" s="83" t="str">
        <x:v>Medio</x:v>
      </x:c>
      <x:c r="N49" s="83" t="str">
        <x:v>Da verificare in Fase 3</x:v>
      </x:c>
    </x:row>
    <x:row r="50">
      <x:c r="A50" s="83" t="str">
        <x:v>S08-FIG-38-235</x:v>
      </x:c>
      <x:c r="B50" s="83" t="str">
        <x:v>S08</x:v>
      </x:c>
      <x:c r="C50" s="83" t="str">
        <x:v>Piano Nazionale Integrato per l'Energia e il Clima</x:v>
      </x:c>
      <x:c r="D50" s="83" t="str">
        <x:v>Figura</x:v>
      </x:c>
      <x:c r="E50" s="83" t="str">
        <x:v>38</x:v>
      </x:c>
      <x:c r="F50" s="83" t="n">
        <x:v>235</x:v>
      </x:c>
      <x:c r="G50" s="83" t="n">
        <x:v>234</x:v>
      </x:c>
      <x:c r="H50" s="83" t="str">
        <x:v>3. Politiche e misure</x:v>
      </x:c>
      <x:c r="I50" s="83" t="str">
        <x:v>Figura 38 - Stima degli investimenti in impianti a fonti rinnovabili termiche nel Conto Termico nel 2022</x:v>
      </x:c>
      <x:c r="J50" s="83" t="str">
        <x:v>Contesto / metodologia</x:v>
      </x:c>
      <x:c r="K50" s="83" t="str">
        <x:v>P2 - contesto/validazione</x:v>
      </x:c>
      <x:c r="L50" s="83" t="str">
        <x:v>Figura o mappa; lettura etichette / eventuale digitalizzazione</x:v>
      </x:c>
      <x:c r="M50" s="83" t="str">
        <x:v>Medio</x:v>
      </x:c>
      <x:c r="N50" s="83" t="str">
        <x:v>Da verificare in Fase 3</x:v>
      </x:c>
    </x:row>
    <x:row r="51">
      <x:c r="A51" s="83" t="str">
        <x:v>S08-TAB-39-253</x:v>
      </x:c>
      <x:c r="B51" s="83" t="str">
        <x:v>S08</x:v>
      </x:c>
      <x:c r="C51" s="83" t="str">
        <x:v>Piano Nazionale Integrato per l'Energia e il Clima</x:v>
      </x:c>
      <x:c r="D51" s="83" t="str">
        <x:v>Tabella</x:v>
      </x:c>
      <x:c r="E51" s="83" t="str">
        <x:v>39</x:v>
      </x:c>
      <x:c r="F51" s="83" t="n">
        <x:v>253</x:v>
      </x:c>
      <x:c r="G51" s="83" t="n">
        <x:v>252</x:v>
      </x:c>
      <x:c r="H51" s="83" t="str">
        <x:v>3. Politiche e misure</x:v>
      </x:c>
      <x:c r="I51" s="83" t="str">
        <x:v>Tabella 39 Emissioni centrale termoelettrica Sulcis in ETS 2021-2023 (ktCO2):</x:v>
      </x:c>
      <x:c r="J51" s="83" t="str">
        <x:v>Mercato e prezzi; Emissioni e ambiente</x:v>
      </x:c>
      <x:c r="K51" s="83" t="str">
        <x:v>P1 - input diretto/parametro</x:v>
      </x:c>
      <x:c r="L51" s="83" t="str">
        <x:v>Tabella testuale/PDF</x:v>
      </x:c>
      <x:c r="M51" s="83" t="str">
        <x:v>Basso</x:v>
      </x:c>
      <x:c r="N51" s="83" t="str">
        <x:v>Da verificare in Fase 3</x:v>
      </x:c>
    </x:row>
    <x:row r="52">
      <x:c r="A52" s="83" t="str">
        <x:v>S08-FIG-41-285</x:v>
      </x:c>
      <x:c r="B52" s="83" t="str">
        <x:v>S08</x:v>
      </x:c>
      <x:c r="C52" s="83" t="str">
        <x:v>Piano Nazionale Integrato per l'Energia e il Clima</x:v>
      </x:c>
      <x:c r="D52" s="83" t="str">
        <x:v>Figura</x:v>
      </x:c>
      <x:c r="E52" s="83" t="str">
        <x:v>41</x:v>
      </x:c>
      <x:c r="F52" s="83" t="n">
        <x:v>285</x:v>
      </x:c>
      <x:c r="G52" s="83" t="n">
        <x:v>284</x:v>
      </x:c>
      <x:c r="H52" s="83" t="str">
        <x:v>3. Politiche e misure</x:v>
      </x:c>
      <x:c r="I52" s="83" t="str">
        <x:v>Figura 41 - Risparmi di energia finale previsti per il Conto Termico (Mtep)</x:v>
      </x:c>
      <x:c r="J52" s="83" t="str">
        <x:v>Contesto / metodologia</x:v>
      </x:c>
      <x:c r="K52" s="83" t="str">
        <x:v>P2 - contesto/validazione</x:v>
      </x:c>
      <x:c r="L52" s="83" t="str">
        <x:v>Figura o mappa; lettura etichette / eventuale digitalizzazione</x:v>
      </x:c>
      <x:c r="M52" s="83" t="str">
        <x:v>Medio</x:v>
      </x:c>
      <x:c r="N52" s="83" t="str">
        <x:v>Da verificare in Fase 3</x:v>
      </x:c>
    </x:row>
    <x:row r="53">
      <x:c r="A53" s="83" t="str">
        <x:v>S08-FIG-42-286</x:v>
      </x:c>
      <x:c r="B53" s="83" t="str">
        <x:v>S08</x:v>
      </x:c>
      <x:c r="C53" s="83" t="str">
        <x:v>Piano Nazionale Integrato per l'Energia e il Clima</x:v>
      </x:c>
      <x:c r="D53" s="83" t="str">
        <x:v>Figura</x:v>
      </x:c>
      <x:c r="E53" s="83" t="str">
        <x:v>42</x:v>
      </x:c>
      <x:c r="F53" s="83" t="n">
        <x:v>286</x:v>
      </x:c>
      <x:c r="G53" s="83" t="n">
        <x:v>285</x:v>
      </x:c>
      <x:c r="H53" s="83" t="str">
        <x:v>3. Politiche e misure</x:v>
      </x:c>
      <x:c r="I53" s="83" t="str">
        <x:v>Figura 42 - Risparmi di energia finale previsti per il Fondo Nazionale per l’Efficienza Energetica (Mtep)</x:v>
      </x:c>
      <x:c r="J53" s="83" t="str">
        <x:v>Contesto / metodologia</x:v>
      </x:c>
      <x:c r="K53" s="83" t="str">
        <x:v>P1 - input diretto/parametro</x:v>
      </x:c>
      <x:c r="L53" s="83" t="str">
        <x:v>Figura o mappa; lettura etichette / eventuale digitalizzazione</x:v>
      </x:c>
      <x:c r="M53" s="83" t="str">
        <x:v>Medio</x:v>
      </x:c>
      <x:c r="N53" s="83" t="str">
        <x:v>Da verificare in Fase 3</x:v>
      </x:c>
    </x:row>
    <x:row r="54">
      <x:c r="A54" s="83" t="str">
        <x:v>S08-FIG-53-300</x:v>
      </x:c>
      <x:c r="B54" s="83" t="str">
        <x:v>S08</x:v>
      </x:c>
      <x:c r="C54" s="83" t="str">
        <x:v>Piano Nazionale Integrato per l'Energia e il Clima</x:v>
      </x:c>
      <x:c r="D54" s="83" t="str">
        <x:v>Figura</x:v>
      </x:c>
      <x:c r="E54" s="83" t="str">
        <x:v>53</x:v>
      </x:c>
      <x:c r="F54" s="83" t="n">
        <x:v>300</x:v>
      </x:c>
      <x:c r="G54" s="83" t="n">
        <x:v>299</x:v>
      </x:c>
      <x:c r="H54" s="83" t="str">
        <x:v>3. Politiche e misure</x:v>
      </x:c>
      <x:c r="I54" s="83" t="str">
        <x:v>Figura 53 - Quadro di sintesi dei risparmi attesi 2021-2030 dalle misure di promozione dell’efficienza</x:v>
      </x:c>
      <x:c r="J54" s="83" t="str">
        <x:v>Contesto / metodologia</x:v>
      </x:c>
      <x:c r="K54" s="83" t="str">
        <x:v>P1 - input diretto/parametro</x:v>
      </x:c>
      <x:c r="L54" s="83" t="str">
        <x:v>Figura o mappa; lettura etichette / eventuale digitalizzazione</x:v>
      </x:c>
      <x:c r="M54" s="83" t="str">
        <x:v>Medio</x:v>
      </x:c>
      <x:c r="N54" s="83" t="str">
        <x:v>Da verificare in Fase 3</x:v>
      </x:c>
    </x:row>
    <x:row r="55">
      <x:c r="A55" s="83" t="str">
        <x:v>S08-TAB-45-325</x:v>
      </x:c>
      <x:c r="B55" s="83" t="str">
        <x:v>S08</x:v>
      </x:c>
      <x:c r="C55" s="83" t="str">
        <x:v>Piano Nazionale Integrato per l'Energia e il Clima</x:v>
      </x:c>
      <x:c r="D55" s="83" t="str">
        <x:v>Tabella</x:v>
      </x:c>
      <x:c r="E55" s="83" t="str">
        <x:v>45</x:v>
      </x:c>
      <x:c r="F55" s="83" t="n">
        <x:v>325</x:v>
      </x:c>
      <x:c r="G55" s="83" t="n">
        <x:v>324</x:v>
      </x:c>
      <x:c r="H55" s="83" t="str">
        <x:v>3. Politiche e misure</x:v>
      </x:c>
      <x:c r="I55" s="83" t="str">
        <x:v>Tabella 45 - Progetti di interconnessione Pianificati nel PdS23 ed Iniziative Merchat Lines (TYNDP24)</x:v>
      </x:c>
      <x:c r="J55" s="83" t="str">
        <x:v>Trasmissione e interconnessioni</x:v>
      </x:c>
      <x:c r="K55" s="83" t="str">
        <x:v>P2 - contesto/validazione</x:v>
      </x:c>
      <x:c r="L55" s="83" t="str">
        <x:v>Tabella testuale/PDF</x:v>
      </x:c>
      <x:c r="M55" s="83" t="str">
        <x:v>Basso</x:v>
      </x:c>
      <x:c r="N55" s="83" t="str">
        <x:v>Da verificare in Fase 3</x:v>
      </x:c>
    </x:row>
    <x:row r="56">
      <x:c r="A56" s="83" t="str">
        <x:v>S08-TAB-53-366</x:v>
      </x:c>
      <x:c r="B56" s="83" t="str">
        <x:v>S08</x:v>
      </x:c>
      <x:c r="C56" s="83" t="str">
        <x:v>Piano Nazionale Integrato per l'Energia e il Clima</x:v>
      </x:c>
      <x:c r="D56" s="83" t="str">
        <x:v>Tabella</x:v>
      </x:c>
      <x:c r="E56" s="83" t="str">
        <x:v>53</x:v>
      </x:c>
      <x:c r="F56" s="83" t="n">
        <x:v>366</x:v>
      </x:c>
      <x:c r="G56" s="83" t="n">
        <x:v>365</x:v>
      </x:c>
      <x:c r="H56" s="83" t="str">
        <x:v>4. Situazione attuale e proiezioni</x:v>
      </x:c>
      <x:c r="I56" s="83" t="str">
        <x:v>Tabella 53 - Evoluzione dei prezzi internazionali delle commodity energetiche e delle quote di emissione ETS</x:v>
      </x:c>
      <x:c r="J56" s="83" t="str">
        <x:v>Mercato e prezzi; Emissioni e ambiente</x:v>
      </x:c>
      <x:c r="K56" s="83" t="str">
        <x:v>P2 - contesto/validazione</x:v>
      </x:c>
      <x:c r="L56" s="83" t="str">
        <x:v>Tabella testuale/PDF</x:v>
      </x:c>
      <x:c r="M56" s="83" t="str">
        <x:v>Basso</x:v>
      </x:c>
      <x:c r="N56" s="83" t="str">
        <x:v>Da verificare in Fase 3</x:v>
      </x:c>
    </x:row>
    <x:row r="57">
      <x:c r="A57" s="83" t="str">
        <x:v>S08-TAB-54-367</x:v>
      </x:c>
      <x:c r="B57" s="83" t="str">
        <x:v>S08</x:v>
      </x:c>
      <x:c r="C57" s="83" t="str">
        <x:v>Piano Nazionale Integrato per l'Energia e il Clima</x:v>
      </x:c>
      <x:c r="D57" s="83" t="str">
        <x:v>Tabella</x:v>
      </x:c>
      <x:c r="E57" s="83" t="str">
        <x:v>54</x:v>
      </x:c>
      <x:c r="F57" s="83" t="n">
        <x:v>367</x:v>
      </x:c>
      <x:c r="G57" s="83" t="n">
        <x:v>366</x:v>
      </x:c>
      <x:c r="H57" s="83" t="str">
        <x:v>4. Situazione attuale e proiezioni</x:v>
      </x:c>
      <x:c r="I57" s="83" t="str">
        <x:v>Tabella 54 Evoluzione dei prezzi delle quote di emissione ETS2 [Fonte: Commissione europea ed</x:v>
      </x:c>
      <x:c r="J57" s="83" t="str">
        <x:v>Emissioni e ambiente</x:v>
      </x:c>
      <x:c r="K57" s="83" t="str">
        <x:v>P2 - contesto/validazione</x:v>
      </x:c>
      <x:c r="L57" s="83" t="str">
        <x:v>Tabella testuale/PDF</x:v>
      </x:c>
      <x:c r="M57" s="83" t="str">
        <x:v>Basso</x:v>
      </x:c>
      <x:c r="N57" s="83" t="str">
        <x:v>Da verificare in Fase 3</x:v>
      </x:c>
    </x:row>
    <x:row r="58">
      <x:c r="A58" s="83" t="str">
        <x:v>S08-FIG-56-368</x:v>
      </x:c>
      <x:c r="B58" s="83" t="str">
        <x:v>S08</x:v>
      </x:c>
      <x:c r="C58" s="83" t="str">
        <x:v>Piano Nazionale Integrato per l'Energia e il Clima</x:v>
      </x:c>
      <x:c r="D58" s="83" t="str">
        <x:v>Figura</x:v>
      </x:c>
      <x:c r="E58" s="83" t="str">
        <x:v>56</x:v>
      </x:c>
      <x:c r="F58" s="83" t="n">
        <x:v>368</x:v>
      </x:c>
      <x:c r="G58" s="83" t="n">
        <x:v>367</x:v>
      </x:c>
      <x:c r="H58" s="83" t="str">
        <x:v>4. Situazione attuale e proiezioni</x:v>
      </x:c>
      <x:c r="I58" s="83" t="str">
        <x:v>Figura 56 - Emissioni di gas serra ETS ed ESR (Mt CO2eq), anni storici e scenario di riferimento [Fonte:</x:v>
      </x:c>
      <x:c r="J58" s="83" t="str">
        <x:v>Capacità e generazione; Mercato e prezzi; Emissioni e ambiente</x:v>
      </x:c>
      <x:c r="K58" s="83" t="str">
        <x:v>P1 - input diretto/parametro</x:v>
      </x:c>
      <x:c r="L58" s="83" t="str">
        <x:v>Figura o mappa; lettura etichette / eventuale digitalizzazione</x:v>
      </x:c>
      <x:c r="M58" s="83" t="str">
        <x:v>Medio</x:v>
      </x:c>
      <x:c r="N58" s="83" t="str">
        <x:v>Da verificare in Fase 3</x:v>
      </x:c>
    </x:row>
    <x:row r="59">
      <x:c r="A59" s="83" t="str">
        <x:v>S08-TAB-55-369</x:v>
      </x:c>
      <x:c r="B59" s="83" t="str">
        <x:v>S08</x:v>
      </x:c>
      <x:c r="C59" s="83" t="str">
        <x:v>Piano Nazionale Integrato per l'Energia e il Clima</x:v>
      </x:c>
      <x:c r="D59" s="83" t="str">
        <x:v>Tabella</x:v>
      </x:c>
      <x:c r="E59" s="83" t="str">
        <x:v>55</x:v>
      </x:c>
      <x:c r="F59" s="83" t="n">
        <x:v>369</x:v>
      </x:c>
      <x:c r="G59" s="83" t="n">
        <x:v>368</x:v>
      </x:c>
      <x:c r="H59" s="83" t="str">
        <x:v>4. Situazione attuale e proiezioni</x:v>
      </x:c>
      <x:c r="I59" s="83" t="str">
        <x:v>Tabella 55 - Emissioni nazionali di gas serra e obiettivi europei (Mt CO2eq), storico e scenario di riferimento</x:v>
      </x:c>
      <x:c r="J59" s="83" t="str">
        <x:v>Capacità e generazione; Mercato e prezzi; Emissioni e ambiente</x:v>
      </x:c>
      <x:c r="K59" s="83" t="str">
        <x:v>P1 - input diretto/parametro</x:v>
      </x:c>
      <x:c r="L59" s="83" t="str">
        <x:v>Tabella testuale/PDF</x:v>
      </x:c>
      <x:c r="M59" s="83" t="str">
        <x:v>Basso</x:v>
      </x:c>
      <x:c r="N59" s="83" t="str">
        <x:v>Da verificare in Fase 3</x:v>
      </x:c>
    </x:row>
    <x:row r="60">
      <x:c r="A60" s="83" t="str">
        <x:v>S08-TAB-56-370</x:v>
      </x:c>
      <x:c r="B60" s="83" t="str">
        <x:v>S08</x:v>
      </x:c>
      <x:c r="C60" s="83" t="str">
        <x:v>Piano Nazionale Integrato per l'Energia e il Clima</x:v>
      </x:c>
      <x:c r="D60" s="83" t="str">
        <x:v>Tabella</x:v>
      </x:c>
      <x:c r="E60" s="83" t="str">
        <x:v>56</x:v>
      </x:c>
      <x:c r="F60" s="83" t="n">
        <x:v>370</x:v>
      </x:c>
      <x:c r="G60" s="83" t="n">
        <x:v>369</x:v>
      </x:c>
      <x:c r="H60" s="83" t="str">
        <x:v>4. Situazione attuale e proiezioni</x:v>
      </x:c>
      <x:c r="I60" s="83" t="str">
        <x:v>Tabella 56 - Emissioni nazionali di gas serra LULUCF e obiettivi europei (Mt CO2eq), storico e scenario di</x:v>
      </x:c>
      <x:c r="J60" s="83" t="str">
        <x:v>Mercato e prezzi; Emissioni e ambiente; Scenario e metodologia</x:v>
      </x:c>
      <x:c r="K60" s="83" t="str">
        <x:v>P1 - input diretto/parametro</x:v>
      </x:c>
      <x:c r="L60" s="83" t="str">
        <x:v>Tabella testuale/PDF</x:v>
      </x:c>
      <x:c r="M60" s="83" t="str">
        <x:v>Basso</x:v>
      </x:c>
      <x:c r="N60" s="83" t="str">
        <x:v>Da verificare in Fase 3</x:v>
      </x:c>
    </x:row>
    <x:row r="61">
      <x:c r="A61" s="83" t="str">
        <x:v>S08-TAB-57-370</x:v>
      </x:c>
      <x:c r="B61" s="83" t="str">
        <x:v>S08</x:v>
      </x:c>
      <x:c r="C61" s="83" t="str">
        <x:v>Piano Nazionale Integrato per l'Energia e il Clima</x:v>
      </x:c>
      <x:c r="D61" s="83" t="str">
        <x:v>Tabella</x:v>
      </x:c>
      <x:c r="E61" s="83" t="str">
        <x:v>57</x:v>
      </x:c>
      <x:c r="F61" s="83" t="n">
        <x:v>370</x:v>
      </x:c>
      <x:c r="G61" s="83" t="n">
        <x:v>369</x:v>
      </x:c>
      <x:c r="H61" s="83" t="str">
        <x:v>4. Situazione attuale e proiezioni</x:v>
      </x:c>
      <x:c r="I61" s="83" t="str">
        <x:v>Tabella 57 - La situazione emissiva del settore LULUCF per il 2026-2030 (Mt CO2 eq.) [Fonte: ISPRA]</x:v>
      </x:c>
      <x:c r="J61" s="83" t="str">
        <x:v>Mercato e prezzi; Emissioni e ambiente</x:v>
      </x:c>
      <x:c r="K61" s="83" t="str">
        <x:v>P1 - input diretto/parametro</x:v>
      </x:c>
      <x:c r="L61" s="83" t="str">
        <x:v>Tabella testuale/PDF</x:v>
      </x:c>
      <x:c r="M61" s="83" t="str">
        <x:v>Basso</x:v>
      </x:c>
      <x:c r="N61" s="83" t="str">
        <x:v>Da verificare in Fase 3</x:v>
      </x:c>
    </x:row>
    <x:row r="62">
      <x:c r="A62" s="83" t="str">
        <x:v>S08-TAB-58-371</x:v>
      </x:c>
      <x:c r="B62" s="83" t="str">
        <x:v>S08</x:v>
      </x:c>
      <x:c r="C62" s="83" t="str">
        <x:v>Piano Nazionale Integrato per l'Energia e il Clima</x:v>
      </x:c>
      <x:c r="D62" s="83" t="str">
        <x:v>Tabella</x:v>
      </x:c>
      <x:c r="E62" s="83" t="str">
        <x:v>58</x:v>
      </x:c>
      <x:c r="F62" s="83" t="n">
        <x:v>371</x:v>
      </x:c>
      <x:c r="G62" s="83" t="n">
        <x:v>370</x:v>
      </x:c>
      <x:c r="H62" s="83" t="str">
        <x:v>4. Situazione attuale e proiezioni</x:v>
      </x:c>
      <x:c r="I62" s="83" t="str">
        <x:v>Tabella 58 - Emissioni di gas serra disaggregate per settore (Mt CO2eq), storico e scenario di riferimento</x:v>
      </x:c>
      <x:c r="J62" s="83" t="str">
        <x:v>Capacità e generazione; Mercato e prezzi; Emissioni e ambiente</x:v>
      </x:c>
      <x:c r="K62" s="83" t="str">
        <x:v>P1 - input diretto/parametro</x:v>
      </x:c>
      <x:c r="L62" s="83" t="str">
        <x:v>Tabella testuale/PDF</x:v>
      </x:c>
      <x:c r="M62" s="83" t="str">
        <x:v>Basso</x:v>
      </x:c>
      <x:c r="N62" s="83" t="str">
        <x:v>Da verificare in Fase 3</x:v>
      </x:c>
    </x:row>
    <x:row r="63">
      <x:c r="A63" s="83" t="str">
        <x:v>S08-FIG-57-372</x:v>
      </x:c>
      <x:c r="B63" s="83" t="str">
        <x:v>S08</x:v>
      </x:c>
      <x:c r="C63" s="83" t="str">
        <x:v>Piano Nazionale Integrato per l'Energia e il Clima</x:v>
      </x:c>
      <x:c r="D63" s="83" t="str">
        <x:v>Figura</x:v>
      </x:c>
      <x:c r="E63" s="83" t="str">
        <x:v>57</x:v>
      </x:c>
      <x:c r="F63" s="83" t="n">
        <x:v>372</x:v>
      </x:c>
      <x:c r="G63" s="83" t="n">
        <x:v>371</x:v>
      </x:c>
      <x:c r="H63" s="83" t="str">
        <x:v>4. Situazione attuale e proiezioni</x:v>
      </x:c>
      <x:c r="I63" s="83" t="str">
        <x:v>Figura 57 - Emissioni di gas serra disaggregate per settore (Mt CO2eq), storico e scenario di riferimento</x:v>
      </x:c>
      <x:c r="J63" s="83" t="str">
        <x:v>Capacità e generazione; Mercato e prezzi; Emissioni e ambiente</x:v>
      </x:c>
      <x:c r="K63" s="83" t="str">
        <x:v>P1 - input diretto/parametro</x:v>
      </x:c>
      <x:c r="L63" s="83" t="str">
        <x:v>Figura o mappa; lettura etichette / eventuale digitalizzazione</x:v>
      </x:c>
      <x:c r="M63" s="83" t="str">
        <x:v>Medio</x:v>
      </x:c>
      <x:c r="N63" s="83" t="str">
        <x:v>Da verificare in Fase 3</x:v>
      </x:c>
    </x:row>
    <x:row r="64">
      <x:c r="A64" s="83" t="str">
        <x:v>S08-FIG-58-373</x:v>
      </x:c>
      <x:c r="B64" s="83" t="str">
        <x:v>S08</x:v>
      </x:c>
      <x:c r="C64" s="83" t="str">
        <x:v>Piano Nazionale Integrato per l'Energia e il Clima</x:v>
      </x:c>
      <x:c r="D64" s="83" t="str">
        <x:v>Figura</x:v>
      </x:c>
      <x:c r="E64" s="83" t="str">
        <x:v>58</x:v>
      </x:c>
      <x:c r="F64" s="83" t="n">
        <x:v>373</x:v>
      </x:c>
      <x:c r="G64" s="83" t="n">
        <x:v>372</x:v>
      </x:c>
      <x:c r="H64" s="83" t="str">
        <x:v>4. Situazione attuale e proiezioni</x:v>
      </x:c>
      <x:c r="I64" s="83" t="str">
        <x:v>Figura 58 - Emissioni di gas serra per settore in percentuale sul totale Effort Sharing al 2030 nello scenario di</x:v>
      </x:c>
      <x:c r="J64" s="83" t="str">
        <x:v>Emissioni e ambiente; Scenario e metodologia</x:v>
      </x:c>
      <x:c r="K64" s="83" t="str">
        <x:v>P2 - contesto/validazione</x:v>
      </x:c>
      <x:c r="L64" s="83" t="str">
        <x:v>Figura o mappa; lettura etichette / eventuale digitalizzazione</x:v>
      </x:c>
      <x:c r="M64" s="83" t="str">
        <x:v>Medio</x:v>
      </x:c>
      <x:c r="N64" s="83" t="str">
        <x:v>Da verificare in Fase 3</x:v>
      </x:c>
    </x:row>
    <x:row r="65">
      <x:c r="A65" s="83" t="str">
        <x:v>S08-TAB-59-374</x:v>
      </x:c>
      <x:c r="B65" s="83" t="str">
        <x:v>S08</x:v>
      </x:c>
      <x:c r="C65" s="83" t="str">
        <x:v>Piano Nazionale Integrato per l'Energia e il Clima</x:v>
      </x:c>
      <x:c r="D65" s="83" t="str">
        <x:v>Tabella</x:v>
      </x:c>
      <x:c r="E65" s="83" t="str">
        <x:v>59</x:v>
      </x:c>
      <x:c r="F65" s="83" t="n">
        <x:v>374</x:v>
      </x:c>
      <x:c r="G65" s="83" t="n">
        <x:v>373</x:v>
      </x:c>
      <x:c r="H65" s="83" t="str">
        <x:v>4. Situazione attuale e proiezioni</x:v>
      </x:c>
      <x:c r="I65" s="83" t="str">
        <x:v>Tabella 59 - Emissioni di gas serra dal 2005 al 2040, disaggregate per gas (Mt CO2eq), storiche fino al 2022 e</x:v>
      </x:c>
      <x:c r="J65" s="83" t="str">
        <x:v>Mercato e prezzi; Emissioni e ambiente</x:v>
      </x:c>
      <x:c r="K65" s="83" t="str">
        <x:v>P1 - input diretto/parametro</x:v>
      </x:c>
      <x:c r="L65" s="83" t="str">
        <x:v>Tabella testuale/PDF</x:v>
      </x:c>
      <x:c r="M65" s="83" t="str">
        <x:v>Basso</x:v>
      </x:c>
      <x:c r="N65" s="83" t="str">
        <x:v>Da verificare in Fase 3</x:v>
      </x:c>
    </x:row>
    <x:row r="66">
      <x:c r="A66" s="83" t="str">
        <x:v>S08-TAB-60-375</x:v>
      </x:c>
      <x:c r="B66" s="83" t="str">
        <x:v>S08</x:v>
      </x:c>
      <x:c r="C66" s="83" t="str">
        <x:v>Piano Nazionale Integrato per l'Energia e il Clima</x:v>
      </x:c>
      <x:c r="D66" s="83" t="str">
        <x:v>Tabella</x:v>
      </x:c>
      <x:c r="E66" s="83" t="str">
        <x:v>60</x:v>
      </x:c>
      <x:c r="F66" s="83" t="n">
        <x:v>375</x:v>
      </x:c>
      <x:c r="G66" s="83" t="n">
        <x:v>374</x:v>
      </x:c>
      <x:c r="H66" s="83" t="str">
        <x:v>4. Situazione attuale e proiezioni</x:v>
      </x:c>
      <x:c r="I66" s="83" t="str">
        <x:v>Tabella 60 - Quota FER totale (ktep)(*) [Fonte: GSE]</x:v>
      </x:c>
      <x:c r="J66" s="83" t="str">
        <x:v>Capacità e generazione</x:v>
      </x:c>
      <x:c r="K66" s="83" t="str">
        <x:v>P2 - contesto/validazione</x:v>
      </x:c>
      <x:c r="L66" s="83" t="str">
        <x:v>Tabella testuale/PDF</x:v>
      </x:c>
      <x:c r="M66" s="83" t="str">
        <x:v>Basso</x:v>
      </x:c>
      <x:c r="N66" s="83" t="str">
        <x:v>Da verificare in Fase 3</x:v>
      </x:c>
    </x:row>
    <x:row r="67">
      <x:c r="A67" s="83" t="str">
        <x:v>S08-TAB-61-375</x:v>
      </x:c>
      <x:c r="B67" s="83" t="str">
        <x:v>S08</x:v>
      </x:c>
      <x:c r="C67" s="83" t="str">
        <x:v>Piano Nazionale Integrato per l'Energia e il Clima</x:v>
      </x:c>
      <x:c r="D67" s="83" t="str">
        <x:v>Tabella</x:v>
      </x:c>
      <x:c r="E67" s="83" t="str">
        <x:v>61</x:v>
      </x:c>
      <x:c r="F67" s="83" t="n">
        <x:v>375</x:v>
      </x:c>
      <x:c r="G67" s="83" t="n">
        <x:v>374</x:v>
      </x:c>
      <x:c r="H67" s="83" t="str">
        <x:v>4. Situazione attuale e proiezioni</x:v>
      </x:c>
      <x:c r="I67" s="83" t="str">
        <x:v>Tabella 61 - Quota FER settore elettrico (TWh) [Fonte: GSE]</x:v>
      </x:c>
      <x:c r="J67" s="83" t="str">
        <x:v>Capacità e generazione</x:v>
      </x:c>
      <x:c r="K67" s="83" t="str">
        <x:v>P2 - contesto/validazione</x:v>
      </x:c>
      <x:c r="L67" s="83" t="str">
        <x:v>Tabella testuale/PDF</x:v>
      </x:c>
      <x:c r="M67" s="83" t="str">
        <x:v>Basso</x:v>
      </x:c>
      <x:c r="N67" s="83" t="str">
        <x:v>Da verificare in Fase 3</x:v>
      </x:c>
    </x:row>
    <x:row r="68">
      <x:c r="A68" s="83" t="str">
        <x:v>S08-TAB-62-376</x:v>
      </x:c>
      <x:c r="B68" s="83" t="str">
        <x:v>S08</x:v>
      </x:c>
      <x:c r="C68" s="83" t="str">
        <x:v>Piano Nazionale Integrato per l'Energia e il Clima</x:v>
      </x:c>
      <x:c r="D68" s="83" t="str">
        <x:v>Tabella</x:v>
      </x:c>
      <x:c r="E68" s="83" t="str">
        <x:v>62</x:v>
      </x:c>
      <x:c r="F68" s="83" t="n">
        <x:v>376</x:v>
      </x:c>
      <x:c r="G68" s="83" t="n">
        <x:v>375</x:v>
      </x:c>
      <x:c r="H68" s="83" t="str">
        <x:v>4. Situazione attuale e proiezioni</x:v>
      </x:c>
      <x:c r="I68" s="83" t="str">
        <x:v>Tabella 62 - Quota FER settore termico (ktep) [Fonte: GSE]</x:v>
      </x:c>
      <x:c r="J68" s="83" t="str">
        <x:v>Capacità e generazione</x:v>
      </x:c>
      <x:c r="K68" s="83" t="str">
        <x:v>P2 - contesto/validazione</x:v>
      </x:c>
      <x:c r="L68" s="83" t="str">
        <x:v>Tabella testuale/PDF</x:v>
      </x:c>
      <x:c r="M68" s="83" t="str">
        <x:v>Basso</x:v>
      </x:c>
      <x:c r="N68" s="83" t="str">
        <x:v>Da verificare in Fase 3</x:v>
      </x:c>
    </x:row>
    <x:row r="69">
      <x:c r="A69" s="83" t="str">
        <x:v>S08-TAB-63-376</x:v>
      </x:c>
      <x:c r="B69" s="83" t="str">
        <x:v>S08</x:v>
      </x:c>
      <x:c r="C69" s="83" t="str">
        <x:v>Piano Nazionale Integrato per l'Energia e il Clima</x:v>
      </x:c>
      <x:c r="D69" s="83" t="str">
        <x:v>Tabella</x:v>
      </x:c>
      <x:c r="E69" s="83" t="str">
        <x:v>63</x:v>
      </x:c>
      <x:c r="F69" s="83" t="n">
        <x:v>376</x:v>
      </x:c>
      <x:c r="G69" s="83" t="n">
        <x:v>375</x:v>
      </x:c>
      <x:c r="H69" s="83" t="str">
        <x:v>4. Situazione attuale e proiezioni</x:v>
      </x:c>
      <x:c r="I69" s="83" t="str">
        <x:v>Tabella 63 - Quota FER settore trasporti (ktep) [Fonte: GSE]</x:v>
      </x:c>
      <x:c r="J69" s="83" t="str">
        <x:v>Capacità e generazione</x:v>
      </x:c>
      <x:c r="K69" s="83" t="str">
        <x:v>P2 - contesto/validazione</x:v>
      </x:c>
      <x:c r="L69" s="83" t="str">
        <x:v>Tabella testuale/PDF</x:v>
      </x:c>
      <x:c r="M69" s="83" t="str">
        <x:v>Basso</x:v>
      </x:c>
      <x:c r="N69" s="83" t="str">
        <x:v>Da verificare in Fase 3</x:v>
      </x:c>
    </x:row>
    <x:row r="70">
      <x:c r="A70" s="83" t="str">
        <x:v>S08-TAB-64-377</x:v>
      </x:c>
      <x:c r="B70" s="83" t="str">
        <x:v>S08</x:v>
      </x:c>
      <x:c r="C70" s="83" t="str">
        <x:v>Piano Nazionale Integrato per l'Energia e il Clima</x:v>
      </x:c>
      <x:c r="D70" s="83" t="str">
        <x:v>Tabella</x:v>
      </x:c>
      <x:c r="E70" s="83" t="str">
        <x:v>64</x:v>
      </x:c>
      <x:c r="F70" s="83" t="n">
        <x:v>377</x:v>
      </x:c>
      <x:c r="G70" s="83" t="n">
        <x:v>376</x:v>
      </x:c>
      <x:c r="H70" s="83" t="str">
        <x:v>4. Situazione attuale e proiezioni</x:v>
      </x:c>
      <x:c r="I70" s="83" t="str">
        <x:v>Tabella 64 - Quota FER totale 2025-2040 con politiche vigenti e confronto con il 2022 (ktep) [Fonte: RSE]</x:v>
      </x:c>
      <x:c r="J70" s="83" t="str">
        <x:v>Capacità e generazione</x:v>
      </x:c>
      <x:c r="K70" s="83" t="str">
        <x:v>P2 - contesto/validazione</x:v>
      </x:c>
      <x:c r="L70" s="83" t="str">
        <x:v>Tabella testuale/PDF</x:v>
      </x:c>
      <x:c r="M70" s="83" t="str">
        <x:v>Basso</x:v>
      </x:c>
      <x:c r="N70" s="83" t="str">
        <x:v>Da verificare in Fase 3</x:v>
      </x:c>
    </x:row>
    <x:row r="71">
      <x:c r="A71" s="83" t="str">
        <x:v>S08-TAB-65-379</x:v>
      </x:c>
      <x:c r="B71" s="83" t="str">
        <x:v>S08</x:v>
      </x:c>
      <x:c r="C71" s="83" t="str">
        <x:v>Piano Nazionale Integrato per l'Energia e il Clima</x:v>
      </x:c>
      <x:c r="D71" s="83" t="str">
        <x:v>Tabella</x:v>
      </x:c>
      <x:c r="E71" s="83" t="str">
        <x:v>65</x:v>
      </x:c>
      <x:c r="F71" s="83" t="n">
        <x:v>379</x:v>
      </x:c>
      <x:c r="G71" s="83" t="n">
        <x:v>378</x:v>
      </x:c>
      <x:c r="H71" s="83" t="str">
        <x:v>4. Situazione attuale e proiezioni</x:v>
      </x:c>
      <x:c r="I71" s="83" t="str">
        <x:v>Tabella 65 - Quota FER nel settore elettrico 2025-2040 con politiche vigenti e confronto con il 2022(TWh)</x:v>
      </x:c>
      <x:c r="J71" s="83" t="str">
        <x:v>Capacità e generazione</x:v>
      </x:c>
      <x:c r="K71" s="83" t="str">
        <x:v>P2 - contesto/validazione</x:v>
      </x:c>
      <x:c r="L71" s="83" t="str">
        <x:v>Tabella testuale/PDF</x:v>
      </x:c>
      <x:c r="M71" s="83" t="str">
        <x:v>Basso</x:v>
      </x:c>
      <x:c r="N71" s="83" t="str">
        <x:v>Da verificare in Fase 3</x:v>
      </x:c>
    </x:row>
    <x:row r="72">
      <x:c r="A72" s="83" t="str">
        <x:v>S08-TAB-66-379</x:v>
      </x:c>
      <x:c r="B72" s="83" t="str">
        <x:v>S08</x:v>
      </x:c>
      <x:c r="C72" s="83" t="str">
        <x:v>Piano Nazionale Integrato per l'Energia e il Clima</x:v>
      </x:c>
      <x:c r="D72" s="83" t="str">
        <x:v>Tabella</x:v>
      </x:c>
      <x:c r="E72" s="83" t="str">
        <x:v>66</x:v>
      </x:c>
      <x:c r="F72" s="83" t="n">
        <x:v>379</x:v>
      </x:c>
      <x:c r="G72" s="83" t="n">
        <x:v>378</x:v>
      </x:c>
      <x:c r="H72" s="83" t="str">
        <x:v>4. Situazione attuale e proiezioni</x:v>
      </x:c>
      <x:c r="I72" s="83" t="str">
        <x:v>Tabella 66 - Quota FER nel settore termico 2025-2040 con politiche vigenti e confronto con il 2022 (ktep)</x:v>
      </x:c>
      <x:c r="J72" s="83" t="str">
        <x:v>Capacità e generazione</x:v>
      </x:c>
      <x:c r="K72" s="83" t="str">
        <x:v>P2 - contesto/validazione</x:v>
      </x:c>
      <x:c r="L72" s="83" t="str">
        <x:v>Tabella testuale/PDF</x:v>
      </x:c>
      <x:c r="M72" s="83" t="str">
        <x:v>Basso</x:v>
      </x:c>
      <x:c r="N72" s="83" t="str">
        <x:v>Da verificare in Fase 3</x:v>
      </x:c>
    </x:row>
    <x:row r="73">
      <x:c r="A73" s="83" t="str">
        <x:v>S08-TAB-67-380</x:v>
      </x:c>
      <x:c r="B73" s="83" t="str">
        <x:v>S08</x:v>
      </x:c>
      <x:c r="C73" s="83" t="str">
        <x:v>Piano Nazionale Integrato per l'Energia e il Clima</x:v>
      </x:c>
      <x:c r="D73" s="83" t="str">
        <x:v>Tabella</x:v>
      </x:c>
      <x:c r="E73" s="83" t="str">
        <x:v>67</x:v>
      </x:c>
      <x:c r="F73" s="83" t="n">
        <x:v>380</x:v>
      </x:c>
      <x:c r="G73" s="83" t="n">
        <x:v>379</x:v>
      </x:c>
      <x:c r="H73" s="83" t="str">
        <x:v>4. Situazione attuale e proiezioni</x:v>
      </x:c>
      <x:c r="I73" s="83" t="str">
        <x:v>Tabella 67 - Quota FER nel settore trasporti 2025-2040 con politiche vigenti e confronto con il 2022 - criteri</x:v>
      </x:c>
      <x:c r="J73" s="83" t="str">
        <x:v>Capacità e generazione</x:v>
      </x:c>
      <x:c r="K73" s="83" t="str">
        <x:v>P2 - contesto/validazione</x:v>
      </x:c>
      <x:c r="L73" s="83" t="str">
        <x:v>Tabella testuale/PDF</x:v>
      </x:c>
      <x:c r="M73" s="83" t="str">
        <x:v>Basso</x:v>
      </x:c>
      <x:c r="N73" s="83" t="str">
        <x:v>Da verificare in Fase 3</x:v>
      </x:c>
    </x:row>
    <x:row r="74">
      <x:c r="A74" s="83" t="str">
        <x:v>S08-FIG-60-383</x:v>
      </x:c>
      <x:c r="B74" s="83" t="str">
        <x:v>S08</x:v>
      </x:c>
      <x:c r="C74" s="83" t="str">
        <x:v>Piano Nazionale Integrato per l'Energia e il Clima</x:v>
      </x:c>
      <x:c r="D74" s="83" t="str">
        <x:v>Figura</x:v>
      </x:c>
      <x:c r="E74" s="83" t="str">
        <x:v>60</x:v>
      </x:c>
      <x:c r="F74" s="83" t="n">
        <x:v>383</x:v>
      </x:c>
      <x:c r="G74" s="83" t="n">
        <x:v>382</x:v>
      </x:c>
      <x:c r="H74" s="83" t="str">
        <x:v>4. Situazione attuale e proiezioni</x:v>
      </x:c>
      <x:c r="I74" s="83" t="str">
        <x:v>Figura 60 - Evoluzione dei consumi finali per fonte (Mtep) [Fonte: Eurostat]98</x:v>
      </x:c>
      <x:c r="J74" s="83" t="str">
        <x:v>Domanda e consumi</x:v>
      </x:c>
      <x:c r="K74" s="83" t="str">
        <x:v>P2 - contesto/validazione</x:v>
      </x:c>
      <x:c r="L74" s="83" t="str">
        <x:v>Figura o mappa; lettura etichette / eventuale digitalizzazione</x:v>
      </x:c>
      <x:c r="M74" s="83" t="str">
        <x:v>Medio</x:v>
      </x:c>
      <x:c r="N74" s="83" t="str">
        <x:v>Da verificare in Fase 3</x:v>
      </x:c>
    </x:row>
    <x:row r="75">
      <x:c r="A75" s="83" t="str">
        <x:v>S08-FIG-61-384</x:v>
      </x:c>
      <x:c r="B75" s="83" t="str">
        <x:v>S08</x:v>
      </x:c>
      <x:c r="C75" s="83" t="str">
        <x:v>Piano Nazionale Integrato per l'Energia e il Clima</x:v>
      </x:c>
      <x:c r="D75" s="83" t="str">
        <x:v>Figura</x:v>
      </x:c>
      <x:c r="E75" s="83" t="str">
        <x:v>61</x:v>
      </x:c>
      <x:c r="F75" s="83" t="n">
        <x:v>384</x:v>
      </x:c>
      <x:c r="G75" s="83" t="n">
        <x:v>383</x:v>
      </x:c>
      <x:c r="H75" s="83" t="str">
        <x:v>4. Situazione attuale e proiezioni</x:v>
      </x:c>
      <x:c r="I75" s="83" t="str">
        <x:v>Figura 61 - Consumi energetici finali per fonte e settore, anno 2022 (Mtep) [Fonte: Eurostat]</x:v>
      </x:c>
      <x:c r="J75" s="83" t="str">
        <x:v>Contesto / metodologia</x:v>
      </x:c>
      <x:c r="K75" s="83" t="str">
        <x:v>P2 - contesto/validazione</x:v>
      </x:c>
      <x:c r="L75" s="83" t="str">
        <x:v>Figura o mappa; lettura etichette / eventuale digitalizzazione</x:v>
      </x:c>
      <x:c r="M75" s="83" t="str">
        <x:v>Medio</x:v>
      </x:c>
      <x:c r="N75" s="83" t="str">
        <x:v>Da verificare in Fase 3</x:v>
      </x:c>
    </x:row>
    <x:row r="76">
      <x:c r="A76" s="83" t="str">
        <x:v>S08-FIG-63-386</x:v>
      </x:c>
      <x:c r="B76" s="83" t="str">
        <x:v>S08</x:v>
      </x:c>
      <x:c r="C76" s="83" t="str">
        <x:v>Piano Nazionale Integrato per l'Energia e il Clima</x:v>
      </x:c>
      <x:c r="D76" s="83" t="str">
        <x:v>Figura</x:v>
      </x:c>
      <x:c r="E76" s="83" t="str">
        <x:v>63</x:v>
      </x:c>
      <x:c r="F76" s="83" t="n">
        <x:v>386</x:v>
      </x:c>
      <x:c r="G76" s="83" t="n">
        <x:v>385</x:v>
      </x:c>
      <x:c r="H76" s="83" t="str">
        <x:v>4. Situazione attuale e proiezioni</x:v>
      </x:c>
      <x:c r="I76" s="83" t="str">
        <x:v>Figura 63 - Consumi finali per unità di consumo interno lordo, Anni 2000-2022 [Fonte: Eurostat]</x:v>
      </x:c>
      <x:c r="J76" s="83" t="str">
        <x:v>Domanda e consumi</x:v>
      </x:c>
      <x:c r="K76" s="83" t="str">
        <x:v>P2 - contesto/validazione</x:v>
      </x:c>
      <x:c r="L76" s="83" t="str">
        <x:v>Figura o mappa; lettura etichette / eventuale digitalizzazione</x:v>
      </x:c>
      <x:c r="M76" s="83" t="str">
        <x:v>Medio</x:v>
      </x:c>
      <x:c r="N76" s="83" t="str">
        <x:v>Da verificare in Fase 3</x:v>
      </x:c>
    </x:row>
    <x:row r="77">
      <x:c r="A77" s="83" t="str">
        <x:v>S08-FIG-64-387</x:v>
      </x:c>
      <x:c r="B77" s="83" t="str">
        <x:v>S08</x:v>
      </x:c>
      <x:c r="C77" s="83" t="str">
        <x:v>Piano Nazionale Integrato per l'Energia e il Clima</x:v>
      </x:c>
      <x:c r="D77" s="83" t="str">
        <x:v>Figura</x:v>
      </x:c>
      <x:c r="E77" s="83" t="str">
        <x:v>64</x:v>
      </x:c>
      <x:c r="F77" s="83" t="n">
        <x:v>387</x:v>
      </x:c>
      <x:c r="G77" s="83" t="n">
        <x:v>386</x:v>
      </x:c>
      <x:c r="H77" s="83" t="str">
        <x:v>4. Situazione attuale e proiezioni</x:v>
      </x:c>
      <x:c r="I77" s="83" t="str">
        <x:v>Figura 64 - Efficienza del parco termoelettrico nazionale* [Fonte: Eurostat]</x:v>
      </x:c>
      <x:c r="J77" s="83" t="str">
        <x:v>Capacità e generazione</x:v>
      </x:c>
      <x:c r="K77" s="83" t="str">
        <x:v>P1 - input diretto/parametro</x:v>
      </x:c>
      <x:c r="L77" s="83" t="str">
        <x:v>Figura o mappa; lettura etichette / eventuale digitalizzazione</x:v>
      </x:c>
      <x:c r="M77" s="83" t="str">
        <x:v>Medio</x:v>
      </x:c>
      <x:c r="N77" s="83" t="str">
        <x:v>Da verificare in Fase 3</x:v>
      </x:c>
    </x:row>
    <x:row r="78">
      <x:c r="A78" s="83" t="str">
        <x:v>S08-FIG-65-388</x:v>
      </x:c>
      <x:c r="B78" s="83" t="str">
        <x:v>S08</x:v>
      </x:c>
      <x:c r="C78" s="83" t="str">
        <x:v>Piano Nazionale Integrato per l'Energia e il Clima</x:v>
      </x:c>
      <x:c r="D78" s="83" t="str">
        <x:v>Figura</x:v>
      </x:c>
      <x:c r="E78" s="83" t="str">
        <x:v>65</x:v>
      </x:c>
      <x:c r="F78" s="83" t="n">
        <x:v>388</x:v>
      </x:c>
      <x:c r="G78" s="83" t="n">
        <x:v>387</x:v>
      </x:c>
      <x:c r="H78" s="83" t="str">
        <x:v>4. Situazione attuale e proiezioni</x:v>
      </x:c>
      <x:c r="I78" s="83" t="str">
        <x:v>Figura 65 - Confronto tra livello attuale TLR, potenziale tecnico e scenario Reference al 2030 (TWh)</x:v>
      </x:c>
      <x:c r="J78" s="83" t="str">
        <x:v>Capacità e generazione; Scenario e metodologia</x:v>
      </x:c>
      <x:c r="K78" s="83" t="str">
        <x:v>P2 - contesto/validazione</x:v>
      </x:c>
      <x:c r="L78" s="83" t="str">
        <x:v>Figura o mappa; lettura etichette / eventuale digitalizzazione</x:v>
      </x:c>
      <x:c r="M78" s="83" t="str">
        <x:v>Medio</x:v>
      </x:c>
      <x:c r="N78" s="83" t="str">
        <x:v>Da verificare in Fase 3</x:v>
      </x:c>
    </x:row>
    <x:row r="79">
      <x:c r="A79" s="83" t="str">
        <x:v>S08-FIG-66-389</x:v>
      </x:c>
      <x:c r="B79" s="83" t="str">
        <x:v>S08</x:v>
      </x:c>
      <x:c r="C79" s="83" t="str">
        <x:v>Piano Nazionale Integrato per l'Energia e il Clima</x:v>
      </x:c>
      <x:c r="D79" s="83" t="str">
        <x:v>Figura</x:v>
      </x:c>
      <x:c r="E79" s="83" t="str">
        <x:v>66</x:v>
      </x:c>
      <x:c r="F79" s="83" t="n">
        <x:v>389</x:v>
      </x:c>
      <x:c r="G79" s="83" t="n">
        <x:v>388</x:v>
      </x:c>
      <x:c r="H79" s="83" t="str">
        <x:v>4. Situazione attuale e proiezioni</x:v>
      </x:c>
      <x:c r="I79" s="83" t="str">
        <x:v>Figura 66 - Confronto tra livello attuale CAR (esclusi impianti CAR-TLR), potenziale tecnico e scenario</x:v>
      </x:c>
      <x:c r="J79" s="83" t="str">
        <x:v>Scenario e metodologia</x:v>
      </x:c>
      <x:c r="K79" s="83" t="str">
        <x:v>P2 - contesto/validazione</x:v>
      </x:c>
      <x:c r="L79" s="83" t="str">
        <x:v>Figura o mappa; lettura etichette / eventuale digitalizzazione</x:v>
      </x:c>
      <x:c r="M79" s="83" t="str">
        <x:v>Medio</x:v>
      </x:c>
      <x:c r="N79" s="83" t="str">
        <x:v>Da verificare in Fase 3</x:v>
      </x:c>
    </x:row>
    <x:row r="80">
      <x:c r="A80" s="83" t="str">
        <x:v>S08-TAB-69-390</x:v>
      </x:c>
      <x:c r="B80" s="83" t="str">
        <x:v>S08</x:v>
      </x:c>
      <x:c r="C80" s="83" t="str">
        <x:v>Piano Nazionale Integrato per l'Energia e il Clima</x:v>
      </x:c>
      <x:c r="D80" s="83" t="str">
        <x:v>Tabella</x:v>
      </x:c>
      <x:c r="E80" s="83" t="str">
        <x:v>69</x:v>
      </x:c>
      <x:c r="F80" s="83" t="n">
        <x:v>390</x:v>
      </x:c>
      <x:c r="G80" s="83" t="n">
        <x:v>389</x:v>
      </x:c>
      <x:c r="H80" s="83" t="str">
        <x:v>4. Situazione attuale e proiezioni</x:v>
      </x:c>
      <x:c r="I80" s="83" t="str">
        <x:v>Tabella 69 - Consumo di energia primaria e finale (per ciascun settore); proiezioni 2025-2040 nello scenario</x:v>
      </x:c>
      <x:c r="J80" s="83" t="str">
        <x:v>Scenario e metodologia</x:v>
      </x:c>
      <x:c r="K80" s="83" t="str">
        <x:v>P2 - contesto/validazione</x:v>
      </x:c>
      <x:c r="L80" s="83" t="str">
        <x:v>Tabella testuale/PDF</x:v>
      </x:c>
      <x:c r="M80" s="83" t="str">
        <x:v>Basso</x:v>
      </x:c>
      <x:c r="N80" s="83" t="str">
        <x:v>Da verificare in Fase 3</x:v>
      </x:c>
    </x:row>
    <x:row r="81">
      <x:c r="A81" s="83" t="str">
        <x:v>S08-FIG-68-391</x:v>
      </x:c>
      <x:c r="B81" s="83" t="str">
        <x:v>S08</x:v>
      </x:c>
      <x:c r="C81" s="83" t="str">
        <x:v>Piano Nazionale Integrato per l'Energia e il Clima</x:v>
      </x:c>
      <x:c r="D81" s="83" t="str">
        <x:v>Figura</x:v>
      </x:c>
      <x:c r="E81" s="83" t="str">
        <x:v>68</x:v>
      </x:c>
      <x:c r="F81" s="83" t="n">
        <x:v>391</x:v>
      </x:c>
      <x:c r="G81" s="83" t="n">
        <x:v>390</x:v>
      </x:c>
      <x:c r="H81" s="83" t="str">
        <x:v>4. Situazione attuale e proiezioni</x:v>
      </x:c>
      <x:c r="I81" s="83" t="str">
        <x:v>Figura 68 Confronto del mix energetico primario 2022 e 2030 (scenario di Riferimento).</x:v>
      </x:c>
      <x:c r="J81" s="83" t="str">
        <x:v>Capacità e generazione; Scenario e metodologia</x:v>
      </x:c>
      <x:c r="K81" s="83" t="str">
        <x:v>P2 - contesto/validazione</x:v>
      </x:c>
      <x:c r="L81" s="83" t="str">
        <x:v>Figura o mappa; lettura etichette / eventuale digitalizzazione</x:v>
      </x:c>
      <x:c r="M81" s="83" t="str">
        <x:v>Medio</x:v>
      </x:c>
      <x:c r="N81" s="83" t="str">
        <x:v>Da verificare in Fase 3</x:v>
      </x:c>
    </x:row>
    <x:row r="82">
      <x:c r="A82" s="83" t="str">
        <x:v>S08-FIG-69-392</x:v>
      </x:c>
      <x:c r="B82" s="83" t="str">
        <x:v>S08</x:v>
      </x:c>
      <x:c r="C82" s="83" t="str">
        <x:v>Piano Nazionale Integrato per l'Energia e il Clima</x:v>
      </x:c>
      <x:c r="D82" s="83" t="str">
        <x:v>Figura</x:v>
      </x:c>
      <x:c r="E82" s="83" t="str">
        <x:v>69</x:v>
      </x:c>
      <x:c r="F82" s="83" t="n">
        <x:v>392</x:v>
      </x:c>
      <x:c r="G82" s="83" t="n">
        <x:v>391</x:v>
      </x:c>
      <x:c r="H82" s="83" t="str">
        <x:v>4. Situazione attuale e proiezioni</x:v>
      </x:c>
      <x:c r="I82" s="83" t="str">
        <x:v>Figura 69 Confronto del mix energetico finale 2022 e 2030 (scenario di Riferimento).</x:v>
      </x:c>
      <x:c r="J82" s="83" t="str">
        <x:v>Capacità e generazione; Scenario e metodologia</x:v>
      </x:c>
      <x:c r="K82" s="83" t="str">
        <x:v>P2 - contesto/validazione</x:v>
      </x:c>
      <x:c r="L82" s="83" t="str">
        <x:v>Figura o mappa; lettura etichette / eventuale digitalizzazione</x:v>
      </x:c>
      <x:c r="M82" s="83" t="str">
        <x:v>Medio</x:v>
      </x:c>
      <x:c r="N82" s="83" t="str">
        <x:v>Da verificare in Fase 3</x:v>
      </x:c>
    </x:row>
    <x:row r="83">
      <x:c r="A83" s="83" t="str">
        <x:v>S08-FIG-70-392</x:v>
      </x:c>
      <x:c r="B83" s="83" t="str">
        <x:v>S08</x:v>
      </x:c>
      <x:c r="C83" s="83" t="str">
        <x:v>Piano Nazionale Integrato per l'Energia e il Clima</x:v>
      </x:c>
      <x:c r="D83" s="83" t="str">
        <x:v>Figura</x:v>
      </x:c>
      <x:c r="E83" s="83" t="str">
        <x:v>70</x:v>
      </x:c>
      <x:c r="F83" s="83" t="n">
        <x:v>392</x:v>
      </x:c>
      <x:c r="G83" s="83" t="n">
        <x:v>391</x:v>
      </x:c>
      <x:c r="H83" s="83" t="str">
        <x:v>4. Situazione attuale e proiezioni</x:v>
      </x:c>
      <x:c r="I83" s="83" t="str">
        <x:v>Figura 70 Confronto ripartizione dei consumi dei settori di uso finale 2022 e 2030 (scenario di Riferimento).</x:v>
      </x:c>
      <x:c r="J83" s="83" t="str">
        <x:v>Capacità e generazione; Scenario e metodologia</x:v>
      </x:c>
      <x:c r="K83" s="83" t="str">
        <x:v>P2 - contesto/validazione</x:v>
      </x:c>
      <x:c r="L83" s="83" t="str">
        <x:v>Figura o mappa; lettura etichette / eventuale digitalizzazione</x:v>
      </x:c>
      <x:c r="M83" s="83" t="str">
        <x:v>Medio</x:v>
      </x:c>
      <x:c r="N83" s="83" t="str">
        <x:v>Da verificare in Fase 3</x:v>
      </x:c>
    </x:row>
    <x:row r="84">
      <x:c r="A84" s="83" t="str">
        <x:v>S08-TAB-75-402</x:v>
      </x:c>
      <x:c r="B84" s="83" t="str">
        <x:v>S08</x:v>
      </x:c>
      <x:c r="C84" s="83" t="str">
        <x:v>Piano Nazionale Integrato per l'Energia e il Clima</x:v>
      </x:c>
      <x:c r="D84" s="83" t="str">
        <x:v>Tabella</x:v>
      </x:c>
      <x:c r="E84" s="83" t="str">
        <x:v>75</x:v>
      </x:c>
      <x:c r="F84" s="83" t="n">
        <x:v>402</x:v>
      </x:c>
      <x:c r="G84" s="83" t="n">
        <x:v>401</x:v>
      </x:c>
      <x:c r="H84" s="83" t="str">
        <x:v>4. Situazione attuale e proiezioni</x:v>
      </x:c>
      <x:c r="I84" s="83" t="str">
        <x:v>Tabella 75 - Risorse energetiche interne, proiezioni 2025-2040, scenario di riferimento (ktep)</x:v>
      </x:c>
      <x:c r="J84" s="83" t="str">
        <x:v>Capacità e generazione; Scenario e metodologia</x:v>
      </x:c>
      <x:c r="K84" s="83" t="str">
        <x:v>P2 - contesto/validazione</x:v>
      </x:c>
      <x:c r="L84" s="83" t="str">
        <x:v>Tabella testuale/PDF</x:v>
      </x:c>
      <x:c r="M84" s="83" t="str">
        <x:v>Basso</x:v>
      </x:c>
      <x:c r="N84" s="83" t="str">
        <x:v>Da verificare in Fase 3</x:v>
      </x:c>
    </x:row>
    <x:row r="85">
      <x:c r="A85" s="83" t="str">
        <x:v>S08-TAB-76-402</x:v>
      </x:c>
      <x:c r="B85" s="83" t="str">
        <x:v>S08</x:v>
      </x:c>
      <x:c r="C85" s="83" t="str">
        <x:v>Piano Nazionale Integrato per l'Energia e il Clima</x:v>
      </x:c>
      <x:c r="D85" s="83" t="str">
        <x:v>Tabella</x:v>
      </x:c>
      <x:c r="E85" s="83" t="str">
        <x:v>76</x:v>
      </x:c>
      <x:c r="F85" s="83" t="n">
        <x:v>402</x:v>
      </x:c>
      <x:c r="G85" s="83" t="n">
        <x:v>401</x:v>
      </x:c>
      <x:c r="H85" s="83" t="str">
        <x:v>4. Situazione attuale e proiezioni</x:v>
      </x:c>
      <x:c r="I85" s="83" t="str">
        <x:v>Tabella 76 - Importazioni nette, proiezioni 2025-2040, scenario di riferimento (ktep)</x:v>
      </x:c>
      <x:c r="J85" s="83" t="str">
        <x:v>Capacità e generazione; Scenario e metodologia</x:v>
      </x:c>
      <x:c r="K85" s="83" t="str">
        <x:v>P2 - contesto/validazione</x:v>
      </x:c>
      <x:c r="L85" s="83" t="str">
        <x:v>Tabella testuale/PDF</x:v>
      </x:c>
      <x:c r="M85" s="83" t="str">
        <x:v>Basso</x:v>
      </x:c>
      <x:c r="N85" s="83" t="str">
        <x:v>Da verificare in Fase 3</x:v>
      </x:c>
    </x:row>
    <x:row r="86">
      <x:c r="A86" s="83" t="str">
        <x:v>S08-TAB-77-402</x:v>
      </x:c>
      <x:c r="B86" s="83" t="str">
        <x:v>S08</x:v>
      </x:c>
      <x:c r="C86" s="83" t="str">
        <x:v>Piano Nazionale Integrato per l'Energia e il Clima</x:v>
      </x:c>
      <x:c r="D86" s="83" t="str">
        <x:v>Tabella</x:v>
      </x:c>
      <x:c r="E86" s="83" t="str">
        <x:v>77</x:v>
      </x:c>
      <x:c r="F86" s="83" t="n">
        <x:v>402</x:v>
      </x:c>
      <x:c r="G86" s="83" t="n">
        <x:v>401</x:v>
      </x:c>
      <x:c r="H86" s="83" t="str">
        <x:v>4. Situazione attuale e proiezioni</x:v>
      </x:c>
      <x:c r="I86" s="83" t="str">
        <x:v>Tabella 77 - Dipendenza energetica, proiezioni 2025-2040, scenario di riferimento (%)</x:v>
      </x:c>
      <x:c r="J86" s="83" t="str">
        <x:v>Capacità e generazione; Scenario e metodologia</x:v>
      </x:c>
      <x:c r="K86" s="83" t="str">
        <x:v>P2 - contesto/validazione</x:v>
      </x:c>
      <x:c r="L86" s="83" t="str">
        <x:v>Tabella testuale/PDF</x:v>
      </x:c>
      <x:c r="M86" s="83" t="str">
        <x:v>Basso</x:v>
      </x:c>
      <x:c r="N86" s="83" t="str">
        <x:v>Da verificare in Fase 3</x:v>
      </x:c>
    </x:row>
    <x:row r="87">
      <x:c r="A87" s="83" t="str">
        <x:v>S08-FIG-73-403</x:v>
      </x:c>
      <x:c r="B87" s="83" t="str">
        <x:v>S08</x:v>
      </x:c>
      <x:c r="C87" s="83" t="str">
        <x:v>Piano Nazionale Integrato per l'Energia e il Clima</x:v>
      </x:c>
      <x:c r="D87" s="83" t="str">
        <x:v>Figura</x:v>
      </x:c>
      <x:c r="E87" s="83" t="str">
        <x:v>73</x:v>
      </x:c>
      <x:c r="F87" s="83" t="n">
        <x:v>403</x:v>
      </x:c>
      <x:c r="G87" s="83" t="n">
        <x:v>402</x:v>
      </x:c>
      <x:c r="H87" s="83" t="str">
        <x:v>4. Situazione attuale e proiezioni</x:v>
      </x:c>
      <x:c r="I87" s="83" t="str">
        <x:v>Figura 73 - Mappa delle interconnessioni esistenti [Fonte: Terna]</x:v>
      </x:c>
      <x:c r="J87" s="83" t="str">
        <x:v>Trasmissione e interconnessioni</x:v>
      </x:c>
      <x:c r="K87" s="83" t="str">
        <x:v>P1 - input diretto/parametro</x:v>
      </x:c>
      <x:c r="L87" s="83" t="str">
        <x:v>Figura o mappa; lettura etichette / eventuale digitalizzazione</x:v>
      </x:c>
      <x:c r="M87" s="83" t="str">
        <x:v>Medio</x:v>
      </x:c>
      <x:c r="N87" s="83" t="str">
        <x:v>Da verificare in Fase 3</x:v>
      </x:c>
    </x:row>
    <x:row r="88">
      <x:c r="A88" s="83" t="str">
        <x:v>S08-TAB-78-404</x:v>
      </x:c>
      <x:c r="B88" s="83" t="str">
        <x:v>S08</x:v>
      </x:c>
      <x:c r="C88" s="83" t="str">
        <x:v>Piano Nazionale Integrato per l'Energia e il Clima</x:v>
      </x:c>
      <x:c r="D88" s="83" t="str">
        <x:v>Tabella</x:v>
      </x:c>
      <x:c r="E88" s="83" t="str">
        <x:v>78</x:v>
      </x:c>
      <x:c r="F88" s="83" t="n">
        <x:v>404</x:v>
      </x:c>
      <x:c r="G88" s="83" t="n">
        <x:v>403</x:v>
      </x:c>
      <x:c r="H88" s="83" t="str">
        <x:v>4. Situazione attuale e proiezioni</x:v>
      </x:c>
      <x:c r="I88" s="83" t="str">
        <x:v>Tabella 78 - Consistenza delle linee di interconnessione con l’estero</x:v>
      </x:c>
      <x:c r="J88" s="83" t="str">
        <x:v>Trasmissione e interconnessioni</x:v>
      </x:c>
      <x:c r="K88" s="83" t="str">
        <x:v>P2 - contesto/validazione</x:v>
      </x:c>
      <x:c r="L88" s="83" t="str">
        <x:v>Tabella testuale/PDF</x:v>
      </x:c>
      <x:c r="M88" s="83" t="str">
        <x:v>Basso</x:v>
      </x:c>
      <x:c r="N88" s="83" t="str">
        <x:v>Da verificare in Fase 3</x:v>
      </x:c>
    </x:row>
    <x:row r="89">
      <x:c r="A89" s="83" t="str">
        <x:v>S08-TAB-79-405</x:v>
      </x:c>
      <x:c r="B89" s="83" t="str">
        <x:v>S08</x:v>
      </x:c>
      <x:c r="C89" s="83" t="str">
        <x:v>Piano Nazionale Integrato per l'Energia e il Clima</x:v>
      </x:c>
      <x:c r="D89" s="83" t="str">
        <x:v>Tabella</x:v>
      </x:c>
      <x:c r="E89" s="83" t="str">
        <x:v>79</x:v>
      </x:c>
      <x:c r="F89" s="83" t="n">
        <x:v>405</x:v>
      </x:c>
      <x:c r="G89" s="83" t="n">
        <x:v>404</x:v>
      </x:c>
      <x:c r="H89" s="83" t="str">
        <x:v>4. Situazione attuale e proiezioni</x:v>
      </x:c>
      <x:c r="I89" s="83" t="str">
        <x:v>Tabella 79 - Capacità di interconnessione [elaborazioni dati Terna]</x:v>
      </x:c>
      <x:c r="J89" s="83" t="str">
        <x:v>Trasmissione e interconnessioni</x:v>
      </x:c>
      <x:c r="K89" s="83" t="str">
        <x:v>P2 - contesto/validazione</x:v>
      </x:c>
      <x:c r="L89" s="83" t="str">
        <x:v>Tabella testuale/PDF</x:v>
      </x:c>
      <x:c r="M89" s="83" t="str">
        <x:v>Basso</x:v>
      </x:c>
      <x:c r="N89" s="83" t="str">
        <x:v>Da verificare in Fase 3</x:v>
      </x:c>
    </x:row>
    <x:row r="90">
      <x:c r="A90" s="83" t="str">
        <x:v>S08-FIG-74-406</x:v>
      </x:c>
      <x:c r="B90" s="83" t="str">
        <x:v>S08</x:v>
      </x:c>
      <x:c r="C90" s="83" t="str">
        <x:v>Piano Nazionale Integrato per l'Energia e il Clima</x:v>
      </x:c>
      <x:c r="D90" s="83" t="str">
        <x:v>Figura</x:v>
      </x:c>
      <x:c r="E90" s="83" t="str">
        <x:v>74</x:v>
      </x:c>
      <x:c r="F90" s="83" t="n">
        <x:v>406</x:v>
      </x:c>
      <x:c r="G90" s="83" t="n">
        <x:v>405</x:v>
      </x:c>
      <x:c r="H90" s="83" t="str">
        <x:v>4. Situazione attuale e proiezioni</x:v>
      </x:c>
      <x:c r="I90" s="83" t="str">
        <x:v>Figura 74 - Progetti di interconnessione pianificati da Terna [Fonte: Terna]</x:v>
      </x:c>
      <x:c r="J90" s="83" t="str">
        <x:v>Trasmissione e interconnessioni</x:v>
      </x:c>
      <x:c r="K90" s="83" t="str">
        <x:v>P2 - contesto/validazione</x:v>
      </x:c>
      <x:c r="L90" s="83" t="str">
        <x:v>Figura o mappa; lettura etichette / eventuale digitalizzazione</x:v>
      </x:c>
      <x:c r="M90" s="83" t="str">
        <x:v>Medio</x:v>
      </x:c>
      <x:c r="N90" s="83" t="str">
        <x:v>Da verificare in Fase 3</x:v>
      </x:c>
    </x:row>
    <x:row r="91">
      <x:c r="A91" s="83" t="str">
        <x:v>S08-FIG-77-422</x:v>
      </x:c>
      <x:c r="B91" s="83" t="str">
        <x:v>S08</x:v>
      </x:c>
      <x:c r="C91" s="83" t="str">
        <x:v>Piano Nazionale Integrato per l'Energia e il Clima</x:v>
      </x:c>
      <x:c r="D91" s="83" t="str">
        <x:v>Figura</x:v>
      </x:c>
      <x:c r="E91" s="83" t="str">
        <x:v>77</x:v>
      </x:c>
      <x:c r="F91" s="83" t="n">
        <x:v>422</x:v>
      </x:c>
      <x:c r="G91" s="83" t="n">
        <x:v>421</x:v>
      </x:c>
      <x:c r="H91" s="83" t="str">
        <x:v>4. Situazione attuale e proiezioni</x:v>
      </x:c>
      <x:c r="I91" s="83" t="str">
        <x:v>Figura 77: Contributo dei maggiori gruppi alla produzione nazionale lorda: confronto 2021-2022</x:v>
      </x:c>
      <x:c r="J91" s="83" t="str">
        <x:v>Capacità e generazione</x:v>
      </x:c>
      <x:c r="K91" s="83" t="str">
        <x:v>P1 - input diretto/parametro</x:v>
      </x:c>
      <x:c r="L91" s="83" t="str">
        <x:v>Figura o mappa; lettura etichette / eventuale digitalizzazione</x:v>
      </x:c>
      <x:c r="M91" s="83" t="str">
        <x:v>Medio</x:v>
      </x:c>
      <x:c r="N91" s="83" t="str">
        <x:v>Da verificare in Fase 3</x:v>
      </x:c>
    </x:row>
    <x:row r="92">
      <x:c r="A92" s="83" t="str">
        <x:v>S08-FIG-86-446</x:v>
      </x:c>
      <x:c r="B92" s="83" t="str">
        <x:v>S08</x:v>
      </x:c>
      <x:c r="C92" s="83" t="str">
        <x:v>Piano Nazionale Integrato per l'Energia e il Clima</x:v>
      </x:c>
      <x:c r="D92" s="83" t="str">
        <x:v>Figura</x:v>
      </x:c>
      <x:c r="E92" s="83" t="str">
        <x:v>86</x:v>
      </x:c>
      <x:c r="F92" s="83" t="n">
        <x:v>446</x:v>
      </x:c>
      <x:c r="G92" s="83" t="n">
        <x:v>445</x:v>
      </x:c>
      <x:c r="H92" s="83" t="str">
        <x:v>4. Situazione attuale e proiezioni</x:v>
      </x:c>
      <x:c r="I92" s="83" t="str">
        <x:v>Figura 86 Andamento del prezzo dell'energia elettrica per il consumatore domestico tipo in maggior</x:v>
      </x:c>
      <x:c r="J92" s="83" t="str">
        <x:v>Mercato e prezzi</x:v>
      </x:c>
      <x:c r="K92" s="83" t="str">
        <x:v>P2 - contesto/validazione</x:v>
      </x:c>
      <x:c r="L92" s="83" t="str">
        <x:v>Figura o mappa; lettura etichette / eventuale digitalizzazione</x:v>
      </x:c>
      <x:c r="M92" s="83" t="str">
        <x:v>Medio</x:v>
      </x:c>
      <x:c r="N92" s="83" t="str">
        <x:v>Da verificare in Fase 3</x:v>
      </x:c>
    </x:row>
    <x:row r="93">
      <x:c r="A93" s="83" t="str">
        <x:v>S08-FIG-87-448</x:v>
      </x:c>
      <x:c r="B93" s="83" t="str">
        <x:v>S08</x:v>
      </x:c>
      <x:c r="C93" s="83" t="str">
        <x:v>Piano Nazionale Integrato per l'Energia e il Clima</x:v>
      </x:c>
      <x:c r="D93" s="83" t="str">
        <x:v>Figura</x:v>
      </x:c>
      <x:c r="E93" s="83" t="str">
        <x:v>87</x:v>
      </x:c>
      <x:c r="F93" s="83" t="n">
        <x:v>448</x:v>
      </x:c>
      <x:c r="G93" s="83" t="n">
        <x:v>447</x:v>
      </x:c>
      <x:c r="H93" s="83" t="str">
        <x:v>4. Situazione attuale e proiezioni</x:v>
      </x:c>
      <x:c r="I93" s="83" t="str">
        <x:v>Figura 87 Andamento del prezzo del gas naturale per un consumatore domestico tipo in regime di tutela e</x:v>
      </x:c>
      <x:c r="J93" s="83" t="str">
        <x:v>Mercato e prezzi</x:v>
      </x:c>
      <x:c r="K93" s="83" t="str">
        <x:v>P2 - contesto/validazione</x:v>
      </x:c>
      <x:c r="L93" s="83" t="str">
        <x:v>Figura o mappa; lettura etichette / eventuale digitalizzazione</x:v>
      </x:c>
      <x:c r="M93" s="83" t="str">
        <x:v>Medio</x:v>
      </x:c>
      <x:c r="N93" s="83" t="str">
        <x:v>Da verificare in Fase 3</x:v>
      </x:c>
    </x:row>
    <x:row r="94">
      <x:c r="A94" s="83" t="str">
        <x:v>S08-FIG-88-449</x:v>
      </x:c>
      <x:c r="B94" s="83" t="str">
        <x:v>S08</x:v>
      </x:c>
      <x:c r="C94" s="83" t="str">
        <x:v>Piano Nazionale Integrato per l'Energia e il Clima</x:v>
      </x:c>
      <x:c r="D94" s="83" t="str">
        <x:v>Figura</x:v>
      </x:c>
      <x:c r="E94" s="83" t="str">
        <x:v>88</x:v>
      </x:c>
      <x:c r="F94" s="83" t="n">
        <x:v>449</x:v>
      </x:c>
      <x:c r="G94" s="83" t="n">
        <x:v>448</x:v>
      </x:c>
      <x:c r="H94" s="83" t="str">
        <x:v>4. Situazione attuale e proiezioni</x:v>
      </x:c>
      <x:c r="I94" s="83" t="str">
        <x:v>Figura 88 Andamento del prezzo alla pompa di Benzina, Gasolio auto, Metano, Elettricità da ricarica</x:v>
      </x:c>
      <x:c r="J94" s="83" t="str">
        <x:v>Mercato e prezzi</x:v>
      </x:c>
      <x:c r="K94" s="83" t="str">
        <x:v>P2 - contesto/validazione</x:v>
      </x:c>
      <x:c r="L94" s="83" t="str">
        <x:v>Figura o mappa; lettura etichette / eventuale digitalizzazione</x:v>
      </x:c>
      <x:c r="M94" s="83" t="str">
        <x:v>Medio</x:v>
      </x:c>
      <x:c r="N94" s="83" t="str">
        <x:v>Da verificare in Fase 3</x:v>
      </x:c>
    </x:row>
    <x:row r="95">
      <x:c r="A95" s="83" t="str">
        <x:v>S08-FIG-89-449</x:v>
      </x:c>
      <x:c r="B95" s="83" t="str">
        <x:v>S08</x:v>
      </x:c>
      <x:c r="C95" s="83" t="str">
        <x:v>Piano Nazionale Integrato per l'Energia e il Clima</x:v>
      </x:c>
      <x:c r="D95" s="83" t="str">
        <x:v>Figura</x:v>
      </x:c>
      <x:c r="E95" s="83" t="str">
        <x:v>89</x:v>
      </x:c>
      <x:c r="F95" s="83" t="n">
        <x:v>449</x:v>
      </x:c>
      <x:c r="G95" s="83" t="n">
        <x:v>448</x:v>
      </x:c>
      <x:c r="H95" s="83" t="str">
        <x:v>4. Situazione attuale e proiezioni</x:v>
      </x:c>
      <x:c r="I95" s="83" t="str">
        <x:v>Figura 89 Andamento del prezzo (€/l) alla pompa della Benzina e delle sue componenti (fonte: elaborazioni</x:v>
      </x:c>
      <x:c r="J95" s="83" t="str">
        <x:v>Mercato e prezzi</x:v>
      </x:c>
      <x:c r="K95" s="83" t="str">
        <x:v>P2 - contesto/validazione</x:v>
      </x:c>
      <x:c r="L95" s="83" t="str">
        <x:v>Figura o mappa; lettura etichette / eventuale digitalizzazione</x:v>
      </x:c>
      <x:c r="M95" s="83" t="str">
        <x:v>Medio</x:v>
      </x:c>
      <x:c r="N95" s="83" t="str">
        <x:v>Da verificare in Fase 3</x:v>
      </x:c>
    </x:row>
    <x:row r="96">
      <x:c r="A96" s="83" t="str">
        <x:v>S08-FIG-90-450</x:v>
      </x:c>
      <x:c r="B96" s="83" t="str">
        <x:v>S08</x:v>
      </x:c>
      <x:c r="C96" s="83" t="str">
        <x:v>Piano Nazionale Integrato per l'Energia e il Clima</x:v>
      </x:c>
      <x:c r="D96" s="83" t="str">
        <x:v>Figura</x:v>
      </x:c>
      <x:c r="E96" s="83" t="str">
        <x:v>90</x:v>
      </x:c>
      <x:c r="F96" s="83" t="n">
        <x:v>450</x:v>
      </x:c>
      <x:c r="G96" s="83" t="n">
        <x:v>449</x:v>
      </x:c>
      <x:c r="H96" s="83" t="str">
        <x:v>4. Situazione attuale e proiezioni</x:v>
      </x:c>
      <x:c r="I96" s="83" t="str">
        <x:v>Figura 90 Andamento del prezzo (€/l) alla pompa del Gasolio auto e delle sue componenti (fonte:</x:v>
      </x:c>
      <x:c r="J96" s="83" t="str">
        <x:v>Mercato e prezzi</x:v>
      </x:c>
      <x:c r="K96" s="83" t="str">
        <x:v>P2 - contesto/validazione</x:v>
      </x:c>
      <x:c r="L96" s="83" t="str">
        <x:v>Figura o mappa; lettura etichette / eventuale digitalizzazione</x:v>
      </x:c>
      <x:c r="M96" s="83" t="str">
        <x:v>Medio</x:v>
      </x:c>
      <x:c r="N96" s="83" t="str">
        <x:v>Da verificare in Fase 3</x:v>
      </x:c>
    </x:row>
    <x:row r="97">
      <x:c r="A97" s="83" t="str">
        <x:v>S08-TAB-89-458</x:v>
      </x:c>
      <x:c r="B97" s="83" t="str">
        <x:v>S08</x:v>
      </x:c>
      <x:c r="C97" s="83" t="str">
        <x:v>Piano Nazionale Integrato per l'Energia e il Clima</x:v>
      </x:c>
      <x:c r="D97" s="83" t="str">
        <x:v>Tabella</x:v>
      </x:c>
      <x:c r="E97" s="83" t="str">
        <x:v>89</x:v>
      </x:c>
      <x:c r="F97" s="83" t="n">
        <x:v>458</x:v>
      </x:c>
      <x:c r="G97" s="83" t="n">
        <x:v>457</x:v>
      </x:c>
      <x:c r="H97" s="83" t="str">
        <x:v>5. Valutazione di impatto</x:v>
      </x:c>
      <x:c r="I97" s="83" t="str">
        <x:v>Tabella 89 - Consumo di energia primaria e finale (per ciascun settore), proiezioni 2020-2040 nello scenario</x:v>
      </x:c>
      <x:c r="J97" s="83" t="str">
        <x:v>Scenario e metodologia</x:v>
      </x:c>
      <x:c r="K97" s="83" t="str">
        <x:v>P2 - contesto/validazione</x:v>
      </x:c>
      <x:c r="L97" s="83" t="str">
        <x:v>Tabella testuale/PDF</x:v>
      </x:c>
      <x:c r="M97" s="83" t="str">
        <x:v>Basso</x:v>
      </x:c>
      <x:c r="N97" s="83" t="str">
        <x:v>Da verificare in Fase 3</x:v>
      </x:c>
    </x:row>
    <x:row r="98">
      <x:c r="A98" s="83" t="str">
        <x:v>S08-FIG-93-459</x:v>
      </x:c>
      <x:c r="B98" s="83" t="str">
        <x:v>S08</x:v>
      </x:c>
      <x:c r="C98" s="83" t="str">
        <x:v>Piano Nazionale Integrato per l'Energia e il Clima</x:v>
      </x:c>
      <x:c r="D98" s="83" t="str">
        <x:v>Figura</x:v>
      </x:c>
      <x:c r="E98" s="83" t="str">
        <x:v>93</x:v>
      </x:c>
      <x:c r="F98" s="83" t="n">
        <x:v>459</x:v>
      </x:c>
      <x:c r="G98" s="83" t="n">
        <x:v>458</x:v>
      </x:c>
      <x:c r="H98" s="83" t="str">
        <x:v>5. Valutazione di impatto</x:v>
      </x:c>
      <x:c r="I98" s="83" t="str">
        <x:v>Figura 93 - Mix del fabbisogno primario al 2030</x:v>
      </x:c>
      <x:c r="J98" s="83" t="str">
        <x:v>Domanda e consumi</x:v>
      </x:c>
      <x:c r="K98" s="83" t="str">
        <x:v>P1 - input diretto/parametro</x:v>
      </x:c>
      <x:c r="L98" s="83" t="str">
        <x:v>Figura o mappa; lettura etichette / eventuale digitalizzazione</x:v>
      </x:c>
      <x:c r="M98" s="83" t="str">
        <x:v>Medio</x:v>
      </x:c>
      <x:c r="N98" s="83" t="str">
        <x:v>Da verificare in Fase 3</x:v>
      </x:c>
    </x:row>
    <x:row r="99">
      <x:c r="A99" s="83" t="str">
        <x:v>S08-TAB-90-460</x:v>
      </x:c>
      <x:c r="B99" s="83" t="str">
        <x:v>S08</x:v>
      </x:c>
      <x:c r="C99" s="83" t="str">
        <x:v>Piano Nazionale Integrato per l'Energia e il Clima</x:v>
      </x:c>
      <x:c r="D99" s="83" t="str">
        <x:v>Tabella</x:v>
      </x:c>
      <x:c r="E99" s="83" t="str">
        <x:v>90</x:v>
      </x:c>
      <x:c r="F99" s="83" t="n">
        <x:v>460</x:v>
      </x:c>
      <x:c r="G99" s="83" t="n">
        <x:v>459</x:v>
      </x:c>
      <x:c r="H99" s="83" t="str">
        <x:v>5. Valutazione di impatto</x:v>
      </x:c>
      <x:c r="I99" s="83" t="str">
        <x:v>Tabella 90 - Risorse energetiche interne, proiezioni 2025-2040 – scenario PNIEC (ktep)</x:v>
      </x:c>
      <x:c r="J99" s="83" t="str">
        <x:v>Scenario e metodologia</x:v>
      </x:c>
      <x:c r="K99" s="83" t="str">
        <x:v>P2 - contesto/validazione</x:v>
      </x:c>
      <x:c r="L99" s="83" t="str">
        <x:v>Tabella testuale/PDF</x:v>
      </x:c>
      <x:c r="M99" s="83" t="str">
        <x:v>Basso</x:v>
      </x:c>
      <x:c r="N99" s="83" t="str">
        <x:v>Da verificare in Fase 3</x:v>
      </x:c>
    </x:row>
    <x:row r="100">
      <x:c r="A100" s="83" t="str">
        <x:v>S08-TAB-91-460</x:v>
      </x:c>
      <x:c r="B100" s="83" t="str">
        <x:v>S08</x:v>
      </x:c>
      <x:c r="C100" s="83" t="str">
        <x:v>Piano Nazionale Integrato per l'Energia e il Clima</x:v>
      </x:c>
      <x:c r="D100" s="83" t="str">
        <x:v>Tabella</x:v>
      </x:c>
      <x:c r="E100" s="83" t="str">
        <x:v>91</x:v>
      </x:c>
      <x:c r="F100" s="83" t="n">
        <x:v>460</x:v>
      </x:c>
      <x:c r="G100" s="83" t="n">
        <x:v>459</x:v>
      </x:c>
      <x:c r="H100" s="83" t="str">
        <x:v>5. Valutazione di impatto</x:v>
      </x:c>
      <x:c r="I100" s="83" t="str">
        <x:v>Tabella 91 - Importazioni nette, proiezioni 2025-2040 – scenario PNIEC (ktep)</x:v>
      </x:c>
      <x:c r="J100" s="83" t="str">
        <x:v>Scenario e metodologia</x:v>
      </x:c>
      <x:c r="K100" s="83" t="str">
        <x:v>P2 - contesto/validazione</x:v>
      </x:c>
      <x:c r="L100" s="83" t="str">
        <x:v>Tabella testuale/PDF</x:v>
      </x:c>
      <x:c r="M100" s="83" t="str">
        <x:v>Basso</x:v>
      </x:c>
      <x:c r="N100" s="83" t="str">
        <x:v>Da verificare in Fase 3</x:v>
      </x:c>
    </x:row>
    <x:row r="101">
      <x:c r="A101" s="83" t="str">
        <x:v>S08-TAB-92-460</x:v>
      </x:c>
      <x:c r="B101" s="83" t="str">
        <x:v>S08</x:v>
      </x:c>
      <x:c r="C101" s="83" t="str">
        <x:v>Piano Nazionale Integrato per l'Energia e il Clima</x:v>
      </x:c>
      <x:c r="D101" s="83" t="str">
        <x:v>Tabella</x:v>
      </x:c>
      <x:c r="E101" s="83" t="str">
        <x:v>92</x:v>
      </x:c>
      <x:c r="F101" s="83" t="n">
        <x:v>460</x:v>
      </x:c>
      <x:c r="G101" s="83" t="n">
        <x:v>459</x:v>
      </x:c>
      <x:c r="H101" s="83" t="str">
        <x:v>5. Valutazione di impatto</x:v>
      </x:c>
      <x:c r="I101" s="83" t="str">
        <x:v>Tabella 92 - Dipendenza energetica, proiezioni 2025-2040 – scenario PNIEC</x:v>
      </x:c>
      <x:c r="J101" s="83" t="str">
        <x:v>Scenario e metodologia</x:v>
      </x:c>
      <x:c r="K101" s="83" t="str">
        <x:v>P2 - contesto/validazione</x:v>
      </x:c>
      <x:c r="L101" s="83" t="str">
        <x:v>Tabella testuale/PDF</x:v>
      </x:c>
      <x:c r="M101" s="83" t="str">
        <x:v>Basso</x:v>
      </x:c>
      <x:c r="N101" s="83" t="str">
        <x:v>Da verificare in Fase 3</x:v>
      </x:c>
    </x:row>
    <x:row r="102">
      <x:c r="A102" s="83" t="str">
        <x:v>S08-FIG-94-461</x:v>
      </x:c>
      <x:c r="B102" s="83" t="str">
        <x:v>S08</x:v>
      </x:c>
      <x:c r="C102" s="83" t="str">
        <x:v>Piano Nazionale Integrato per l'Energia e il Clima</x:v>
      </x:c>
      <x:c r="D102" s="83" t="str">
        <x:v>Figura</x:v>
      </x:c>
      <x:c r="E102" s="83" t="str">
        <x:v>94</x:v>
      </x:c>
      <x:c r="F102" s="83" t="n">
        <x:v>461</x:v>
      </x:c>
      <x:c r="G102" s="83" t="n">
        <x:v>460</x:v>
      </x:c>
      <x:c r="H102" s="83" t="str">
        <x:v>5. Valutazione di impatto</x:v>
      </x:c>
      <x:c r="I102" s="83" t="str">
        <x:v>Figura 94 - Evoluzione dei consumi finali per fonte al 2040 [Fonte: RSE]</x:v>
      </x:c>
      <x:c r="J102" s="83" t="str">
        <x:v>Domanda e consumi</x:v>
      </x:c>
      <x:c r="K102" s="83" t="str">
        <x:v>P2 - contesto/validazione</x:v>
      </x:c>
      <x:c r="L102" s="83" t="str">
        <x:v>Figura o mappa; lettura etichette / eventuale digitalizzazione</x:v>
      </x:c>
      <x:c r="M102" s="83" t="str">
        <x:v>Medio</x:v>
      </x:c>
      <x:c r="N102" s="83" t="str">
        <x:v>Da verificare in Fase 3</x:v>
      </x:c>
    </x:row>
    <x:row r="103">
      <x:c r="A103" s="83" t="str">
        <x:v>S08-FIG-95-462</x:v>
      </x:c>
      <x:c r="B103" s="83" t="str">
        <x:v>S08</x:v>
      </x:c>
      <x:c r="C103" s="83" t="str">
        <x:v>Piano Nazionale Integrato per l'Energia e il Clima</x:v>
      </x:c>
      <x:c r="D103" s="83" t="str">
        <x:v>Figura</x:v>
      </x:c>
      <x:c r="E103" s="83" t="str">
        <x:v>95</x:v>
      </x:c>
      <x:c r="F103" s="83" t="n">
        <x:v>462</x:v>
      </x:c>
      <x:c r="G103" s="83" t="n">
        <x:v>461</x:v>
      </x:c>
      <x:c r="H103" s="83" t="str">
        <x:v>5. Valutazione di impatto</x:v>
      </x:c>
      <x:c r="I103" s="83" t="str">
        <x:v>Figura 95 - Evoluzione della produzione lorda di energia elettrica al 2040 (inclusa l’energia elettrica</x:v>
      </x:c>
      <x:c r="J103" s="83" t="str">
        <x:v>Contesto / metodologia</x:v>
      </x:c>
      <x:c r="K103" s="83" t="str">
        <x:v>P2 - contesto/validazione</x:v>
      </x:c>
      <x:c r="L103" s="83" t="str">
        <x:v>Figura o mappa; lettura etichette / eventuale digitalizzazione</x:v>
      </x:c>
      <x:c r="M103" s="83" t="str">
        <x:v>Medio</x:v>
      </x:c>
      <x:c r="N103" s="83" t="str">
        <x:v>Da verificare in Fase 3</x:v>
      </x:c>
    </x:row>
    <x:row r="104">
      <x:c r="A104" s="83" t="str">
        <x:v>S08-TAB-93-463</x:v>
      </x:c>
      <x:c r="B104" s="83" t="str">
        <x:v>S08</x:v>
      </x:c>
      <x:c r="C104" s="83" t="str">
        <x:v>Piano Nazionale Integrato per l'Energia e il Clima</x:v>
      </x:c>
      <x:c r="D104" s="83" t="str">
        <x:v>Tabella</x:v>
      </x:c>
      <x:c r="E104" s="83" t="str">
        <x:v>93</x:v>
      </x:c>
      <x:c r="F104" s="83" t="n">
        <x:v>463</x:v>
      </x:c>
      <x:c r="G104" s="83" t="n">
        <x:v>462</x:v>
      </x:c>
      <x:c r="H104" s="83" t="str">
        <x:v>5. Valutazione di impatto</x:v>
      </x:c>
      <x:c r="I104" s="83" t="str">
        <x:v>Tabella 93 - Emissioni nazionali di gas serra e obiettivi europei (Mt CO2eq) - scenario con politiche</x:v>
      </x:c>
      <x:c r="J104" s="83" t="str">
        <x:v>Mercato e prezzi; Emissioni e ambiente; Scenario e metodologia</x:v>
      </x:c>
      <x:c r="K104" s="83" t="str">
        <x:v>P1 - input diretto/parametro</x:v>
      </x:c>
      <x:c r="L104" s="83" t="str">
        <x:v>Tabella testuale/PDF</x:v>
      </x:c>
      <x:c r="M104" s="83" t="str">
        <x:v>Basso</x:v>
      </x:c>
      <x:c r="N104" s="83" t="str">
        <x:v>Da verificare in Fase 3</x:v>
      </x:c>
    </x:row>
    <x:row r="105">
      <x:c r="A105" s="83" t="str">
        <x:v>S08-TAB-94-463</x:v>
      </x:c>
      <x:c r="B105" s="83" t="str">
        <x:v>S08</x:v>
      </x:c>
      <x:c r="C105" s="83" t="str">
        <x:v>Piano Nazionale Integrato per l'Energia e il Clima</x:v>
      </x:c>
      <x:c r="D105" s="83" t="str">
        <x:v>Tabella</x:v>
      </x:c>
      <x:c r="E105" s="83" t="str">
        <x:v>94</x:v>
      </x:c>
      <x:c r="F105" s="83" t="n">
        <x:v>463</x:v>
      </x:c>
      <x:c r="G105" s="83" t="n">
        <x:v>462</x:v>
      </x:c>
      <x:c r="H105" s="83" t="str">
        <x:v>5. Valutazione di impatto</x:v>
      </x:c>
      <x:c r="I105" s="83" t="str">
        <x:v>Tabella 94 - Emissioni di gas serra storiche fino al 2015 e secondo lo scenario PNIEC disaggregate per settore</x:v>
      </x:c>
      <x:c r="J105" s="83" t="str">
        <x:v>Emissioni e ambiente; Scenario e metodologia</x:v>
      </x:c>
      <x:c r="K105" s="83" t="str">
        <x:v>P2 - contesto/validazione</x:v>
      </x:c>
      <x:c r="L105" s="83" t="str">
        <x:v>Tabella testuale/PDF</x:v>
      </x:c>
      <x:c r="M105" s="83" t="str">
        <x:v>Basso</x:v>
      </x:c>
      <x:c r="N105" s="83" t="str">
        <x:v>Da verificare in Fase 3</x:v>
      </x:c>
    </x:row>
    <x:row r="106">
      <x:c r="A106" s="83" t="str">
        <x:v>S08-FIG-96-464</x:v>
      </x:c>
      <x:c r="B106" s="83" t="str">
        <x:v>S08</x:v>
      </x:c>
      <x:c r="C106" s="83" t="str">
        <x:v>Piano Nazionale Integrato per l'Energia e il Clima</x:v>
      </x:c>
      <x:c r="D106" s="83" t="str">
        <x:v>Figura</x:v>
      </x:c>
      <x:c r="E106" s="83" t="str">
        <x:v>96</x:v>
      </x:c>
      <x:c r="F106" s="83" t="n">
        <x:v>464</x:v>
      </x:c>
      <x:c r="G106" s="83" t="n">
        <x:v>463</x:v>
      </x:c>
      <x:c r="H106" s="83" t="str">
        <x:v>5. Valutazione di impatto</x:v>
      </x:c>
      <x:c r="I106" s="83" t="str">
        <x:v>Figura 96 - Emissioni di gas serra storiche fino al 2022 e secondo lo scenario a politiche aggiuntive</x:v>
      </x:c>
      <x:c r="J106" s="83" t="str">
        <x:v>Emissioni e ambiente; Scenario e metodologia</x:v>
      </x:c>
      <x:c r="K106" s="83" t="str">
        <x:v>P2 - contesto/validazione</x:v>
      </x:c>
      <x:c r="L106" s="83" t="str">
        <x:v>Figura o mappa; lettura etichette / eventuale digitalizzazione</x:v>
      </x:c>
      <x:c r="M106" s="83" t="str">
        <x:v>Medio</x:v>
      </x:c>
      <x:c r="N106" s="83" t="str">
        <x:v>Da verificare in Fase 3</x:v>
      </x:c>
    </x:row>
    <x:row r="107">
      <x:c r="A107" s="83" t="str">
        <x:v>S08-TAB-100-479</x:v>
      </x:c>
      <x:c r="B107" s="83" t="str">
        <x:v>S08</x:v>
      </x:c>
      <x:c r="C107" s="83" t="str">
        <x:v>Piano Nazionale Integrato per l'Energia e il Clima</x:v>
      </x:c>
      <x:c r="D107" s="83" t="str">
        <x:v>Tabella</x:v>
      </x:c>
      <x:c r="E107" s="83" t="str">
        <x:v>100</x:v>
      </x:c>
      <x:c r="F107" s="83" t="n">
        <x:v>479</x:v>
      </x:c>
      <x:c r="G107" s="83" t="n">
        <x:v>478</x:v>
      </x:c>
      <x:c r="H107" s="83" t="str">
        <x:v>5. Valutazione di impatto</x:v>
      </x:c>
      <x:c r="I107" s="83" t="str">
        <x:v>Tabella 100 - Investimenti in tecnologie di produzione di energia elettrica da FER necessari per l’evoluzione</x:v>
      </x:c>
      <x:c r="J107" s="83" t="str">
        <x:v>Capacità e generazione</x:v>
      </x:c>
      <x:c r="K107" s="83" t="str">
        <x:v>P2 - contesto/validazione</x:v>
      </x:c>
      <x:c r="L107" s="83" t="str">
        <x:v>Tabella testuale/PDF</x:v>
      </x:c>
      <x:c r="M107" s="83" t="str">
        <x:v>Basso</x:v>
      </x:c>
      <x:c r="N107" s="83" t="str">
        <x:v>Da verificare in Fase 3</x:v>
      </x:c>
    </x:row>
    <x:row r="108">
      <x:c r="A108" s="83" t="str">
        <x:v>S08-TAB-102-484</x:v>
      </x:c>
      <x:c r="B108" s="83" t="str">
        <x:v>S08</x:v>
      </x:c>
      <x:c r="C108" s="83" t="str">
        <x:v>Piano Nazionale Integrato per l'Energia e il Clima</x:v>
      </x:c>
      <x:c r="D108" s="83" t="str">
        <x:v>Tabella</x:v>
      </x:c>
      <x:c r="E108" s="83" t="str">
        <x:v>102</x:v>
      </x:c>
      <x:c r="F108" s="83" t="n">
        <x:v>484</x:v>
      </x:c>
      <x:c r="G108" s="83" t="n">
        <x:v>483</x:v>
      </x:c>
      <x:c r="H108" s="83" t="str">
        <x:v>5. Valutazione di impatto</x:v>
      </x:c>
      <x:c r="I108" s="83" t="str">
        <x:v>Tabella 102 - Spese green - Prima emissione BTP 2045 del 3 marzo 2021 (mln €)</x:v>
      </x:c>
      <x:c r="J108" s="83" t="str">
        <x:v>Emissioni e ambiente</x:v>
      </x:c>
      <x:c r="K108" s="83" t="str">
        <x:v>P2 - contesto/validazione</x:v>
      </x:c>
      <x:c r="L108" s="83" t="str">
        <x:v>Tabella testuale/PDF</x:v>
      </x:c>
      <x:c r="M108" s="83" t="str">
        <x:v>Basso</x:v>
      </x:c>
      <x:c r="N108" s="83" t="str">
        <x:v>Da verificare in Fase 3</x:v>
      </x:c>
    </x:row>
    <x:row r="109">
      <x:c r="A109" s="83" t="str">
        <x:v>S08-FIG-98-485</x:v>
      </x:c>
      <x:c r="B109" s="83" t="str">
        <x:v>S08</x:v>
      </x:c>
      <x:c r="C109" s="83" t="str">
        <x:v>Piano Nazionale Integrato per l'Energia e il Clima</x:v>
      </x:c>
      <x:c r="D109" s="83" t="str">
        <x:v>Figura</x:v>
      </x:c>
      <x:c r="E109" s="83" t="str">
        <x:v>98</x:v>
      </x:c>
      <x:c r="F109" s="83" t="n">
        <x:v>485</x:v>
      </x:c>
      <x:c r="G109" s="83" t="n">
        <x:v>484</x:v>
      </x:c>
      <x:c r="H109" s="83" t="str">
        <x:v>5. Valutazione di impatto</x:v>
      </x:c>
      <x:c r="I109" s="83" t="str">
        <x:v>Figura 98 - Allocazione e Impatto emissione BTP 2045 del 3 marzo 2021</x:v>
      </x:c>
      <x:c r="J109" s="83" t="str">
        <x:v>Emissioni e ambiente</x:v>
      </x:c>
      <x:c r="K109" s="83" t="str">
        <x:v>P2 - contesto/validazione</x:v>
      </x:c>
      <x:c r="L109" s="83" t="str">
        <x:v>Figura o mappa; lettura etichette / eventuale digitalizzazione</x:v>
      </x:c>
      <x:c r="M109" s="83" t="str">
        <x:v>Medio</x:v>
      </x:c>
      <x:c r="N109" s="83" t="str">
        <x:v>Da verificare in Fase 3</x:v>
      </x:c>
    </x:row>
    <x:row r="110">
      <x:c r="A110" s="83" t="str">
        <x:v>S07-FIG-1-7</x:v>
      </x:c>
      <x:c r="B110" s="83" t="str">
        <x:v>S07</x:v>
      </x:c>
      <x:c r="C110" s="83" t="str">
        <x:v>Prospettive di Sviluppo del Sistema Energetico 2050 - Copertura della domanda elettrica</x:v>
      </x:c>
      <x:c r="D110" s="83" t="str">
        <x:v>Figura</x:v>
      </x:c>
      <x:c r="E110" s="83" t="str">
        <x:v>1</x:v>
      </x:c>
      <x:c r="F110" s="83" t="n">
        <x:v>7</x:v>
      </x:c>
      <x:c r="G110" s="83" t="n">
        <x:v>5</x:v>
      </x:c>
      <x:c r="H110" s="83" t="str">
        <x:v>2. Contesto energetico e mercato</x:v>
      </x:c>
      <x:c r="I110" s="83" t="str">
        <x:v>Figura 1 - Bilancio energetico EU27 (sinistra) e Italia (destra) (Fonte: Eurostat, dati 2023 [Mtep])</x:v>
      </x:c>
      <x:c r="J110" s="83" t="str">
        <x:v>Contesto / metodologia</x:v>
      </x:c>
      <x:c r="K110" s="83" t="str">
        <x:v>P2 - contesto/validazione</x:v>
      </x:c>
      <x:c r="L110" s="83" t="str">
        <x:v>Figura o mappa; lettura etichette / eventuale digitalizzazione</x:v>
      </x:c>
      <x:c r="M110" s="83" t="str">
        <x:v>Medio</x:v>
      </x:c>
      <x:c r="N110" s="83" t="str">
        <x:v>Da verificare in Fase 3</x:v>
      </x:c>
    </x:row>
    <x:row r="111">
      <x:c r="A111" s="83" t="str">
        <x:v>S07-FIG-2-8</x:v>
      </x:c>
      <x:c r="B111" s="83" t="str">
        <x:v>S07</x:v>
      </x:c>
      <x:c r="C111" s="83" t="str">
        <x:v>Prospettive di Sviluppo del Sistema Energetico 2050 - Copertura della domanda elettrica</x:v>
      </x:c>
      <x:c r="D111" s="83" t="str">
        <x:v>Figura</x:v>
      </x:c>
      <x:c r="E111" s="83" t="str">
        <x:v>2</x:v>
      </x:c>
      <x:c r="F111" s="83" t="n">
        <x:v>8</x:v>
      </x:c>
      <x:c r="G111" s="83" t="n">
        <x:v>6</x:v>
      </x:c>
      <x:c r="H111" s="83" t="str">
        <x:v>2. Contesto energetico e mercato</x:v>
      </x:c>
      <x:c r="I111" s="83" t="str">
        <x:v>Figura 2 - Approvvigionamento elettrico per fonte in Italia (%) (Fonte Terna, dati al 2024 provvisori)</x:v>
      </x:c>
      <x:c r="J111" s="83" t="str">
        <x:v>Contesto / metodologia</x:v>
      </x:c>
      <x:c r="K111" s="83" t="str">
        <x:v>P2 - contesto/validazione</x:v>
      </x:c>
      <x:c r="L111" s="83" t="str">
        <x:v>Figura o mappa; lettura etichette / eventuale digitalizzazione</x:v>
      </x:c>
      <x:c r="M111" s="83" t="str">
        <x:v>Medio</x:v>
      </x:c>
      <x:c r="N111" s="83" t="str">
        <x:v>Da verificare in Fase 3</x:v>
      </x:c>
    </x:row>
    <x:row r="112">
      <x:c r="A112" s="83" t="str">
        <x:v>S07-FIG-3-9</x:v>
      </x:c>
      <x:c r="B112" s="83" t="str">
        <x:v>S07</x:v>
      </x:c>
      <x:c r="C112" s="83" t="str">
        <x:v>Prospettive di Sviluppo del Sistema Energetico 2050 - Copertura della domanda elettrica</x:v>
      </x:c>
      <x:c r="D112" s="83" t="str">
        <x:v>Figura</x:v>
      </x:c>
      <x:c r="E112" s="83" t="str">
        <x:v>3</x:v>
      </x:c>
      <x:c r="F112" s="83" t="n">
        <x:v>9</x:v>
      </x:c>
      <x:c r="G112" s="83" t="n">
        <x:v>7</x:v>
      </x:c>
      <x:c r="H112" s="83" t="str">
        <x:v>2. Contesto energetico e mercato</x:v>
      </x:c>
      <x:c r="I112" s="83" t="str">
        <x:v>Figura 3 - Andamento prezzi giornalieri commodity</x:v>
      </x:c>
      <x:c r="J112" s="83" t="str">
        <x:v>Mercato e prezzi</x:v>
      </x:c>
      <x:c r="K112" s="83" t="str">
        <x:v>P2 - contesto/validazione</x:v>
      </x:c>
      <x:c r="L112" s="83" t="str">
        <x:v>Figura o mappa; lettura etichette / eventuale digitalizzazione</x:v>
      </x:c>
      <x:c r="M112" s="83" t="str">
        <x:v>Medio</x:v>
      </x:c>
      <x:c r="N112" s="83" t="str">
        <x:v>Da verificare in Fase 3</x:v>
      </x:c>
    </x:row>
    <x:row r="113">
      <x:c r="A113" s="83" t="str">
        <x:v>S07-TAB-1-9</x:v>
      </x:c>
      <x:c r="B113" s="83" t="str">
        <x:v>S07</x:v>
      </x:c>
      <x:c r="C113" s="83" t="str">
        <x:v>Prospettive di Sviluppo del Sistema Energetico 2050 - Copertura della domanda elettrica</x:v>
      </x:c>
      <x:c r="D113" s="83" t="str">
        <x:v>Tabella</x:v>
      </x:c>
      <x:c r="E113" s="83" t="str">
        <x:v>1</x:v>
      </x:c>
      <x:c r="F113" s="83" t="n">
        <x:v>9</x:v>
      </x:c>
      <x:c r="G113" s="83" t="n">
        <x:v>7</x:v>
      </x:c>
      <x:c r="H113" s="83" t="str">
        <x:v>2. Contesto energetico e mercato</x:v>
      </x:c>
      <x:c r="I113" s="83" t="str">
        <x:v>Tabella 1 - Confronto tra il costo variabile degli impianti a ciclo combinato a gas naturale (CCGT) e il</x:v>
      </x:c>
      <x:c r="J113" s="83" t="str">
        <x:v>Capacità e generazione; Mercato e prezzi</x:v>
      </x:c>
      <x:c r="K113" s="83" t="str">
        <x:v>P1 - input diretto/parametro</x:v>
      </x:c>
      <x:c r="L113" s="83" t="str">
        <x:v>Tabella testuale/PDF</x:v>
      </x:c>
      <x:c r="M113" s="83" t="str">
        <x:v>Basso</x:v>
      </x:c>
      <x:c r="N113" s="83" t="str">
        <x:v>Da verificare in Fase 3</x:v>
      </x:c>
    </x:row>
    <x:row r="114">
      <x:c r="A114" s="83" t="str">
        <x:v>S07-FIG-4-10</x:v>
      </x:c>
      <x:c r="B114" s="83" t="str">
        <x:v>S07</x:v>
      </x:c>
      <x:c r="C114" s="83" t="str">
        <x:v>Prospettive di Sviluppo del Sistema Energetico 2050 - Copertura della domanda elettrica</x:v>
      </x:c>
      <x:c r="D114" s="83" t="str">
        <x:v>Figura</x:v>
      </x:c>
      <x:c r="E114" s="83" t="str">
        <x:v>4</x:v>
      </x:c>
      <x:c r="F114" s="83" t="n">
        <x:v>10</x:v>
      </x:c>
      <x:c r="G114" s="83" t="n">
        <x:v>8</x:v>
      </x:c>
      <x:c r="H114" s="83" t="str">
        <x:v>2. Contesto energetico e mercato</x:v>
      </x:c>
      <x:c r="I114" s="83" t="str">
        <x:v>Figura 4 - Confronto investimenti PNIEC e costo variabile CCGT</x:v>
      </x:c>
      <x:c r="J114" s="83" t="str">
        <x:v>Capacità e generazione; Mercato e prezzi; Scenario e metodologia</x:v>
      </x:c>
      <x:c r="K114" s="83" t="str">
        <x:v>P1 - input diretto/parametro</x:v>
      </x:c>
      <x:c r="L114" s="83" t="str">
        <x:v>Figura o mappa; lettura etichette / eventuale digitalizzazione</x:v>
      </x:c>
      <x:c r="M114" s="83" t="str">
        <x:v>Medio</x:v>
      </x:c>
      <x:c r="N114" s="83" t="str">
        <x:v>Da verificare in Fase 3</x:v>
      </x:c>
    </x:row>
    <x:row r="115">
      <x:c r="A115" s="83" t="str">
        <x:v>S07-FIG-5-11</x:v>
      </x:c>
      <x:c r="B115" s="83" t="str">
        <x:v>S07</x:v>
      </x:c>
      <x:c r="C115" s="83" t="str">
        <x:v>Prospettive di Sviluppo del Sistema Energetico 2050 - Copertura della domanda elettrica</x:v>
      </x:c>
      <x:c r="D115" s="83" t="str">
        <x:v>Figura</x:v>
      </x:c>
      <x:c r="E115" s="83" t="str">
        <x:v>5</x:v>
      </x:c>
      <x:c r="F115" s="83" t="n">
        <x:v>11</x:v>
      </x:c>
      <x:c r="G115" s="83" t="n">
        <x:v>9</x:v>
      </x:c>
      <x:c r="H115" s="83" t="str">
        <x:v>2. Contesto energetico e mercato</x:v>
      </x:c>
      <x:c r="I115" s="83" t="str">
        <x:v>Figura 5 - Possibile progressione temporale della capacità installata [GW] (Fonte: PNIEC 2024)</x:v>
      </x:c>
      <x:c r="J115" s="83" t="str">
        <x:v>Capacità e generazione; Scenario e metodologia</x:v>
      </x:c>
      <x:c r="K115" s="83" t="str">
        <x:v>P1 - input diretto/parametro</x:v>
      </x:c>
      <x:c r="L115" s="83" t="str">
        <x:v>Figura o mappa; lettura etichette / eventuale digitalizzazione</x:v>
      </x:c>
      <x:c r="M115" s="83" t="str">
        <x:v>Medio</x:v>
      </x:c>
      <x:c r="N115" s="83" t="str">
        <x:v>Da verificare in Fase 3</x:v>
      </x:c>
    </x:row>
    <x:row r="116">
      <x:c r="A116" s="83" t="str">
        <x:v>S07-FIG-6-12</x:v>
      </x:c>
      <x:c r="B116" s="83" t="str">
        <x:v>S07</x:v>
      </x:c>
      <x:c r="C116" s="83" t="str">
        <x:v>Prospettive di Sviluppo del Sistema Energetico 2050 - Copertura della domanda elettrica</x:v>
      </x:c>
      <x:c r="D116" s="83" t="str">
        <x:v>Figura</x:v>
      </x:c>
      <x:c r="E116" s="83" t="str">
        <x:v>6</x:v>
      </x:c>
      <x:c r="F116" s="83" t="n">
        <x:v>12</x:v>
      </x:c>
      <x:c r="G116" s="83" t="n">
        <x:v>10</x:v>
      </x:c>
      <x:c r="H116" s="83" t="str">
        <x:v>2. Contesto energetico e mercato</x:v>
      </x:c>
      <x:c r="I116" s="83" t="str">
        <x:v>Figura 6 - Andamento capacità installata solare e eolica EU (Fonte: IRENA)</x:v>
      </x:c>
      <x:c r="J116" s="83" t="str">
        <x:v>Capacità e generazione</x:v>
      </x:c>
      <x:c r="K116" s="83" t="str">
        <x:v>P1 - input diretto/parametro</x:v>
      </x:c>
      <x:c r="L116" s="83" t="str">
        <x:v>Figura o mappa; lettura etichette / eventuale digitalizzazione</x:v>
      </x:c>
      <x:c r="M116" s="83" t="str">
        <x:v>Medio</x:v>
      </x:c>
      <x:c r="N116" s="83" t="str">
        <x:v>Da verificare in Fase 3</x:v>
      </x:c>
    </x:row>
    <x:row r="117">
      <x:c r="A117" s="83" t="str">
        <x:v>S07-FIG-7-13</x:v>
      </x:c>
      <x:c r="B117" s="83" t="str">
        <x:v>S07</x:v>
      </x:c>
      <x:c r="C117" s="83" t="str">
        <x:v>Prospettive di Sviluppo del Sistema Energetico 2050 - Copertura della domanda elettrica</x:v>
      </x:c>
      <x:c r="D117" s="83" t="str">
        <x:v>Figura</x:v>
      </x:c>
      <x:c r="E117" s="83" t="str">
        <x:v>7</x:v>
      </x:c>
      <x:c r="F117" s="83" t="n">
        <x:v>13</x:v>
      </x:c>
      <x:c r="G117" s="83" t="n">
        <x:v>11</x:v>
      </x:c>
      <x:c r="H117" s="83" t="str">
        <x:v>2. Contesto energetico e mercato</x:v>
      </x:c>
      <x:c r="I117" s="83" t="str">
        <x:v>Figura 7 - Evoluzione della generazione elettrica in EU-27/EEA 2020-2024 (TWh) (Fonte: ACER)</x:v>
      </x:c>
      <x:c r="J117" s="83" t="str">
        <x:v>Capacità e generazione</x:v>
      </x:c>
      <x:c r="K117" s="83" t="str">
        <x:v>P1 - input diretto/parametro</x:v>
      </x:c>
      <x:c r="L117" s="83" t="str">
        <x:v>Figura o mappa; lettura etichette / eventuale digitalizzazione</x:v>
      </x:c>
      <x:c r="M117" s="83" t="str">
        <x:v>Medio</x:v>
      </x:c>
      <x:c r="N117" s="83" t="str">
        <x:v>Da verificare in Fase 3</x:v>
      </x:c>
    </x:row>
    <x:row r="118">
      <x:c r="A118" s="83" t="str">
        <x:v>S07-FIG-8-13</x:v>
      </x:c>
      <x:c r="B118" s="83" t="str">
        <x:v>S07</x:v>
      </x:c>
      <x:c r="C118" s="83" t="str">
        <x:v>Prospettive di Sviluppo del Sistema Energetico 2050 - Copertura della domanda elettrica</x:v>
      </x:c>
      <x:c r="D118" s="83" t="str">
        <x:v>Figura</x:v>
      </x:c>
      <x:c r="E118" s="83" t="str">
        <x:v>8</x:v>
      </x:c>
      <x:c r="F118" s="83" t="n">
        <x:v>13</x:v>
      </x:c>
      <x:c r="G118" s="83" t="n">
        <x:v>11</x:v>
      </x:c>
      <x:c r="H118" s="83" t="str">
        <x:v>2. Contesto energetico e mercato</x:v>
      </x:c>
      <x:c r="I118" s="83" t="str">
        <x:v>Figura 8 - Capacità BESS in Europa (2019-2024) (Fonte: SolarPowerEurope)</x:v>
      </x:c>
      <x:c r="J118" s="83" t="str">
        <x:v>Accumuli e flessibilità</x:v>
      </x:c>
      <x:c r="K118" s="83" t="str">
        <x:v>P2 - contesto/validazione</x:v>
      </x:c>
      <x:c r="L118" s="83" t="str">
        <x:v>Figura o mappa; lettura etichette / eventuale digitalizzazione</x:v>
      </x:c>
      <x:c r="M118" s="83" t="str">
        <x:v>Medio</x:v>
      </x:c>
      <x:c r="N118" s="83" t="str">
        <x:v>Da verificare in Fase 3</x:v>
      </x:c>
    </x:row>
    <x:row r="119">
      <x:c r="A119" s="83" t="str">
        <x:v>S07-FIG-9-15</x:v>
      </x:c>
      <x:c r="B119" s="83" t="str">
        <x:v>S07</x:v>
      </x:c>
      <x:c r="C119" s="83" t="str">
        <x:v>Prospettive di Sviluppo del Sistema Energetico 2050 - Copertura della domanda elettrica</x:v>
      </x:c>
      <x:c r="D119" s="83" t="str">
        <x:v>Figura</x:v>
      </x:c>
      <x:c r="E119" s="83" t="str">
        <x:v>9</x:v>
      </x:c>
      <x:c r="F119" s="83" t="n">
        <x:v>15</x:v>
      </x:c>
      <x:c r="G119" s="83" t="n">
        <x:v>13</x:v>
      </x:c>
      <x:c r="H119" s="83" t="str">
        <x:v>2. Contesto energetico e mercato</x:v>
      </x:c>
      <x:c r="I119" s="83" t="str">
        <x:v>Figura 9 - Capacità totale installata eolica e solare (Fonte: Terna)</x:v>
      </x:c>
      <x:c r="J119" s="83" t="str">
        <x:v>Capacità e generazione</x:v>
      </x:c>
      <x:c r="K119" s="83" t="str">
        <x:v>P2 - contesto/validazione</x:v>
      </x:c>
      <x:c r="L119" s="83" t="str">
        <x:v>Figura o mappa; lettura etichette / eventuale digitalizzazione</x:v>
      </x:c>
      <x:c r="M119" s="83" t="str">
        <x:v>Medio</x:v>
      </x:c>
      <x:c r="N119" s="83" t="str">
        <x:v>Da verificare in Fase 3</x:v>
      </x:c>
    </x:row>
    <x:row r="120">
      <x:c r="A120" s="83" t="str">
        <x:v>S07-FIG-10-15</x:v>
      </x:c>
      <x:c r="B120" s="83" t="str">
        <x:v>S07</x:v>
      </x:c>
      <x:c r="C120" s="83" t="str">
        <x:v>Prospettive di Sviluppo del Sistema Energetico 2050 - Copertura della domanda elettrica</x:v>
      </x:c>
      <x:c r="D120" s="83" t="str">
        <x:v>Figura</x:v>
      </x:c>
      <x:c r="E120" s="83" t="str">
        <x:v>10</x:v>
      </x:c>
      <x:c r="F120" s="83" t="n">
        <x:v>15</x:v>
      </x:c>
      <x:c r="G120" s="83" t="n">
        <x:v>13</x:v>
      </x:c>
      <x:c r="H120" s="83" t="str">
        <x:v>2. Contesto energetico e mercato</x:v>
      </x:c>
      <x:c r="I120" s="83" t="str">
        <x:v>Figura 10 - Nuova capacità solare entrata in esercizio per anno e taglia degli impianti (MW) (Fonte: Terna)</x:v>
      </x:c>
      <x:c r="J120" s="83" t="str">
        <x:v>Capacità e generazione</x:v>
      </x:c>
      <x:c r="K120" s="83" t="str">
        <x:v>P2 - contesto/validazione</x:v>
      </x:c>
      <x:c r="L120" s="83" t="str">
        <x:v>Figura o mappa; lettura etichette / eventuale digitalizzazione</x:v>
      </x:c>
      <x:c r="M120" s="83" t="str">
        <x:v>Medio</x:v>
      </x:c>
      <x:c r="N120" s="83" t="str">
        <x:v>Da verificare in Fase 3</x:v>
      </x:c>
    </x:row>
    <x:row r="121">
      <x:c r="A121" s="83" t="str">
        <x:v>S07-FIG-11-16</x:v>
      </x:c>
      <x:c r="B121" s="83" t="str">
        <x:v>S07</x:v>
      </x:c>
      <x:c r="C121" s="83" t="str">
        <x:v>Prospettive di Sviluppo del Sistema Energetico 2050 - Copertura della domanda elettrica</x:v>
      </x:c>
      <x:c r="D121" s="83" t="str">
        <x:v>Figura</x:v>
      </x:c>
      <x:c r="E121" s="83" t="str">
        <x:v>11</x:v>
      </x:c>
      <x:c r="F121" s="83" t="n">
        <x:v>16</x:v>
      </x:c>
      <x:c r="G121" s="83" t="n">
        <x:v>14</x:v>
      </x:c>
      <x:c r="H121" s="83" t="str">
        <x:v>2. Contesto energetico e mercato</x:v>
      </x:c>
      <x:c r="I121" s="83" t="str">
        <x:v>Figura 11 - Sistemi di accumulo: capacità e potenza in esercizio (sx)</x:v>
      </x:c>
      <x:c r="J121" s="83" t="str">
        <x:v>Accumuli e flessibilità</x:v>
      </x:c>
      <x:c r="K121" s="83" t="str">
        <x:v>P2 - contesto/validazione</x:v>
      </x:c>
      <x:c r="L121" s="83" t="str">
        <x:v>Figura o mappa; lettura etichette / eventuale digitalizzazione</x:v>
      </x:c>
      <x:c r="M121" s="83" t="str">
        <x:v>Medio</x:v>
      </x:c>
      <x:c r="N121" s="83" t="str">
        <x:v>Da verificare in Fase 3</x:v>
      </x:c>
    </x:row>
    <x:row r="122">
      <x:c r="A122" s="83" t="str">
        <x:v>S07-FIG-12-17</x:v>
      </x:c>
      <x:c r="B122" s="83" t="str">
        <x:v>S07</x:v>
      </x:c>
      <x:c r="C122" s="83" t="str">
        <x:v>Prospettive di Sviluppo del Sistema Energetico 2050 - Copertura della domanda elettrica</x:v>
      </x:c>
      <x:c r="D122" s="83" t="str">
        <x:v>Figura</x:v>
      </x:c>
      <x:c r="E122" s="83" t="str">
        <x:v>12</x:v>
      </x:c>
      <x:c r="F122" s="83" t="n">
        <x:v>17</x:v>
      </x:c>
      <x:c r="G122" s="83" t="n">
        <x:v>15</x:v>
      </x:c>
      <x:c r="H122" s="83" t="str">
        <x:v>2. Contesto energetico e mercato</x:v>
      </x:c>
      <x:c r="I122" s="83" t="str">
        <x:v>Figura 12 - Potenziale del repowering solare in Italia (generazione attuale è base 100).</x:v>
      </x:c>
      <x:c r="J122" s="83" t="str">
        <x:v>Capacità e generazione</x:v>
      </x:c>
      <x:c r="K122" s="83" t="str">
        <x:v>P2 - contesto/validazione</x:v>
      </x:c>
      <x:c r="L122" s="83" t="str">
        <x:v>Figura o mappa; lettura etichette / eventuale digitalizzazione</x:v>
      </x:c>
      <x:c r="M122" s="83" t="str">
        <x:v>Medio</x:v>
      </x:c>
      <x:c r="N122" s="83" t="str">
        <x:v>Da verificare in Fase 3</x:v>
      </x:c>
    </x:row>
    <x:row r="123">
      <x:c r="A123" s="83" t="str">
        <x:v>S07-FIG-13-18</x:v>
      </x:c>
      <x:c r="B123" s="83" t="str">
        <x:v>S07</x:v>
      </x:c>
      <x:c r="C123" s="83" t="str">
        <x:v>Prospettive di Sviluppo del Sistema Energetico 2050 - Copertura della domanda elettrica</x:v>
      </x:c>
      <x:c r="D123" s="83" t="str">
        <x:v>Figura</x:v>
      </x:c>
      <x:c r="E123" s="83" t="str">
        <x:v>13</x:v>
      </x:c>
      <x:c r="F123" s="83" t="n">
        <x:v>18</x:v>
      </x:c>
      <x:c r="G123" s="83" t="n">
        <x:v>16</x:v>
      </x:c>
      <x:c r="H123" s="83" t="str">
        <x:v>2. Contesto energetico e mercato</x:v>
      </x:c>
      <x:c r="I123" s="83" t="str">
        <x:v>Figura 13 - Benefici del repowering (Fonte: Elemens)</x:v>
      </x:c>
      <x:c r="J123" s="83" t="str">
        <x:v>Contesto / metodologia</x:v>
      </x:c>
      <x:c r="K123" s="83" t="str">
        <x:v>P2 - contesto/validazione</x:v>
      </x:c>
      <x:c r="L123" s="83" t="str">
        <x:v>Figura o mappa; lettura etichette / eventuale digitalizzazione</x:v>
      </x:c>
      <x:c r="M123" s="83" t="str">
        <x:v>Medio</x:v>
      </x:c>
      <x:c r="N123" s="83" t="str">
        <x:v>Da verificare in Fase 3</x:v>
      </x:c>
    </x:row>
    <x:row r="124">
      <x:c r="A124" s="83" t="str">
        <x:v>S07-FIG-14-19</x:v>
      </x:c>
      <x:c r="B124" s="83" t="str">
        <x:v>S07</x:v>
      </x:c>
      <x:c r="C124" s="83" t="str">
        <x:v>Prospettive di Sviluppo del Sistema Energetico 2050 - Copertura della domanda elettrica</x:v>
      </x:c>
      <x:c r="D124" s="83" t="str">
        <x:v>Figura</x:v>
      </x:c>
      <x:c r="E124" s="83" t="str">
        <x:v>14</x:v>
      </x:c>
      <x:c r="F124" s="83" t="n">
        <x:v>19</x:v>
      </x:c>
      <x:c r="G124" s="83" t="n">
        <x:v>17</x:v>
      </x:c>
      <x:c r="H124" s="83" t="str">
        <x:v>2. Contesto energetico e mercato</x:v>
      </x:c>
      <x:c r="I124" s="83" t="str">
        <x:v>Figura 14 - Andamento potenza elettrica parco termoelettrico con dettaglio CHP e non CHP</x:v>
      </x:c>
      <x:c r="J124" s="83" t="str">
        <x:v>Capacità e generazione</x:v>
      </x:c>
      <x:c r="K124" s="83" t="str">
        <x:v>P2 - contesto/validazione</x:v>
      </x:c>
      <x:c r="L124" s="83" t="str">
        <x:v>Figura o mappa; lettura etichette / eventuale digitalizzazione</x:v>
      </x:c>
      <x:c r="M124" s="83" t="str">
        <x:v>Medio</x:v>
      </x:c>
      <x:c r="N124" s="83" t="str">
        <x:v>Da verificare in Fase 3</x:v>
      </x:c>
    </x:row>
    <x:row r="125">
      <x:c r="A125" s="83" t="str">
        <x:v>S07-FIG-15-19</x:v>
      </x:c>
      <x:c r="B125" s="83" t="str">
        <x:v>S07</x:v>
      </x:c>
      <x:c r="C125" s="83" t="str">
        <x:v>Prospettive di Sviluppo del Sistema Energetico 2050 - Copertura della domanda elettrica</x:v>
      </x:c>
      <x:c r="D125" s="83" t="str">
        <x:v>Figura</x:v>
      </x:c>
      <x:c r="E125" s="83" t="str">
        <x:v>15</x:v>
      </x:c>
      <x:c r="F125" s="83" t="n">
        <x:v>19</x:v>
      </x:c>
      <x:c r="G125" s="83" t="n">
        <x:v>17</x:v>
      </x:c>
      <x:c r="H125" s="83" t="str">
        <x:v>2. Contesto energetico e mercato</x:v>
      </x:c>
      <x:c r="I125" s="83" t="str">
        <x:v>Figura 15 - Andamento generazione elettrica e ore equivalenti parco termoelettrico con dettaglio CHP e</x:v>
      </x:c>
      <x:c r="J125" s="83" t="str">
        <x:v>Capacità e generazione</x:v>
      </x:c>
      <x:c r="K125" s="83" t="str">
        <x:v>P1 - input diretto/parametro</x:v>
      </x:c>
      <x:c r="L125" s="83" t="str">
        <x:v>Figura o mappa; lettura etichette / eventuale digitalizzazione</x:v>
      </x:c>
      <x:c r="M125" s="83" t="str">
        <x:v>Medio</x:v>
      </x:c>
      <x:c r="N125" s="83" t="str">
        <x:v>Da verificare in Fase 3</x:v>
      </x:c>
    </x:row>
    <x:row r="126">
      <x:c r="A126" s="83" t="str">
        <x:v>S07-FIG-16-20</x:v>
      </x:c>
      <x:c r="B126" s="83" t="str">
        <x:v>S07</x:v>
      </x:c>
      <x:c r="C126" s="83" t="str">
        <x:v>Prospettive di Sviluppo del Sistema Energetico 2050 - Copertura della domanda elettrica</x:v>
      </x:c>
      <x:c r="D126" s="83" t="str">
        <x:v>Figura</x:v>
      </x:c>
      <x:c r="E126" s="83" t="str">
        <x:v>16</x:v>
      </x:c>
      <x:c r="F126" s="83" t="n">
        <x:v>20</x:v>
      </x:c>
      <x:c r="G126" s="83" t="n">
        <x:v>18</x:v>
      </x:c>
      <x:c r="H126" s="83" t="str">
        <x:v>2. Contesto energetico e mercato</x:v>
      </x:c>
      <x:c r="I126" s="83" t="str">
        <x:v>Figura 16 - Copertura fabbisogno mercato per il giorno 1°maggio 2025 (Fonte: Misure Terna)</x:v>
      </x:c>
      <x:c r="J126" s="83" t="str">
        <x:v>Domanda e consumi; Mercato e prezzi</x:v>
      </x:c>
      <x:c r="K126" s="83" t="str">
        <x:v>P1 - input diretto/parametro</x:v>
      </x:c>
      <x:c r="L126" s="83" t="str">
        <x:v>Figura o mappa; lettura etichette / eventuale digitalizzazione</x:v>
      </x:c>
      <x:c r="M126" s="83" t="str">
        <x:v>Medio</x:v>
      </x:c>
      <x:c r="N126" s="83" t="str">
        <x:v>Da verificare in Fase 3</x:v>
      </x:c>
    </x:row>
    <x:row r="127">
      <x:c r="A127" s="83" t="str">
        <x:v>S07-FIG-17-21</x:v>
      </x:c>
      <x:c r="B127" s="83" t="str">
        <x:v>S07</x:v>
      </x:c>
      <x:c r="C127" s="83" t="str">
        <x:v>Prospettive di Sviluppo del Sistema Energetico 2050 - Copertura della domanda elettrica</x:v>
      </x:c>
      <x:c r="D127" s="83" t="str">
        <x:v>Figura</x:v>
      </x:c>
      <x:c r="E127" s="83" t="str">
        <x:v>17</x:v>
      </x:c>
      <x:c r="F127" s="83" t="n">
        <x:v>21</x:v>
      </x:c>
      <x:c r="G127" s="83" t="n">
        <x:v>19</x:v>
      </x:c>
      <x:c r="H127" s="83" t="str">
        <x:v>2. Contesto energetico e mercato</x:v>
      </x:c>
      <x:c r="I127" s="83" t="str">
        <x:v>Figura 17 - Focus copertura fabbisogno mercato da parco termoelettrico con dettaglio CHP per il giorno</x:v>
      </x:c>
      <x:c r="J127" s="83" t="str">
        <x:v>Domanda e consumi; Capacità e generazione; Mercato e prezzi</x:v>
      </x:c>
      <x:c r="K127" s="83" t="str">
        <x:v>P1 - input diretto/parametro</x:v>
      </x:c>
      <x:c r="L127" s="83" t="str">
        <x:v>Figura o mappa; lettura etichette / eventuale digitalizzazione</x:v>
      </x:c>
      <x:c r="M127" s="83" t="str">
        <x:v>Medio</x:v>
      </x:c>
      <x:c r="N127" s="83" t="str">
        <x:v>Da verificare in Fase 3</x:v>
      </x:c>
    </x:row>
    <x:row r="128">
      <x:c r="A128" s="83" t="str">
        <x:v>S07-FIG-18-22</x:v>
      </x:c>
      <x:c r="B128" s="83" t="str">
        <x:v>S07</x:v>
      </x:c>
      <x:c r="C128" s="83" t="str">
        <x:v>Prospettive di Sviluppo del Sistema Energetico 2050 - Copertura della domanda elettrica</x:v>
      </x:c>
      <x:c r="D128" s="83" t="str">
        <x:v>Figura</x:v>
      </x:c>
      <x:c r="E128" s="83" t="str">
        <x:v>18</x:v>
      </x:c>
      <x:c r="F128" s="83" t="n">
        <x:v>22</x:v>
      </x:c>
      <x:c r="G128" s="83" t="n">
        <x:v>20</x:v>
      </x:c>
      <x:c r="H128" s="83" t="str">
        <x:v>2. Contesto energetico e mercato</x:v>
      </x:c>
      <x:c r="I128" s="83" t="str">
        <x:v>Figura 18 - Percentuale di ore con prezzi minori o uguali a 0 €/MWh nei principali Paesi europei durante il</x:v>
      </x:c>
      <x:c r="J128" s="83" t="str">
        <x:v>Contesto / metodologia</x:v>
      </x:c>
      <x:c r="K128" s="83" t="str">
        <x:v>P2 - contesto/validazione</x:v>
      </x:c>
      <x:c r="L128" s="83" t="str">
        <x:v>Figura o mappa; lettura etichette / eventuale digitalizzazione</x:v>
      </x:c>
      <x:c r="M128" s="83" t="str">
        <x:v>Medio</x:v>
      </x:c>
      <x:c r="N128" s="83" t="str">
        <x:v>Da verificare in Fase 3</x:v>
      </x:c>
    </x:row>
    <x:row r="129">
      <x:c r="A129" s="83" t="str">
        <x:v>S07-FIG-19-22</x:v>
      </x:c>
      <x:c r="B129" s="83" t="str">
        <x:v>S07</x:v>
      </x:c>
      <x:c r="C129" s="83" t="str">
        <x:v>Prospettive di Sviluppo del Sistema Energetico 2050 - Copertura della domanda elettrica</x:v>
      </x:c>
      <x:c r="D129" s="83" t="str">
        <x:v>Figura</x:v>
      </x:c>
      <x:c r="E129" s="83" t="str">
        <x:v>19</x:v>
      </x:c>
      <x:c r="F129" s="83" t="n">
        <x:v>22</x:v>
      </x:c>
      <x:c r="G129" s="83" t="n">
        <x:v>20</x:v>
      </x:c>
      <x:c r="H129" s="83" t="str">
        <x:v>2. Contesto energetico e mercato</x:v>
      </x:c>
      <x:c r="I129" s="83" t="str">
        <x:v>Figura 19 - Numero di ore cumulate con prezzi negativi in Germania (Fonte: Energy-Charts)</x:v>
      </x:c>
      <x:c r="J129" s="83" t="str">
        <x:v>Contesto / metodologia</x:v>
      </x:c>
      <x:c r="K129" s="83" t="str">
        <x:v>P2 - contesto/validazione</x:v>
      </x:c>
      <x:c r="L129" s="83" t="str">
        <x:v>Figura o mappa; lettura etichette / eventuale digitalizzazione</x:v>
      </x:c>
      <x:c r="M129" s="83" t="str">
        <x:v>Medio</x:v>
      </x:c>
      <x:c r="N129" s="83" t="str">
        <x:v>Da verificare in Fase 3</x:v>
      </x:c>
    </x:row>
    <x:row r="130">
      <x:c r="A130" s="83" t="str">
        <x:v>S07-FIG-20-23</x:v>
      </x:c>
      <x:c r="B130" s="83" t="str">
        <x:v>S07</x:v>
      </x:c>
      <x:c r="C130" s="83" t="str">
        <x:v>Prospettive di Sviluppo del Sistema Energetico 2050 - Copertura della domanda elettrica</x:v>
      </x:c>
      <x:c r="D130" s="83" t="str">
        <x:v>Figura</x:v>
      </x:c>
      <x:c r="E130" s="83" t="str">
        <x:v>20</x:v>
      </x:c>
      <x:c r="F130" s="83" t="n">
        <x:v>23</x:v>
      </x:c>
      <x:c r="G130" s="83" t="n">
        <x:v>21</x:v>
      </x:c>
      <x:c r="H130" s="83" t="str">
        <x:v>2. Contesto energetico e mercato</x:v>
      </x:c>
      <x:c r="I130" s="83" t="str">
        <x:v>Figura 20 - Andamento dei prezzi elettrici wholesale e penetrazione FER. Prezzo Normalizzato:</x:v>
      </x:c>
      <x:c r="J130" s="83" t="str">
        <x:v>Capacità e generazione; Mercato e prezzi</x:v>
      </x:c>
      <x:c r="K130" s="83" t="str">
        <x:v>P2 - contesto/validazione</x:v>
      </x:c>
      <x:c r="L130" s="83" t="str">
        <x:v>Figura o mappa; lettura etichette / eventuale digitalizzazione</x:v>
      </x:c>
      <x:c r="M130" s="83" t="str">
        <x:v>Medio</x:v>
      </x:c>
      <x:c r="N130" s="83" t="str">
        <x:v>Da verificare in Fase 3</x:v>
      </x:c>
    </x:row>
    <x:row r="131">
      <x:c r="A131" s="83" t="str">
        <x:v>S07-FIG-21-24</x:v>
      </x:c>
      <x:c r="B131" s="83" t="str">
        <x:v>S07</x:v>
      </x:c>
      <x:c r="C131" s="83" t="str">
        <x:v>Prospettive di Sviluppo del Sistema Energetico 2050 - Copertura della domanda elettrica</x:v>
      </x:c>
      <x:c r="D131" s="83" t="str">
        <x:v>Figura</x:v>
      </x:c>
      <x:c r="E131" s="83" t="str">
        <x:v>21</x:v>
      </x:c>
      <x:c r="F131" s="83" t="n">
        <x:v>24</x:v>
      </x:c>
      <x:c r="G131" s="83" t="n">
        <x:v>22</x:v>
      </x:c>
      <x:c r="H131" s="83" t="str">
        <x:v>2. Contesto energetico e mercato</x:v>
      </x:c>
      <x:c r="I131" s="83" t="str">
        <x:v>Figura 21 - Investimenti necessari nel settore dell’energia elettrica nel periodo 2024-30</x:v>
      </x:c>
      <x:c r="J131" s="83" t="str">
        <x:v>Contesto / metodologia</x:v>
      </x:c>
      <x:c r="K131" s="83" t="str">
        <x:v>P2 - contesto/validazione</x:v>
      </x:c>
      <x:c r="L131" s="83" t="str">
        <x:v>Figura o mappa; lettura etichette / eventuale digitalizzazione</x:v>
      </x:c>
      <x:c r="M131" s="83" t="str">
        <x:v>Medio</x:v>
      </x:c>
      <x:c r="N131" s="83" t="str">
        <x:v>Da verificare in Fase 3</x:v>
      </x:c>
    </x:row>
    <x:row r="132">
      <x:c r="A132" s="83" t="str">
        <x:v>S07-FIG-22-24</x:v>
      </x:c>
      <x:c r="B132" s="83" t="str">
        <x:v>S07</x:v>
      </x:c>
      <x:c r="C132" s="83" t="str">
        <x:v>Prospettive di Sviluppo del Sistema Energetico 2050 - Copertura della domanda elettrica</x:v>
      </x:c>
      <x:c r="D132" s="83" t="str">
        <x:v>Figura</x:v>
      </x:c>
      <x:c r="E132" s="83" t="str">
        <x:v>22</x:v>
      </x:c>
      <x:c r="F132" s="83" t="n">
        <x:v>24</x:v>
      </x:c>
      <x:c r="G132" s="83" t="n">
        <x:v>22</x:v>
      </x:c>
      <x:c r="H132" s="83" t="str">
        <x:v>2. Contesto energetico e mercato</x:v>
      </x:c>
      <x:c r="I132" s="83" t="str">
        <x:v>Figura 22 - Confronto LCOE di un CCGT con LCOE di un impianto eolico e composizione del costo (%)8.</x:v>
      </x:c>
      <x:c r="J132" s="83" t="str">
        <x:v>Capacità e generazione; Mercato e prezzi</x:v>
      </x:c>
      <x:c r="K132" s="83" t="str">
        <x:v>P1 - input diretto/parametro</x:v>
      </x:c>
      <x:c r="L132" s="83" t="str">
        <x:v>Figura o mappa; lettura etichette / eventuale digitalizzazione</x:v>
      </x:c>
      <x:c r="M132" s="83" t="str">
        <x:v>Medio</x:v>
      </x:c>
      <x:c r="N132" s="83" t="str">
        <x:v>Da verificare in Fase 3</x:v>
      </x:c>
    </x:row>
    <x:row r="133">
      <x:c r="A133" s="83" t="str">
        <x:v>S07-FIG-23-25</x:v>
      </x:c>
      <x:c r="B133" s="83" t="str">
        <x:v>S07</x:v>
      </x:c>
      <x:c r="C133" s="83" t="str">
        <x:v>Prospettive di Sviluppo del Sistema Energetico 2050 - Copertura della domanda elettrica</x:v>
      </x:c>
      <x:c r="D133" s="83" t="str">
        <x:v>Figura</x:v>
      </x:c>
      <x:c r="E133" s="83" t="str">
        <x:v>23</x:v>
      </x:c>
      <x:c r="F133" s="83" t="n">
        <x:v>25</x:v>
      </x:c>
      <x:c r="G133" s="83" t="n">
        <x:v>23</x:v>
      </x:c>
      <x:c r="H133" s="83" t="str">
        <x:v>2. Contesto energetico e mercato</x:v>
      </x:c>
      <x:c r="I133" s="83" t="str">
        <x:v>Figura 23 - Impatto di CAPEX, producibilità e parametri finanziari sul LCOE: differenze tra impianti</x:v>
      </x:c>
      <x:c r="J133" s="83" t="str">
        <x:v>Capacità e generazione; Mercato e prezzi</x:v>
      </x:c>
      <x:c r="K133" s="83" t="str">
        <x:v>P1 - input diretto/parametro</x:v>
      </x:c>
      <x:c r="L133" s="83" t="str">
        <x:v>Figura o mappa; lettura etichette / eventuale digitalizzazione</x:v>
      </x:c>
      <x:c r="M133" s="83" t="str">
        <x:v>Medio</x:v>
      </x:c>
      <x:c r="N133" s="83" t="str">
        <x:v>Da verificare in Fase 3</x:v>
      </x:c>
    </x:row>
    <x:row r="134">
      <x:c r="A134" s="83" t="str">
        <x:v>S07-FIG-24-27</x:v>
      </x:c>
      <x:c r="B134" s="83" t="str">
        <x:v>S07</x:v>
      </x:c>
      <x:c r="C134" s="83" t="str">
        <x:v>Prospettive di Sviluppo del Sistema Energetico 2050 - Copertura della domanda elettrica</x:v>
      </x:c>
      <x:c r="D134" s="83" t="str">
        <x:v>Figura</x:v>
      </x:c>
      <x:c r="E134" s="83" t="str">
        <x:v>24</x:v>
      </x:c>
      <x:c r="F134" s="83" t="n">
        <x:v>27</x:v>
      </x:c>
      <x:c r="G134" s="83" t="n">
        <x:v>25</x:v>
      </x:c>
      <x:c r="H134" s="83" t="str">
        <x:v>2. Contesto energetico e mercato</x:v>
      </x:c>
      <x:c r="I134" s="83" t="str">
        <x:v>Figura 24 - Necessità di sistema e strumenti contrattuali a termine necessari per garantire lo sviluppo di</x:v>
      </x:c>
      <x:c r="J134" s="83" t="str">
        <x:v>Contesto / metodologia</x:v>
      </x:c>
      <x:c r="K134" s="83" t="str">
        <x:v>P2 - contesto/validazione</x:v>
      </x:c>
      <x:c r="L134" s="83" t="str">
        <x:v>Figura o mappa; lettura etichette / eventuale digitalizzazione</x:v>
      </x:c>
      <x:c r="M134" s="83" t="str">
        <x:v>Medio</x:v>
      </x:c>
      <x:c r="N134" s="83" t="str">
        <x:v>Da verificare in Fase 3</x:v>
      </x:c>
    </x:row>
    <x:row r="135">
      <x:c r="A135" s="83" t="str">
        <x:v>S07-FIG-25-28</x:v>
      </x:c>
      <x:c r="B135" s="83" t="str">
        <x:v>S07</x:v>
      </x:c>
      <x:c r="C135" s="83" t="str">
        <x:v>Prospettive di Sviluppo del Sistema Energetico 2050 - Copertura della domanda elettrica</x:v>
      </x:c>
      <x:c r="D135" s="83" t="str">
        <x:v>Figura</x:v>
      </x:c>
      <x:c r="E135" s="83" t="str">
        <x:v>25</x:v>
      </x:c>
      <x:c r="F135" s="83" t="n">
        <x:v>28</x:v>
      </x:c>
      <x:c r="G135" s="83" t="n">
        <x:v>26</x:v>
      </x:c>
      <x:c r="H135" s="83" t="str">
        <x:v>2. Contesto energetico e mercato</x:v>
      </x:c>
      <x:c r="I135" s="83" t="str">
        <x:v>Figura 25 - Evoluzione dei costi fissi/variabili per il sistema elettrico. (Fonte: elaborazioni Terna)</x:v>
      </x:c>
      <x:c r="J135" s="83" t="str">
        <x:v>Contesto / metodologia</x:v>
      </x:c>
      <x:c r="K135" s="83" t="str">
        <x:v>P2 - contesto/validazione</x:v>
      </x:c>
      <x:c r="L135" s="83" t="str">
        <x:v>Figura o mappa; lettura etichette / eventuale digitalizzazione</x:v>
      </x:c>
      <x:c r="M135" s="83" t="str">
        <x:v>Medio</x:v>
      </x:c>
      <x:c r="N135" s="83" t="str">
        <x:v>Da verificare in Fase 3</x:v>
      </x:c>
    </x:row>
    <x:row r="136">
      <x:c r="A136" s="83" t="str">
        <x:v>S07-FIG-26-29</x:v>
      </x:c>
      <x:c r="B136" s="83" t="str">
        <x:v>S07</x:v>
      </x:c>
      <x:c r="C136" s="83" t="str">
        <x:v>Prospettive di Sviluppo del Sistema Energetico 2050 - Copertura della domanda elettrica</x:v>
      </x:c>
      <x:c r="D136" s="83" t="str">
        <x:v>Figura</x:v>
      </x:c>
      <x:c r="E136" s="83" t="str">
        <x:v>26</x:v>
      </x:c>
      <x:c r="F136" s="83" t="n">
        <x:v>29</x:v>
      </x:c>
      <x:c r="G136" s="83" t="n">
        <x:v>27</x:v>
      </x:c>
      <x:c r="H136" s="83" t="str">
        <x:v>2. Contesto energetico e mercato</x:v>
      </x:c>
      <x:c r="I136" s="83" t="str">
        <x:v>Figura 26 - Funzionamento dei contratti per differenza a due vie per le rinnovabili.</x:v>
      </x:c>
      <x:c r="J136" s="83" t="str">
        <x:v>Capacità e generazione</x:v>
      </x:c>
      <x:c r="K136" s="83" t="str">
        <x:v>P2 - contesto/validazione</x:v>
      </x:c>
      <x:c r="L136" s="83" t="str">
        <x:v>Figura o mappa; lettura etichette / eventuale digitalizzazione</x:v>
      </x:c>
      <x:c r="M136" s="83" t="str">
        <x:v>Medio</x:v>
      </x:c>
      <x:c r="N136" s="83" t="str">
        <x:v>Da verificare in Fase 3</x:v>
      </x:c>
    </x:row>
    <x:row r="137">
      <x:c r="A137" s="83" t="str">
        <x:v>S07-TAB-2-31</x:v>
      </x:c>
      <x:c r="B137" s="83" t="str">
        <x:v>S07</x:v>
      </x:c>
      <x:c r="C137" s="83" t="str">
        <x:v>Prospettive di Sviluppo del Sistema Energetico 2050 - Copertura della domanda elettrica</x:v>
      </x:c>
      <x:c r="D137" s="83" t="str">
        <x:v>Tabella</x:v>
      </x:c>
      <x:c r="E137" s="83" t="str">
        <x:v>2</x:v>
      </x:c>
      <x:c r="F137" s="83" t="n">
        <x:v>31</x:v>
      </x:c>
      <x:c r="G137" s="83" t="n">
        <x:v>29</x:v>
      </x:c>
      <x:c r="H137" s="83" t="str">
        <x:v>3. Evoluzione 2030-2040</x:v>
      </x:c>
      <x:c r="I137" s="83" t="str">
        <x:v>Tabella 2 - Evoluzione del fabbisogno elettrico 2023-2040 [TWh]</x:v>
      </x:c>
      <x:c r="J137" s="83" t="str">
        <x:v>Domanda e consumi</x:v>
      </x:c>
      <x:c r="K137" s="83" t="str">
        <x:v>P1 - input diretto/parametro</x:v>
      </x:c>
      <x:c r="L137" s="83" t="str">
        <x:v>Tabella testuale/PDF</x:v>
      </x:c>
      <x:c r="M137" s="83" t="str">
        <x:v>Basso</x:v>
      </x:c>
      <x:c r="N137" s="83" t="str">
        <x:v>Da verificare in Fase 3</x:v>
      </x:c>
    </x:row>
    <x:row r="138">
      <x:c r="A138" s="83" t="str">
        <x:v>S07-FIG-27-32</x:v>
      </x:c>
      <x:c r="B138" s="83" t="str">
        <x:v>S07</x:v>
      </x:c>
      <x:c r="C138" s="83" t="str">
        <x:v>Prospettive di Sviluppo del Sistema Energetico 2050 - Copertura della domanda elettrica</x:v>
      </x:c>
      <x:c r="D138" s="83" t="str">
        <x:v>Figura</x:v>
      </x:c>
      <x:c r="E138" s="83" t="str">
        <x:v>27</x:v>
      </x:c>
      <x:c r="F138" s="83" t="n">
        <x:v>32</x:v>
      </x:c>
      <x:c r="G138" s="83" t="n">
        <x:v>30</x:v>
      </x:c>
      <x:c r="H138" s="83" t="str">
        <x:v>3. Evoluzione 2030-2040</x:v>
      </x:c>
      <x:c r="I138" s="83" t="str">
        <x:v>Figura 27 - Capacità FER 2023-2040 [GW]</x:v>
      </x:c>
      <x:c r="J138" s="83" t="str">
        <x:v>Capacità e generazione</x:v>
      </x:c>
      <x:c r="K138" s="83" t="str">
        <x:v>P2 - contesto/validazione</x:v>
      </x:c>
      <x:c r="L138" s="83" t="str">
        <x:v>Figura o mappa; lettura etichette / eventuale digitalizzazione</x:v>
      </x:c>
      <x:c r="M138" s="83" t="str">
        <x:v>Medio</x:v>
      </x:c>
      <x:c r="N138" s="83" t="str">
        <x:v>Da verificare in Fase 3</x:v>
      </x:c>
    </x:row>
    <x:row r="139">
      <x:c r="A139" s="83" t="str">
        <x:v>S07-FIG-28-32</x:v>
      </x:c>
      <x:c r="B139" s="83" t="str">
        <x:v>S07</x:v>
      </x:c>
      <x:c r="C139" s="83" t="str">
        <x:v>Prospettive di Sviluppo del Sistema Energetico 2050 - Copertura della domanda elettrica</x:v>
      </x:c>
      <x:c r="D139" s="83" t="str">
        <x:v>Figura</x:v>
      </x:c>
      <x:c r="E139" s="83" t="str">
        <x:v>28</x:v>
      </x:c>
      <x:c r="F139" s="83" t="n">
        <x:v>32</x:v>
      </x:c>
      <x:c r="G139" s="83" t="n">
        <x:v>30</x:v>
      </x:c>
      <x:c r="H139" s="83" t="str">
        <x:v>3. Evoluzione 2030-2040</x:v>
      </x:c>
      <x:c r="I139" s="83" t="str">
        <x:v>Figura 28 - Capacità di accumulo 2023-2040 [GWh]</x:v>
      </x:c>
      <x:c r="J139" s="83" t="str">
        <x:v>Accumuli e flessibilità</x:v>
      </x:c>
      <x:c r="K139" s="83" t="str">
        <x:v>P1 - input diretto/parametro</x:v>
      </x:c>
      <x:c r="L139" s="83" t="str">
        <x:v>Figura o mappa; lettura etichette / eventuale digitalizzazione</x:v>
      </x:c>
      <x:c r="M139" s="83" t="str">
        <x:v>Medio</x:v>
      </x:c>
      <x:c r="N139" s="83" t="str">
        <x:v>Da verificare in Fase 3</x:v>
      </x:c>
    </x:row>
    <x:row r="140">
      <x:c r="A140" s="83" t="str">
        <x:v>S07-FIG-29-32</x:v>
      </x:c>
      <x:c r="B140" s="83" t="str">
        <x:v>S07</x:v>
      </x:c>
      <x:c r="C140" s="83" t="str">
        <x:v>Prospettive di Sviluppo del Sistema Energetico 2050 - Copertura della domanda elettrica</x:v>
      </x:c>
      <x:c r="D140" s="83" t="str">
        <x:v>Figura</x:v>
      </x:c>
      <x:c r="E140" s="83" t="str">
        <x:v>29</x:v>
      </x:c>
      <x:c r="F140" s="83" t="n">
        <x:v>32</x:v>
      </x:c>
      <x:c r="G140" s="83" t="n">
        <x:v>30</x:v>
      </x:c>
      <x:c r="H140" s="83" t="str">
        <x:v>3. Evoluzione 2030-2040</x:v>
      </x:c>
      <x:c r="I140" s="83" t="str">
        <x:v>Figura 29 - Bilancio sistema elettrico 2023-2040 [GWh]</x:v>
      </x:c>
      <x:c r="J140" s="83" t="str">
        <x:v>Contesto / metodologia</x:v>
      </x:c>
      <x:c r="K140" s="83" t="str">
        <x:v>P2 - contesto/validazione</x:v>
      </x:c>
      <x:c r="L140" s="83" t="str">
        <x:v>Figura o mappa; lettura etichette / eventuale digitalizzazione</x:v>
      </x:c>
      <x:c r="M140" s="83" t="str">
        <x:v>Medio</x:v>
      </x:c>
      <x:c r="N140" s="83" t="str">
        <x:v>Da verificare in Fase 3</x:v>
      </x:c>
    </x:row>
    <x:row r="141">
      <x:c r="A141" s="83" t="str">
        <x:v>S07-FIG-30-36</x:v>
      </x:c>
      <x:c r="B141" s="83" t="str">
        <x:v>S07</x:v>
      </x:c>
      <x:c r="C141" s="83" t="str">
        <x:v>Prospettive di Sviluppo del Sistema Energetico 2050 - Copertura della domanda elettrica</x:v>
      </x:c>
      <x:c r="D141" s="83" t="str">
        <x:v>Figura</x:v>
      </x:c>
      <x:c r="E141" s="83" t="str">
        <x:v>30</x:v>
      </x:c>
      <x:c r="F141" s="83" t="n">
        <x:v>36</x:v>
      </x:c>
      <x:c r="G141" s="83" t="n">
        <x:v>34</x:v>
      </x:c>
      <x:c r="H141" s="83" t="str">
        <x:v>5. Prospettive 2050</x:v>
      </x:c>
      <x:c r="I141" s="83" t="str">
        <x:v>Figura 30 - Costi di installazione, fattore di capacità e LCOE del solare</x:v>
      </x:c>
      <x:c r="J141" s="83" t="str">
        <x:v>Capacità e generazione; Mercato e prezzi</x:v>
      </x:c>
      <x:c r="K141" s="83" t="str">
        <x:v>P1 - input diretto/parametro</x:v>
      </x:c>
      <x:c r="L141" s="83" t="str">
        <x:v>Figura o mappa; lettura etichette / eventuale digitalizzazione</x:v>
      </x:c>
      <x:c r="M141" s="83" t="str">
        <x:v>Medio</x:v>
      </x:c>
      <x:c r="N141" s="83" t="str">
        <x:v>Da verificare in Fase 3</x:v>
      </x:c>
    </x:row>
    <x:row r="142">
      <x:c r="A142" s="83" t="str">
        <x:v>S07-FIG-31-37</x:v>
      </x:c>
      <x:c r="B142" s="83" t="str">
        <x:v>S07</x:v>
      </x:c>
      <x:c r="C142" s="83" t="str">
        <x:v>Prospettive di Sviluppo del Sistema Energetico 2050 - Copertura della domanda elettrica</x:v>
      </x:c>
      <x:c r="D142" s="83" t="str">
        <x:v>Figura</x:v>
      </x:c>
      <x:c r="E142" s="83" t="str">
        <x:v>31</x:v>
      </x:c>
      <x:c r="F142" s="83" t="n">
        <x:v>37</x:v>
      </x:c>
      <x:c r="G142" s="83" t="n">
        <x:v>35</x:v>
      </x:c>
      <x:c r="H142" s="83" t="str">
        <x:v>5. Prospettive 2050</x:v>
      </x:c>
      <x:c r="I142" s="83" t="str">
        <x:v>Figura 31 - Evoluzione efficienza pannelli solari monocristallini</x:v>
      </x:c>
      <x:c r="J142" s="83" t="str">
        <x:v>Contesto / metodologia</x:v>
      </x:c>
      <x:c r="K142" s="83" t="str">
        <x:v>P1 - input diretto/parametro</x:v>
      </x:c>
      <x:c r="L142" s="83" t="str">
        <x:v>Figura o mappa; lettura etichette / eventuale digitalizzazione</x:v>
      </x:c>
      <x:c r="M142" s="83" t="str">
        <x:v>Medio</x:v>
      </x:c>
      <x:c r="N142" s="83" t="str">
        <x:v>Da verificare in Fase 3</x:v>
      </x:c>
    </x:row>
    <x:row r="143">
      <x:c r="A143" s="83" t="str">
        <x:v>S07-FIG-32-37</x:v>
      </x:c>
      <x:c r="B143" s="83" t="str">
        <x:v>S07</x:v>
      </x:c>
      <x:c r="C143" s="83" t="str">
        <x:v>Prospettive di Sviluppo del Sistema Energetico 2050 - Copertura della domanda elettrica</x:v>
      </x:c>
      <x:c r="D143" s="83" t="str">
        <x:v>Figura</x:v>
      </x:c>
      <x:c r="E143" s="83" t="str">
        <x:v>32</x:v>
      </x:c>
      <x:c r="F143" s="83" t="n">
        <x:v>37</x:v>
      </x:c>
      <x:c r="G143" s="83" t="n">
        <x:v>35</x:v>
      </x:c>
      <x:c r="H143" s="83" t="str">
        <x:v>5. Prospettive 2050</x:v>
      </x:c>
      <x:c r="I143" s="83" t="str">
        <x:v>Figura 32 - LCOE solare PV Italia: evoluzione storica e prospettica</x:v>
      </x:c>
      <x:c r="J143" s="83" t="str">
        <x:v>Capacità e generazione; Mercato e prezzi</x:v>
      </x:c>
      <x:c r="K143" s="83" t="str">
        <x:v>P1 - input diretto/parametro</x:v>
      </x:c>
      <x:c r="L143" s="83" t="str">
        <x:v>Figura o mappa; lettura etichette / eventuale digitalizzazione</x:v>
      </x:c>
      <x:c r="M143" s="83" t="str">
        <x:v>Medio</x:v>
      </x:c>
      <x:c r="N143" s="83" t="str">
        <x:v>Da verificare in Fase 3</x:v>
      </x:c>
    </x:row>
    <x:row r="144">
      <x:c r="A144" s="83" t="str">
        <x:v>S07-FIG-33-38</x:v>
      </x:c>
      <x:c r="B144" s="83" t="str">
        <x:v>S07</x:v>
      </x:c>
      <x:c r="C144" s="83" t="str">
        <x:v>Prospettive di Sviluppo del Sistema Energetico 2050 - Copertura della domanda elettrica</x:v>
      </x:c>
      <x:c r="D144" s="83" t="str">
        <x:v>Figura</x:v>
      </x:c>
      <x:c r="E144" s="83" t="str">
        <x:v>33</x:v>
      </x:c>
      <x:c r="F144" s="83" t="n">
        <x:v>38</x:v>
      </x:c>
      <x:c r="G144" s="83" t="n">
        <x:v>36</x:v>
      </x:c>
      <x:c r="H144" s="83" t="str">
        <x:v>5. Prospettive 2050</x:v>
      </x:c>
      <x:c r="I144" s="83" t="str">
        <x:v>Figura 33.</x:v>
      </x:c>
      <x:c r="J144" s="83" t="str">
        <x:v>Contesto / metodologia</x:v>
      </x:c>
      <x:c r="K144" s="83" t="str">
        <x:v>P2 - contesto/validazione</x:v>
      </x:c>
      <x:c r="L144" s="83" t="str">
        <x:v>Figura o mappa; lettura etichette / eventuale digitalizzazione</x:v>
      </x:c>
      <x:c r="M144" s="83" t="str">
        <x:v>Medio</x:v>
      </x:c>
      <x:c r="N144" s="83" t="str">
        <x:v>Da verificare in Fase 3</x:v>
      </x:c>
    </x:row>
    <x:row r="145">
      <x:c r="A145" s="83" t="str">
        <x:v>S07-FIG-33-38</x:v>
      </x:c>
      <x:c r="B145" s="83" t="str">
        <x:v>S07</x:v>
      </x:c>
      <x:c r="C145" s="83" t="str">
        <x:v>Prospettive di Sviluppo del Sistema Energetico 2050 - Copertura della domanda elettrica</x:v>
      </x:c>
      <x:c r="D145" s="83" t="str">
        <x:v>Figura</x:v>
      </x:c>
      <x:c r="E145" s="83" t="str">
        <x:v>33</x:v>
      </x:c>
      <x:c r="F145" s="83" t="n">
        <x:v>38</x:v>
      </x:c>
      <x:c r="G145" s="83" t="n">
        <x:v>36</x:v>
      </x:c>
      <x:c r="H145" s="83" t="str">
        <x:v>5. Prospettive 2050</x:v>
      </x:c>
      <x:c r="I145" s="83" t="str">
        <x:v>Figura 33 - Costi di installazione, fattore di capacità e LCOE per l’eolico onshore, media globale</x:v>
      </x:c>
      <x:c r="J145" s="83" t="str">
        <x:v>Capacità e generazione; Mercato e prezzi</x:v>
      </x:c>
      <x:c r="K145" s="83" t="str">
        <x:v>P1 - input diretto/parametro</x:v>
      </x:c>
      <x:c r="L145" s="83" t="str">
        <x:v>Figura o mappa; lettura etichette / eventuale digitalizzazione</x:v>
      </x:c>
      <x:c r="M145" s="83" t="str">
        <x:v>Medio</x:v>
      </x:c>
      <x:c r="N145" s="83" t="str">
        <x:v>Da verificare in Fase 3</x:v>
      </x:c>
    </x:row>
    <x:row r="146">
      <x:c r="A146" s="83" t="str">
        <x:v>S07-FIG-34-39</x:v>
      </x:c>
      <x:c r="B146" s="83" t="str">
        <x:v>S07</x:v>
      </x:c>
      <x:c r="C146" s="83" t="str">
        <x:v>Prospettive di Sviluppo del Sistema Energetico 2050 - Copertura della domanda elettrica</x:v>
      </x:c>
      <x:c r="D146" s="83" t="str">
        <x:v>Figura</x:v>
      </x:c>
      <x:c r="E146" s="83" t="str">
        <x:v>34</x:v>
      </x:c>
      <x:c r="F146" s="83" t="n">
        <x:v>39</x:v>
      </x:c>
      <x:c r="G146" s="83" t="n">
        <x:v>37</x:v>
      </x:c>
      <x:c r="H146" s="83" t="str">
        <x:v>5. Prospettive 2050</x:v>
      </x:c>
      <x:c r="I146" s="83" t="str">
        <x:v>Figura 34 - LCOE eolico onshore Italia: evoluzione storica e prospettica</x:v>
      </x:c>
      <x:c r="J146" s="83" t="str">
        <x:v>Capacità e generazione; Mercato e prezzi</x:v>
      </x:c>
      <x:c r="K146" s="83" t="str">
        <x:v>P1 - input diretto/parametro</x:v>
      </x:c>
      <x:c r="L146" s="83" t="str">
        <x:v>Figura o mappa; lettura etichette / eventuale digitalizzazione</x:v>
      </x:c>
      <x:c r="M146" s="83" t="str">
        <x:v>Medio</x:v>
      </x:c>
      <x:c r="N146" s="83" t="str">
        <x:v>Da verificare in Fase 3</x:v>
      </x:c>
    </x:row>
    <x:row r="147">
      <x:c r="A147" s="83" t="str">
        <x:v>S07-FIG-35-40</x:v>
      </x:c>
      <x:c r="B147" s="83" t="str">
        <x:v>S07</x:v>
      </x:c>
      <x:c r="C147" s="83" t="str">
        <x:v>Prospettive di Sviluppo del Sistema Energetico 2050 - Copertura della domanda elettrica</x:v>
      </x:c>
      <x:c r="D147" s="83" t="str">
        <x:v>Figura</x:v>
      </x:c>
      <x:c r="E147" s="83" t="str">
        <x:v>35</x:v>
      </x:c>
      <x:c r="F147" s="83" t="n">
        <x:v>40</x:v>
      </x:c>
      <x:c r="G147" s="83" t="n">
        <x:v>38</x:v>
      </x:c>
      <x:c r="H147" s="83" t="str">
        <x:v>5. Prospettive 2050</x:v>
      </x:c>
      <x:c r="I147" s="83" t="str">
        <x:v>Figura 35 - Evoluzione dei costi delle batterie26 e relativi driver</x:v>
      </x:c>
      <x:c r="J147" s="83" t="str">
        <x:v>Accumuli e flessibilità</x:v>
      </x:c>
      <x:c r="K147" s="83" t="str">
        <x:v>P1 - input diretto/parametro</x:v>
      </x:c>
      <x:c r="L147" s="83" t="str">
        <x:v>Figura o mappa; lettura etichette / eventuale digitalizzazione</x:v>
      </x:c>
      <x:c r="M147" s="83" t="str">
        <x:v>Medio</x:v>
      </x:c>
      <x:c r="N147" s="83" t="str">
        <x:v>Da verificare in Fase 3</x:v>
      </x:c>
    </x:row>
    <x:row r="148">
      <x:c r="A148" s="83" t="str">
        <x:v>S07-FIG-36-40</x:v>
      </x:c>
      <x:c r="B148" s="83" t="str">
        <x:v>S07</x:v>
      </x:c>
      <x:c r="C148" s="83" t="str">
        <x:v>Prospettive di Sviluppo del Sistema Energetico 2050 - Copertura della domanda elettrica</x:v>
      </x:c>
      <x:c r="D148" s="83" t="str">
        <x:v>Figura</x:v>
      </x:c>
      <x:c r="E148" s="83" t="str">
        <x:v>36</x:v>
      </x:c>
      <x:c r="F148" s="83" t="n">
        <x:v>40</x:v>
      </x:c>
      <x:c r="G148" s="83" t="n">
        <x:v>38</x:v>
      </x:c>
      <x:c r="H148" s="83" t="str">
        <x:v>5. Prospettive 2050</x:v>
      </x:c>
      <x:c r="I148" s="83" t="str">
        <x:v>Figura 36 - CAPEX batterie al litio da 4h27: evoluzione storica e prospettica</x:v>
      </x:c>
      <x:c r="J148" s="83" t="str">
        <x:v>Accumuli e flessibilità; Mercato e prezzi</x:v>
      </x:c>
      <x:c r="K148" s="83" t="str">
        <x:v>P1 - input diretto/parametro</x:v>
      </x:c>
      <x:c r="L148" s="83" t="str">
        <x:v>Figura o mappa; lettura etichette / eventuale digitalizzazione</x:v>
      </x:c>
      <x:c r="M148" s="83" t="str">
        <x:v>Medio</x:v>
      </x:c>
      <x:c r="N148" s="83" t="str">
        <x:v>Da verificare in Fase 3</x:v>
      </x:c>
    </x:row>
    <x:row r="149">
      <x:c r="A149" s="83" t="str">
        <x:v>S07-FIG-37-42</x:v>
      </x:c>
      <x:c r="B149" s="83" t="str">
        <x:v>S07</x:v>
      </x:c>
      <x:c r="C149" s="83" t="str">
        <x:v>Prospettive di Sviluppo del Sistema Energetico 2050 - Copertura della domanda elettrica</x:v>
      </x:c>
      <x:c r="D149" s="83" t="str">
        <x:v>Figura</x:v>
      </x:c>
      <x:c r="E149" s="83" t="str">
        <x:v>37</x:v>
      </x:c>
      <x:c r="F149" s="83" t="n">
        <x:v>42</x:v>
      </x:c>
      <x:c r="G149" s="83" t="n">
        <x:v>40</x:v>
      </x:c>
      <x:c r="H149" s="83" t="str">
        <x:v>5. Prospettive 2050</x:v>
      </x:c>
      <x:c r="I149" s="83" t="str">
        <x:v>Figura 37 - Progetti SMR nel mondo per grado di avanzamento29</x:v>
      </x:c>
      <x:c r="J149" s="83" t="str">
        <x:v>Contesto / metodologia</x:v>
      </x:c>
      <x:c r="K149" s="83" t="str">
        <x:v>P2 - contesto/validazione</x:v>
      </x:c>
      <x:c r="L149" s="83" t="str">
        <x:v>Figura o mappa; lettura etichette / eventuale digitalizzazione</x:v>
      </x:c>
      <x:c r="M149" s="83" t="str">
        <x:v>Medio</x:v>
      </x:c>
      <x:c r="N149" s="83" t="str">
        <x:v>Da verificare in Fase 3</x:v>
      </x:c>
    </x:row>
    <x:row r="150">
      <x:c r="A150" s="83" t="str">
        <x:v>S07-FIG-38-43</x:v>
      </x:c>
      <x:c r="B150" s="83" t="str">
        <x:v>S07</x:v>
      </x:c>
      <x:c r="C150" s="83" t="str">
        <x:v>Prospettive di Sviluppo del Sistema Energetico 2050 - Copertura della domanda elettrica</x:v>
      </x:c>
      <x:c r="D150" s="83" t="str">
        <x:v>Figura</x:v>
      </x:c>
      <x:c r="E150" s="83" t="str">
        <x:v>38</x:v>
      </x:c>
      <x:c r="F150" s="83" t="n">
        <x:v>43</x:v>
      </x:c>
      <x:c r="G150" s="83" t="n">
        <x:v>41</x:v>
      </x:c>
      <x:c r="H150" s="83" t="str">
        <x:v>5. Prospettive 2050</x:v>
      </x:c>
      <x:c r="I150" s="83" t="str">
        <x:v>Figura 38 - Progetti SMR nel mondo per tipologia30</x:v>
      </x:c>
      <x:c r="J150" s="83" t="str">
        <x:v>Contesto / metodologia</x:v>
      </x:c>
      <x:c r="K150" s="83" t="str">
        <x:v>P2 - contesto/validazione</x:v>
      </x:c>
      <x:c r="L150" s="83" t="str">
        <x:v>Figura o mappa; lettura etichette / eventuale digitalizzazione</x:v>
      </x:c>
      <x:c r="M150" s="83" t="str">
        <x:v>Medio</x:v>
      </x:c>
      <x:c r="N150" s="83" t="str">
        <x:v>Da verificare in Fase 3</x:v>
      </x:c>
    </x:row>
    <x:row r="151">
      <x:c r="A151" s="83" t="str">
        <x:v>S07-FIG-39-44</x:v>
      </x:c>
      <x:c r="B151" s="83" t="str">
        <x:v>S07</x:v>
      </x:c>
      <x:c r="C151" s="83" t="str">
        <x:v>Prospettive di Sviluppo del Sistema Energetico 2050 - Copertura della domanda elettrica</x:v>
      </x:c>
      <x:c r="D151" s="83" t="str">
        <x:v>Figura</x:v>
      </x:c>
      <x:c r="E151" s="83" t="str">
        <x:v>39</x:v>
      </x:c>
      <x:c r="F151" s="83" t="n">
        <x:v>44</x:v>
      </x:c>
      <x:c r="G151" s="83" t="n">
        <x:v>42</x:v>
      </x:c>
      <x:c r="H151" s="83" t="str">
        <x:v>5. Prospettive 2050</x:v>
      </x:c>
      <x:c r="I151" s="83" t="str">
        <x:v>Figura 39 - Prospettive di evoluzione dell’LCOE nucleare 2030 – 2050 (USD/MWh)</x:v>
      </x:c>
      <x:c r="J151" s="83" t="str">
        <x:v>Capacità e generazione; Mercato e prezzi</x:v>
      </x:c>
      <x:c r="K151" s="83" t="str">
        <x:v>P1 - input diretto/parametro</x:v>
      </x:c>
      <x:c r="L151" s="83" t="str">
        <x:v>Figura o mappa; lettura etichette / eventuale digitalizzazione</x:v>
      </x:c>
      <x:c r="M151" s="83" t="str">
        <x:v>Medio</x:v>
      </x:c>
      <x:c r="N151" s="83" t="str">
        <x:v>Da verificare in Fase 3</x:v>
      </x:c>
    </x:row>
    <x:row r="152">
      <x:c r="A152" s="83" t="str">
        <x:v>S07-FIG-40-45</x:v>
      </x:c>
      <x:c r="B152" s="83" t="str">
        <x:v>S07</x:v>
      </x:c>
      <x:c r="C152" s="83" t="str">
        <x:v>Prospettive di Sviluppo del Sistema Energetico 2050 - Copertura della domanda elettrica</x:v>
      </x:c>
      <x:c r="D152" s="83" t="str">
        <x:v>Figura</x:v>
      </x:c>
      <x:c r="E152" s="83" t="str">
        <x:v>40</x:v>
      </x:c>
      <x:c r="F152" s="83" t="n">
        <x:v>45</x:v>
      </x:c>
      <x:c r="G152" s="83" t="n">
        <x:v>43</x:v>
      </x:c>
      <x:c r="H152" s="83" t="str">
        <x:v>5. Prospettive 2050</x:v>
      </x:c>
      <x:c r="I152" s="83" t="str">
        <x:v>Figura 40 - LCOE eolico offshore: evoluzione storica e prospettica</x:v>
      </x:c>
      <x:c r="J152" s="83" t="str">
        <x:v>Capacità e generazione; Mercato e prezzi</x:v>
      </x:c>
      <x:c r="K152" s="83" t="str">
        <x:v>P1 - input diretto/parametro</x:v>
      </x:c>
      <x:c r="L152" s="83" t="str">
        <x:v>Figura o mappa; lettura etichette / eventuale digitalizzazione</x:v>
      </x:c>
      <x:c r="M152" s="83" t="str">
        <x:v>Medio</x:v>
      </x:c>
      <x:c r="N152" s="83" t="str">
        <x:v>Da verificare in Fase 3</x:v>
      </x:c>
    </x:row>
    <x:row r="153">
      <x:c r="A153" s="83" t="str">
        <x:v>S07-FIG-41-46</x:v>
      </x:c>
      <x:c r="B153" s="83" t="str">
        <x:v>S07</x:v>
      </x:c>
      <x:c r="C153" s="83" t="str">
        <x:v>Prospettive di Sviluppo del Sistema Energetico 2050 - Copertura della domanda elettrica</x:v>
      </x:c>
      <x:c r="D153" s="83" t="str">
        <x:v>Figura</x:v>
      </x:c>
      <x:c r="E153" s="83" t="str">
        <x:v>41</x:v>
      </x:c>
      <x:c r="F153" s="83" t="n">
        <x:v>46</x:v>
      </x:c>
      <x:c r="G153" s="83" t="n">
        <x:v>44</x:v>
      </x:c>
      <x:c r="H153" s="83" t="str">
        <x:v>5. Prospettive 2050</x:v>
      </x:c>
      <x:c r="I153" s="83" t="str">
        <x:v>Figura 41 - Indice di rilevanza CCUS dei settori oggetto di applicabilità del processo di cattura della CO2</x:v>
      </x:c>
      <x:c r="J153" s="83" t="str">
        <x:v>Mercato e prezzi; Emissioni e ambiente</x:v>
      </x:c>
      <x:c r="K153" s="83" t="str">
        <x:v>P1 - input diretto/parametro</x:v>
      </x:c>
      <x:c r="L153" s="83" t="str">
        <x:v>Figura o mappa; lettura etichette / eventuale digitalizzazione</x:v>
      </x:c>
      <x:c r="M153" s="83" t="str">
        <x:v>Medio</x:v>
      </x:c>
      <x:c r="N153" s="83" t="str">
        <x:v>Da verificare in Fase 3</x:v>
      </x:c>
    </x:row>
    <x:row r="154">
      <x:c r="A154" s="83" t="str">
        <x:v>S07-FIG-42-47</x:v>
      </x:c>
      <x:c r="B154" s="83" t="str">
        <x:v>S07</x:v>
      </x:c>
      <x:c r="C154" s="83" t="str">
        <x:v>Prospettive di Sviluppo del Sistema Energetico 2050 - Copertura della domanda elettrica</x:v>
      </x:c>
      <x:c r="D154" s="83" t="str">
        <x:v>Figura</x:v>
      </x:c>
      <x:c r="E154" s="83" t="str">
        <x:v>42</x:v>
      </x:c>
      <x:c r="F154" s="83" t="n">
        <x:v>47</x:v>
      </x:c>
      <x:c r="G154" s="83" t="n">
        <x:v>45</x:v>
      </x:c>
      <x:c r="H154" s="83" t="str">
        <x:v>5. Prospettive 2050</x:v>
      </x:c>
      <x:c r="I154" s="83" t="str">
        <x:v>Figura 42 - Costo di cattura (€/tCO2) per i diversi casi Studio e intervallo di confidenza sensitività</x:v>
      </x:c>
      <x:c r="J154" s="83" t="str">
        <x:v>Mercato e prezzi; Emissioni e ambiente</x:v>
      </x:c>
      <x:c r="K154" s="83" t="str">
        <x:v>P1 - input diretto/parametro</x:v>
      </x:c>
      <x:c r="L154" s="83" t="str">
        <x:v>Figura o mappa; lettura etichette / eventuale digitalizzazione</x:v>
      </x:c>
      <x:c r="M154" s="83" t="str">
        <x:v>Medio</x:v>
      </x:c>
      <x:c r="N154" s="83" t="str">
        <x:v>Da verificare in Fase 3</x:v>
      </x:c>
    </x:row>
    <x:row r="155">
      <x:c r="A155" s="83" t="str">
        <x:v>S07-FIG-43-48</x:v>
      </x:c>
      <x:c r="B155" s="83" t="str">
        <x:v>S07</x:v>
      </x:c>
      <x:c r="C155" s="83" t="str">
        <x:v>Prospettive di Sviluppo del Sistema Energetico 2050 - Copertura della domanda elettrica</x:v>
      </x:c>
      <x:c r="D155" s="83" t="str">
        <x:v>Figura</x:v>
      </x:c>
      <x:c r="E155" s="83" t="str">
        <x:v>43</x:v>
      </x:c>
      <x:c r="F155" s="83" t="n">
        <x:v>48</x:v>
      </x:c>
      <x:c r="G155" s="83" t="n">
        <x:v>46</x:v>
      </x:c>
      <x:c r="H155" s="83" t="str">
        <x:v>5. Prospettive 2050</x:v>
      </x:c>
      <x:c r="I155" s="83" t="str">
        <x:v>Figura 43 - Posizionamento delle diverse tecnologie</x:v>
      </x:c>
      <x:c r="J155" s="83" t="str">
        <x:v>Contesto / metodologia</x:v>
      </x:c>
      <x:c r="K155" s="83" t="str">
        <x:v>P2 - contesto/validazione</x:v>
      </x:c>
      <x:c r="L155" s="83" t="str">
        <x:v>Figura o mappa; lettura etichette / eventuale digitalizzazione</x:v>
      </x:c>
      <x:c r="M155" s="83" t="str">
        <x:v>Medio</x:v>
      </x:c>
      <x:c r="N155" s="83" t="str">
        <x:v>Da verificare in Fase 3</x:v>
      </x:c>
    </x:row>
    <x:row r="156">
      <x:c r="A156" s="83" t="str">
        <x:v>S07-FIG-44-50</x:v>
      </x:c>
      <x:c r="B156" s="83" t="str">
        <x:v>S07</x:v>
      </x:c>
      <x:c r="C156" s="83" t="str">
        <x:v>Prospettive di Sviluppo del Sistema Energetico 2050 - Copertura della domanda elettrica</x:v>
      </x:c>
      <x:c r="D156" s="83" t="str">
        <x:v>Figura</x:v>
      </x:c>
      <x:c r="E156" s="83" t="str">
        <x:v>44</x:v>
      </x:c>
      <x:c r="F156" s="83" t="n">
        <x:v>50</x:v>
      </x:c>
      <x:c r="G156" s="83" t="n">
        <x:v>48</x:v>
      </x:c>
      <x:c r="H156" s="83" t="str">
        <x:v>5. Prospettive 2050</x:v>
      </x:c>
      <x:c r="I156" s="83" t="str">
        <x:v>Figura 44 - LCOS di una batteria da 4h per un ciclo giornaliero, settimanale e stagionale di carica-scarica.</x:v>
      </x:c>
      <x:c r="J156" s="83" t="str">
        <x:v>Accumuli e flessibilità</x:v>
      </x:c>
      <x:c r="K156" s="83" t="str">
        <x:v>P2 - contesto/validazione</x:v>
      </x:c>
      <x:c r="L156" s="83" t="str">
        <x:v>Figura o mappa; lettura etichette / eventuale digitalizzazione</x:v>
      </x:c>
      <x:c r="M156" s="83" t="str">
        <x:v>Medio</x:v>
      </x:c>
      <x:c r="N156" s="83" t="str">
        <x:v>Da verificare in Fase 3</x:v>
      </x:c>
    </x:row>
    <x:row r="157">
      <x:c r="A157" s="83" t="str">
        <x:v>S07-TAB-3-52</x:v>
      </x:c>
      <x:c r="B157" s="83" t="str">
        <x:v>S07</x:v>
      </x:c>
      <x:c r="C157" s="83" t="str">
        <x:v>Prospettive di Sviluppo del Sistema Energetico 2050 - Copertura della domanda elettrica</x:v>
      </x:c>
      <x:c r="D157" s="83" t="str">
        <x:v>Tabella</x:v>
      </x:c>
      <x:c r="E157" s="83" t="str">
        <x:v>3</x:v>
      </x:c>
      <x:c r="F157" s="83" t="n">
        <x:v>52</x:v>
      </x:c>
      <x:c r="G157" s="83" t="n">
        <x:v>50</x:v>
      </x:c>
      <x:c r="H157" s="83" t="str">
        <x:v>5. Prospettive 2050</x:v>
      </x:c>
      <x:c r="I157" s="83" t="str">
        <x:v>Tabella 3 - Fabbisogno, consumi e produzione nazionale degli scenari 2050 contenuti nel PNIEC</x:v>
      </x:c>
      <x:c r="J157" s="83" t="str">
        <x:v>Domanda e consumi; Capacità e generazione; Scenario e metodologia</x:v>
      </x:c>
      <x:c r="K157" s="83" t="str">
        <x:v>P1 - input diretto/parametro</x:v>
      </x:c>
      <x:c r="L157" s="83" t="str">
        <x:v>Tabella testuale/PDF</x:v>
      </x:c>
      <x:c r="M157" s="83" t="str">
        <x:v>Basso</x:v>
      </x:c>
      <x:c r="N157" s="83" t="str">
        <x:v>Da verificare in Fase 3</x:v>
      </x:c>
    </x:row>
    <x:row r="158">
      <x:c r="A158" s="83" t="str">
        <x:v>S07-FIG-45-53</x:v>
      </x:c>
      <x:c r="B158" s="83" t="str">
        <x:v>S07</x:v>
      </x:c>
      <x:c r="C158" s="83" t="str">
        <x:v>Prospettive di Sviluppo del Sistema Energetico 2050 - Copertura della domanda elettrica</x:v>
      </x:c>
      <x:c r="D158" s="83" t="str">
        <x:v>Figura</x:v>
      </x:c>
      <x:c r="E158" s="83" t="str">
        <x:v>45</x:v>
      </x:c>
      <x:c r="F158" s="83" t="n">
        <x:v>53</x:v>
      </x:c>
      <x:c r="G158" s="83" t="n">
        <x:v>51</x:v>
      </x:c>
      <x:c r="H158" s="83" t="str">
        <x:v>5. Prospettive 2050</x:v>
      </x:c>
      <x:c r="I158" s="83" t="str">
        <x:v>Figura 45 - Drivers di evoluzione del fabbisogno elettrico al 2050</x:v>
      </x:c>
      <x:c r="J158" s="83" t="str">
        <x:v>Domanda e consumi</x:v>
      </x:c>
      <x:c r="K158" s="83" t="str">
        <x:v>P1 - input diretto/parametro</x:v>
      </x:c>
      <x:c r="L158" s="83" t="str">
        <x:v>Figura o mappa; lettura etichette / eventuale digitalizzazione</x:v>
      </x:c>
      <x:c r="M158" s="83" t="str">
        <x:v>Medio</x:v>
      </x:c>
      <x:c r="N158" s="83" t="str">
        <x:v>Da verificare in Fase 3</x:v>
      </x:c>
    </x:row>
    <x:row r="159">
      <x:c r="A159" s="83" t="str">
        <x:v>S07-FIG-46-54</x:v>
      </x:c>
      <x:c r="B159" s="83" t="str">
        <x:v>S07</x:v>
      </x:c>
      <x:c r="C159" s="83" t="str">
        <x:v>Prospettive di Sviluppo del Sistema Energetico 2050 - Copertura della domanda elettrica</x:v>
      </x:c>
      <x:c r="D159" s="83" t="str">
        <x:v>Figura</x:v>
      </x:c>
      <x:c r="E159" s="83" t="str">
        <x:v>46</x:v>
      </x:c>
      <x:c r="F159" s="83" t="n">
        <x:v>54</x:v>
      </x:c>
      <x:c r="G159" s="83" t="n">
        <x:v>52</x:v>
      </x:c>
      <x:c r="H159" s="83" t="str">
        <x:v>5. Prospettive 2050</x:v>
      </x:c>
      <x:c r="I159" s="83" t="str">
        <x:v>Figura 46 - Distribuzione mensile (%) del fabbisogno elettrico (2024 vs 2050)</x:v>
      </x:c>
      <x:c r="J159" s="83" t="str">
        <x:v>Domanda e consumi</x:v>
      </x:c>
      <x:c r="K159" s="83" t="str">
        <x:v>P1 - input diretto/parametro</x:v>
      </x:c>
      <x:c r="L159" s="83" t="str">
        <x:v>Figura o mappa; lettura etichette / eventuale digitalizzazione</x:v>
      </x:c>
      <x:c r="M159" s="83" t="str">
        <x:v>Medio</x:v>
      </x:c>
      <x:c r="N159" s="83" t="str">
        <x:v>Da verificare in Fase 3</x:v>
      </x:c>
    </x:row>
    <x:row r="160">
      <x:c r="A160" s="83" t="str">
        <x:v>S07-FIG-47-55</x:v>
      </x:c>
      <x:c r="B160" s="83" t="str">
        <x:v>S07</x:v>
      </x:c>
      <x:c r="C160" s="83" t="str">
        <x:v>Prospettive di Sviluppo del Sistema Energetico 2050 - Copertura della domanda elettrica</x:v>
      </x:c>
      <x:c r="D160" s="83" t="str">
        <x:v>Figura</x:v>
      </x:c>
      <x:c r="E160" s="83" t="str">
        <x:v>47</x:v>
      </x:c>
      <x:c r="F160" s="83" t="n">
        <x:v>55</x:v>
      </x:c>
      <x:c r="G160" s="83" t="n">
        <x:v>53</x:v>
      </x:c>
      <x:c r="H160" s="83" t="str">
        <x:v>5. Prospettive 2050</x:v>
      </x:c>
      <x:c r="I160" s="83" t="str">
        <x:v>Figura 47 - Producibilità media oraria mensile di eolico e fotovoltaico in Italia</x:v>
      </x:c>
      <x:c r="J160" s="83" t="str">
        <x:v>Capacità e generazione</x:v>
      </x:c>
      <x:c r="K160" s="83" t="str">
        <x:v>P2 - contesto/validazione</x:v>
      </x:c>
      <x:c r="L160" s="83" t="str">
        <x:v>Figura o mappa; lettura etichette / eventuale digitalizzazione</x:v>
      </x:c>
      <x:c r="M160" s="83" t="str">
        <x:v>Medio</x:v>
      </x:c>
      <x:c r="N160" s="83" t="str">
        <x:v>Da verificare in Fase 3</x:v>
      </x:c>
    </x:row>
    <x:row r="161">
      <x:c r="A161" s="83" t="str">
        <x:v>S07-FIG-48-56</x:v>
      </x:c>
      <x:c r="B161" s="83" t="str">
        <x:v>S07</x:v>
      </x:c>
      <x:c r="C161" s="83" t="str">
        <x:v>Prospettive di Sviluppo del Sistema Energetico 2050 - Copertura della domanda elettrica</x:v>
      </x:c>
      <x:c r="D161" s="83" t="str">
        <x:v>Figura</x:v>
      </x:c>
      <x:c r="E161" s="83" t="str">
        <x:v>48</x:v>
      </x:c>
      <x:c r="F161" s="83" t="n">
        <x:v>56</x:v>
      </x:c>
      <x:c r="G161" s="83" t="n">
        <x:v>54</x:v>
      </x:c>
      <x:c r="H161" s="83" t="str">
        <x:v>5. Prospettive 2050</x:v>
      </x:c>
      <x:c r="I161" s="83" t="str">
        <x:v>Figura 48 - Evoluzione del costo di integrazione della produzione rinnovabile in uno scenario 2050</x:v>
      </x:c>
      <x:c r="J161" s="83" t="str">
        <x:v>Scenario e metodologia</x:v>
      </x:c>
      <x:c r="K161" s="83" t="str">
        <x:v>P2 - contesto/validazione</x:v>
      </x:c>
      <x:c r="L161" s="83" t="str">
        <x:v>Figura o mappa; lettura etichette / eventuale digitalizzazione</x:v>
      </x:c>
      <x:c r="M161" s="83" t="str">
        <x:v>Medio</x:v>
      </x:c>
      <x:c r="N161" s="83" t="str">
        <x:v>Da verificare in Fase 3</x:v>
      </x:c>
    </x:row>
    <x:row r="162">
      <x:c r="A162" s="83" t="str">
        <x:v>S07-TAB-4-58</x:v>
      </x:c>
      <x:c r="B162" s="83" t="str">
        <x:v>S07</x:v>
      </x:c>
      <x:c r="C162" s="83" t="str">
        <x:v>Prospettive di Sviluppo del Sistema Energetico 2050 - Copertura della domanda elettrica</x:v>
      </x:c>
      <x:c r="D162" s="83" t="str">
        <x:v>Tabella</x:v>
      </x:c>
      <x:c r="E162" s="83" t="str">
        <x:v>4</x:v>
      </x:c>
      <x:c r="F162" s="83" t="n">
        <x:v>58</x:v>
      </x:c>
      <x:c r="G162" s="83" t="n">
        <x:v>56</x:v>
      </x:c>
      <x:c r="H162" s="83" t="str">
        <x:v>5. Prospettive 2050</x:v>
      </x:c>
      <x:c r="I162" s="83" t="str">
        <x:v>Tabella 4 - Installato FER e accumuli negli scenari 2050</x:v>
      </x:c>
      <x:c r="J162" s="83" t="str">
        <x:v>Capacità e generazione; Accumuli e flessibilità</x:v>
      </x:c>
      <x:c r="K162" s="83" t="str">
        <x:v>P1 - input diretto/parametro</x:v>
      </x:c>
      <x:c r="L162" s="83" t="str">
        <x:v>Tabella testuale/PDF</x:v>
      </x:c>
      <x:c r="M162" s="83" t="str">
        <x:v>Basso</x:v>
      </x:c>
      <x:c r="N162" s="83" t="str">
        <x:v>Da verificare in Fase 3</x:v>
      </x:c>
    </x:row>
    <x:row r="163">
      <x:c r="A163" s="83" t="str">
        <x:v>S07-FIG-49-58</x:v>
      </x:c>
      <x:c r="B163" s="83" t="str">
        <x:v>S07</x:v>
      </x:c>
      <x:c r="C163" s="83" t="str">
        <x:v>Prospettive di Sviluppo del Sistema Energetico 2050 - Copertura della domanda elettrica</x:v>
      </x:c>
      <x:c r="D163" s="83" t="str">
        <x:v>Figura</x:v>
      </x:c>
      <x:c r="E163" s="83" t="str">
        <x:v>49</x:v>
      </x:c>
      <x:c r="F163" s="83" t="n">
        <x:v>58</x:v>
      </x:c>
      <x:c r="G163" s="83" t="n">
        <x:v>56</x:v>
      </x:c>
      <x:c r="H163" s="83" t="str">
        <x:v>5. Prospettive 2050</x:v>
      </x:c>
      <x:c r="I163" s="83" t="str">
        <x:v>Figura 49 - Beneficio netto di sistema e ovegeneration in funzione del dimensionamento degli accumuli</x:v>
      </x:c>
      <x:c r="J163" s="83" t="str">
        <x:v>Accumuli e flessibilità</x:v>
      </x:c>
      <x:c r="K163" s="83" t="str">
        <x:v>P1 - input diretto/parametro</x:v>
      </x:c>
      <x:c r="L163" s="83" t="str">
        <x:v>Figura o mappa; lettura etichette / eventuale digitalizzazione</x:v>
      </x:c>
      <x:c r="M163" s="83" t="str">
        <x:v>Medio</x:v>
      </x:c>
      <x:c r="N163" s="83" t="str">
        <x:v>Da verificare in Fase 3</x:v>
      </x:c>
    </x:row>
    <x:row r="164">
      <x:c r="A164" s="83" t="str">
        <x:v>S07-TAB-5-59</x:v>
      </x:c>
      <x:c r="B164" s="83" t="str">
        <x:v>S07</x:v>
      </x:c>
      <x:c r="C164" s="83" t="str">
        <x:v>Prospettive di Sviluppo del Sistema Energetico 2050 - Copertura della domanda elettrica</x:v>
      </x:c>
      <x:c r="D164" s="83" t="str">
        <x:v>Tabella</x:v>
      </x:c>
      <x:c r="E164" s="83" t="str">
        <x:v>5</x:v>
      </x:c>
      <x:c r="F164" s="83" t="n">
        <x:v>59</x:v>
      </x:c>
      <x:c r="G164" s="83" t="n">
        <x:v>57</x:v>
      </x:c>
      <x:c r="H164" s="83" t="str">
        <x:v>5. Prospettive 2050</x:v>
      </x:c>
      <x:c r="I164" s="83" t="str">
        <x:v>Tabella 5 - Bilancio elettrico annuale 2050</x:v>
      </x:c>
      <x:c r="J164" s="83" t="str">
        <x:v>Scenario e metodologia</x:v>
      </x:c>
      <x:c r="K164" s="83" t="str">
        <x:v>P1 - input diretto/parametro</x:v>
      </x:c>
      <x:c r="L164" s="83" t="str">
        <x:v>Tabella testuale/PDF</x:v>
      </x:c>
      <x:c r="M164" s="83" t="str">
        <x:v>Basso</x:v>
      </x:c>
      <x:c r="N164" s="83" t="str">
        <x:v>Da verificare in Fase 3</x:v>
      </x:c>
    </x:row>
    <x:row r="165">
      <x:c r="A165" s="83" t="str">
        <x:v>S07-FIG-50-60</x:v>
      </x:c>
      <x:c r="B165" s="83" t="str">
        <x:v>S07</x:v>
      </x:c>
      <x:c r="C165" s="83" t="str">
        <x:v>Prospettive di Sviluppo del Sistema Energetico 2050 - Copertura della domanda elettrica</x:v>
      </x:c>
      <x:c r="D165" s="83" t="str">
        <x:v>Figura</x:v>
      </x:c>
      <x:c r="E165" s="83" t="str">
        <x:v>50</x:v>
      </x:c>
      <x:c r="F165" s="83" t="n">
        <x:v>60</x:v>
      </x:c>
      <x:c r="G165" s="83" t="n">
        <x:v>58</x:v>
      </x:c>
      <x:c r="H165" s="83" t="str">
        <x:v>5. Prospettive 2050</x:v>
      </x:c>
      <x:c r="I165" s="83" t="str">
        <x:v>Figura 50 - Bilancio elettrico mensile 2050</x:v>
      </x:c>
      <x:c r="J165" s="83" t="str">
        <x:v>Scenario e metodologia</x:v>
      </x:c>
      <x:c r="K165" s="83" t="str">
        <x:v>P1 - input diretto/parametro</x:v>
      </x:c>
      <x:c r="L165" s="83" t="str">
        <x:v>Figura o mappa; lettura etichette / eventuale digitalizzazione</x:v>
      </x:c>
      <x:c r="M165" s="83" t="str">
        <x:v>Medio</x:v>
      </x:c>
      <x:c r="N165" s="83" t="str">
        <x:v>Da verificare in Fase 3</x:v>
      </x:c>
    </x:row>
    <x:row r="166">
      <x:c r="A166" s="83" t="str">
        <x:v>S07-FIG-51-61</x:v>
      </x:c>
      <x:c r="B166" s="83" t="str">
        <x:v>S07</x:v>
      </x:c>
      <x:c r="C166" s="83" t="str">
        <x:v>Prospettive di Sviluppo del Sistema Energetico 2050 - Copertura della domanda elettrica</x:v>
      </x:c>
      <x:c r="D166" s="83" t="str">
        <x:v>Figura</x:v>
      </x:c>
      <x:c r="E166" s="83" t="str">
        <x:v>51</x:v>
      </x:c>
      <x:c r="F166" s="83" t="n">
        <x:v>61</x:v>
      </x:c>
      <x:c r="G166" s="83" t="n">
        <x:v>59</x:v>
      </x:c>
      <x:c r="H166" s="83" t="str">
        <x:v>5. Prospettive 2050</x:v>
      </x:c>
      <x:c r="I166" s="83" t="str">
        <x:v>Figura 51 - Compensazione della quota di produzione nucleare in assenza di questa tecnologia</x:v>
      </x:c>
      <x:c r="J166" s="83" t="str">
        <x:v>Capacità e generazione</x:v>
      </x:c>
      <x:c r="K166" s="83" t="str">
        <x:v>P2 - contesto/validazione</x:v>
      </x:c>
      <x:c r="L166" s="83" t="str">
        <x:v>Figura o mappa; lettura etichette / eventuale digitalizzazione</x:v>
      </x:c>
      <x:c r="M166" s="83" t="str">
        <x:v>Medio</x:v>
      </x:c>
      <x:c r="N166" s="83" t="str">
        <x:v>Da verificare in Fase 3</x:v>
      </x:c>
    </x:row>
    <x:row r="167">
      <x:c r="A167" s="83" t="str">
        <x:v>S07-FIG-52-62</x:v>
      </x:c>
      <x:c r="B167" s="83" t="str">
        <x:v>S07</x:v>
      </x:c>
      <x:c r="C167" s="83" t="str">
        <x:v>Prospettive di Sviluppo del Sistema Energetico 2050 - Copertura della domanda elettrica</x:v>
      </x:c>
      <x:c r="D167" s="83" t="str">
        <x:v>Figura</x:v>
      </x:c>
      <x:c r="E167" s="83" t="str">
        <x:v>52</x:v>
      </x:c>
      <x:c r="F167" s="83" t="n">
        <x:v>62</x:v>
      </x:c>
      <x:c r="G167" s="83" t="n">
        <x:v>60</x:v>
      </x:c>
      <x:c r="H167" s="83" t="str">
        <x:v>5. Prospettive 2050</x:v>
      </x:c>
      <x:c r="I167" s="83" t="str">
        <x:v>Figura 52 - Andamento illustrativo dei benefici netti al crescere della capacità di accumulo</x:v>
      </x:c>
      <x:c r="J167" s="83" t="str">
        <x:v>Accumuli e flessibilità</x:v>
      </x:c>
      <x:c r="K167" s="83" t="str">
        <x:v>P1 - input diretto/parametro</x:v>
      </x:c>
      <x:c r="L167" s="83" t="str">
        <x:v>Figura o mappa; lettura etichette / eventuale digitalizzazione</x:v>
      </x:c>
      <x:c r="M167" s="83" t="str">
        <x:v>Medio</x:v>
      </x:c>
      <x:c r="N167" s="83" t="str">
        <x:v>Da verificare in Fase 3</x:v>
      </x:c>
    </x:row>
    <x:row r="168">
      <x:c r="A168" s="83" t="str">
        <x:v>S07-FIG-53-63</x:v>
      </x:c>
      <x:c r="B168" s="83" t="str">
        <x:v>S07</x:v>
      </x:c>
      <x:c r="C168" s="83" t="str">
        <x:v>Prospettive di Sviluppo del Sistema Energetico 2050 - Copertura della domanda elettrica</x:v>
      </x:c>
      <x:c r="D168" s="83" t="str">
        <x:v>Figura</x:v>
      </x:c>
      <x:c r="E168" s="83" t="str">
        <x:v>53</x:v>
      </x:c>
      <x:c r="F168" s="83" t="n">
        <x:v>63</x:v>
      </x:c>
      <x:c r="G168" s="83" t="n">
        <x:v>61</x:v>
      </x:c>
      <x:c r="H168" s="83" t="str">
        <x:v>5. Prospettive 2050</x:v>
      </x:c>
      <x:c r="I168" s="83" t="str">
        <x:v>Figura 53 - Curva di durata del carico residuo al 2050</x:v>
      </x:c>
      <x:c r="J168" s="83" t="str">
        <x:v>Domanda e consumi; Accumuli e flessibilità</x:v>
      </x:c>
      <x:c r="K168" s="83" t="str">
        <x:v>P1 - input diretto/parametro</x:v>
      </x:c>
      <x:c r="L168" s="83" t="str">
        <x:v>Figura o mappa; lettura etichette / eventuale digitalizzazione</x:v>
      </x:c>
      <x:c r="M168" s="83" t="str">
        <x:v>Medio</x:v>
      </x:c>
      <x:c r="N168" s="83" t="str">
        <x:v>Da verificare in Fase 3</x:v>
      </x:c>
    </x:row>
    <x:row r="169">
      <x:c r="A169" s="83" t="str">
        <x:v>S07-FIG-54-64</x:v>
      </x:c>
      <x:c r="B169" s="83" t="str">
        <x:v>S07</x:v>
      </x:c>
      <x:c r="C169" s="83" t="str">
        <x:v>Prospettive di Sviluppo del Sistema Energetico 2050 - Copertura della domanda elettrica</x:v>
      </x:c>
      <x:c r="D169" s="83" t="str">
        <x:v>Figura</x:v>
      </x:c>
      <x:c r="E169" s="83" t="str">
        <x:v>54</x:v>
      </x:c>
      <x:c r="F169" s="83" t="n">
        <x:v>64</x:v>
      </x:c>
      <x:c r="G169" s="83" t="n">
        <x:v>62</x:v>
      </x:c>
      <x:c r="H169" s="83" t="str">
        <x:v>5. Prospettive 2050</x:v>
      </x:c>
      <x:c r="I169" s="83" t="str">
        <x:v>Figura 54 - Evoluzione del parco di generazione installata al 2050</x:v>
      </x:c>
      <x:c r="J169" s="83" t="str">
        <x:v>Capacità e generazione</x:v>
      </x:c>
      <x:c r="K169" s="83" t="str">
        <x:v>P2 - contesto/validazione</x:v>
      </x:c>
      <x:c r="L169" s="83" t="str">
        <x:v>Figura o mappa; lettura etichette / eventuale digitalizzazione</x:v>
      </x:c>
      <x:c r="M169" s="83" t="str">
        <x:v>Medio</x:v>
      </x:c>
      <x:c r="N169" s="83" t="str">
        <x:v>Da verificare in Fase 3</x:v>
      </x:c>
    </x:row>
    <x:row r="170">
      <x:c r="A170" s="83" t="str">
        <x:v>S07-FIG-55-65</x:v>
      </x:c>
      <x:c r="B170" s="83" t="str">
        <x:v>S07</x:v>
      </x:c>
      <x:c r="C170" s="83" t="str">
        <x:v>Prospettive di Sviluppo del Sistema Energetico 2050 - Copertura della domanda elettrica</x:v>
      </x:c>
      <x:c r="D170" s="83" t="str">
        <x:v>Figura</x:v>
      </x:c>
      <x:c r="E170" s="83" t="str">
        <x:v>55</x:v>
      </x:c>
      <x:c r="F170" s="83" t="n">
        <x:v>65</x:v>
      </x:c>
      <x:c r="G170" s="83" t="n">
        <x:v>63</x:v>
      </x:c>
      <x:c r="H170" s="83" t="str">
        <x:v>5. Prospettive 2050</x:v>
      </x:c>
      <x:c r="I170" s="83" t="str">
        <x:v>Figura 55 - Capacità installata vs Capacità Disponibile in Probabilità (CDP) al 2050</x:v>
      </x:c>
      <x:c r="J170" s="83" t="str">
        <x:v>Capacità e generazione</x:v>
      </x:c>
      <x:c r="K170" s="83" t="str">
        <x:v>P1 - input diretto/parametro</x:v>
      </x:c>
      <x:c r="L170" s="83" t="str">
        <x:v>Figura o mappa; lettura etichette / eventuale digitalizzazione</x:v>
      </x:c>
      <x:c r="M170" s="83" t="str">
        <x:v>Medio</x:v>
      </x:c>
      <x:c r="N170" s="83" t="str">
        <x:v>Da verificare in Fase 3</x:v>
      </x:c>
    </x:row>
    <x:row r="171">
      <x:c r="A171" s="83" t="str">
        <x:v>S07-FIG-56-66</x:v>
      </x:c>
      <x:c r="B171" s="83" t="str">
        <x:v>S07</x:v>
      </x:c>
      <x:c r="C171" s="83" t="str">
        <x:v>Prospettive di Sviluppo del Sistema Energetico 2050 - Copertura della domanda elettrica</x:v>
      </x:c>
      <x:c r="D171" s="83" t="str">
        <x:v>Figura</x:v>
      </x:c>
      <x:c r="E171" s="83" t="str">
        <x:v>56</x:v>
      </x:c>
      <x:c r="F171" s="83" t="n">
        <x:v>66</x:v>
      </x:c>
      <x:c r="G171" s="83" t="n">
        <x:v>64</x:v>
      </x:c>
      <x:c r="H171" s="83" t="str">
        <x:v>5. Prospettive 2050</x:v>
      </x:c>
      <x:c r="I171" s="83" t="str">
        <x:v>Figura 56 - Carico residuo vs carico residuo programmabile con accumuli al 2050</x:v>
      </x:c>
      <x:c r="J171" s="83" t="str">
        <x:v>Domanda e consumi; Accumuli e flessibilità</x:v>
      </x:c>
      <x:c r="K171" s="83" t="str">
        <x:v>P1 - input diretto/parametro</x:v>
      </x:c>
      <x:c r="L171" s="83" t="str">
        <x:v>Figura o mappa; lettura etichette / eventuale digitalizzazione</x:v>
      </x:c>
      <x:c r="M171" s="83" t="str">
        <x:v>Medio</x:v>
      </x:c>
      <x:c r="N171" s="83" t="str">
        <x:v>Da verificare in Fase 3</x:v>
      </x:c>
    </x:row>
    <x:row r="172">
      <x:c r="A172" s="83" t="str">
        <x:v>S07-FIG-57-67</x:v>
      </x:c>
      <x:c r="B172" s="83" t="str">
        <x:v>S07</x:v>
      </x:c>
      <x:c r="C172" s="83" t="str">
        <x:v>Prospettive di Sviluppo del Sistema Energetico 2050 - Copertura della domanda elettrica</x:v>
      </x:c>
      <x:c r="D172" s="83" t="str">
        <x:v>Figura</x:v>
      </x:c>
      <x:c r="E172" s="83" t="str">
        <x:v>57</x:v>
      </x:c>
      <x:c r="F172" s="83" t="n">
        <x:v>67</x:v>
      </x:c>
      <x:c r="G172" s="83" t="n">
        <x:v>65</x:v>
      </x:c>
      <x:c r="H172" s="83" t="str">
        <x:v>5. Prospettive 2050</x:v>
      </x:c>
      <x:c r="I172" s="83" t="str">
        <x:v>Figura 57 - Flexibility index su diverse scale temporali al 2023, 2030, 2040 e 2050 valorizzando a</x:v>
      </x:c>
      <x:c r="J172" s="83" t="str">
        <x:v>Accumuli e flessibilità</x:v>
      </x:c>
      <x:c r="K172" s="83" t="str">
        <x:v>P2 - contesto/validazione</x:v>
      </x:c>
      <x:c r="L172" s="83" t="str">
        <x:v>Figura o mappa; lettura etichette / eventuale digitalizzazione</x:v>
      </x:c>
      <x:c r="M172" s="83" t="str">
        <x:v>Medio</x:v>
      </x:c>
      <x:c r="N172" s="83" t="str">
        <x:v>Da verificare in Fase 3</x:v>
      </x:c>
    </x:row>
    <x:row r="173">
      <x:c r="A173" s="83" t="str">
        <x:v>S07-FIG-58-68</x:v>
      </x:c>
      <x:c r="B173" s="83" t="str">
        <x:v>S07</x:v>
      </x:c>
      <x:c r="C173" s="83" t="str">
        <x:v>Prospettive di Sviluppo del Sistema Energetico 2050 - Copertura della domanda elettrica</x:v>
      </x:c>
      <x:c r="D173" s="83" t="str">
        <x:v>Figura</x:v>
      </x:c>
      <x:c r="E173" s="83" t="str">
        <x:v>58</x:v>
      </x:c>
      <x:c r="F173" s="83" t="n">
        <x:v>68</x:v>
      </x:c>
      <x:c r="G173" s="83" t="n">
        <x:v>66</x:v>
      </x:c>
      <x:c r="H173" s="83" t="str">
        <x:v>5. Prospettive 2050</x:v>
      </x:c>
      <x:c r="I173" s="83" t="str">
        <x:v>Figura 58 - Copertura dei Daily Flexibility Needs per tecnologia (2023, 2050)</x:v>
      </x:c>
      <x:c r="J173" s="83" t="str">
        <x:v>Accumuli e flessibilità</x:v>
      </x:c>
      <x:c r="K173" s="83" t="str">
        <x:v>P2 - contesto/validazione</x:v>
      </x:c>
      <x:c r="L173" s="83" t="str">
        <x:v>Figura o mappa; lettura etichette / eventuale digitalizzazione</x:v>
      </x:c>
      <x:c r="M173" s="83" t="str">
        <x:v>Medio</x:v>
      </x:c>
      <x:c r="N173" s="83" t="str">
        <x:v>Da verificare in Fase 3</x:v>
      </x:c>
    </x:row>
    <x:row r="174">
      <x:c r="A174" s="83" t="str">
        <x:v>S07-FIG-59-69</x:v>
      </x:c>
      <x:c r="B174" s="83" t="str">
        <x:v>S07</x:v>
      </x:c>
      <x:c r="C174" s="83" t="str">
        <x:v>Prospettive di Sviluppo del Sistema Energetico 2050 - Copertura della domanda elettrica</x:v>
      </x:c>
      <x:c r="D174" s="83" t="str">
        <x:v>Figura</x:v>
      </x:c>
      <x:c r="E174" s="83" t="str">
        <x:v>59</x:v>
      </x:c>
      <x:c r="F174" s="83" t="n">
        <x:v>69</x:v>
      </x:c>
      <x:c r="G174" s="83" t="n">
        <x:v>67</x:v>
      </x:c>
      <x:c r="H174" s="83" t="str">
        <x:v>5. Prospettive 2050</x:v>
      </x:c>
      <x:c r="I174" s="83" t="str">
        <x:v>Figura 59 - Copertura dei Monthly Flexibility Needs per tecnologia (2023, 2050)</x:v>
      </x:c>
      <x:c r="J174" s="83" t="str">
        <x:v>Accumuli e flessibilità</x:v>
      </x:c>
      <x:c r="K174" s="83" t="str">
        <x:v>P2 - contesto/validazione</x:v>
      </x:c>
      <x:c r="L174" s="83" t="str">
        <x:v>Figura o mappa; lettura etichette / eventuale digitalizzazione</x:v>
      </x:c>
      <x:c r="M174" s="83" t="str">
        <x:v>Medio</x:v>
      </x:c>
      <x:c r="N174" s="83" t="str">
        <x:v>Da verificare in Fase 3</x:v>
      </x:c>
    </x:row>
    <x:row r="175">
      <x:c r="A175" s="83" t="str">
        <x:v>S07-FIG-60-70</x:v>
      </x:c>
      <x:c r="B175" s="83" t="str">
        <x:v>S07</x:v>
      </x:c>
      <x:c r="C175" s="83" t="str">
        <x:v>Prospettive di Sviluppo del Sistema Energetico 2050 - Copertura della domanda elettrica</x:v>
      </x:c>
      <x:c r="D175" s="83" t="str">
        <x:v>Figura</x:v>
      </x:c>
      <x:c r="E175" s="83" t="str">
        <x:v>60</x:v>
      </x:c>
      <x:c r="F175" s="83" t="n">
        <x:v>70</x:v>
      </x:c>
      <x:c r="G175" s="83" t="n">
        <x:v>68</x:v>
      </x:c>
      <x:c r="H175" s="83" t="str">
        <x:v>5. Prospettive 2050</x:v>
      </x:c>
      <x:c r="I175" s="83" t="str">
        <x:v>Figura 60 - Valori del carico residuo al 2050 per una domenica primaverile</x:v>
      </x:c>
      <x:c r="J175" s="83" t="str">
        <x:v>Domanda e consumi; Accumuli e flessibilità</x:v>
      </x:c>
      <x:c r="K175" s="83" t="str">
        <x:v>P1 - input diretto/parametro</x:v>
      </x:c>
      <x:c r="L175" s="83" t="str">
        <x:v>Figura o mappa; lettura etichette / eventuale digitalizzazione</x:v>
      </x:c>
      <x:c r="M175" s="83" t="str">
        <x:v>Medio</x:v>
      </x:c>
      <x:c r="N175" s="83" t="str">
        <x:v>Da verificare in Fase 3</x:v>
      </x:c>
    </x:row>
    <x:row r="176">
      <x:c r="A176" s="83" t="str">
        <x:v>S03-FIG-1-11</x:v>
      </x:c>
      <x:c r="B176" s="83" t="str">
        <x:v>S03</x:v>
      </x:c>
      <x:c r="C176" s="83" t="str">
        <x:v>Benefici di sistema e analisi robustezza rete</x:v>
      </x:c>
      <x:c r="D176" s="83" t="str">
        <x:v>Figura</x:v>
      </x:c>
      <x:c r="E176" s="83" t="str">
        <x:v>1</x:v>
      </x:c>
      <x:c r="F176" s="83" t="n">
        <x:v>11</x:v>
      </x:c>
      <x:c r="G176" s="83" t="n">
        <x:v>9</x:v>
      </x:c>
      <x:c r="H176" s="83" t="str">
        <x:v>1. Impatto degli sviluppi di rete</x:v>
      </x:c>
      <x:c r="I176" s="83" t="str">
        <x:v>Figura 1 Ore di congestione nei diversi scenari con e senza interventi PdS</x:v>
      </x:c>
      <x:c r="J176" s="83" t="str">
        <x:v>Contesto / metodologia</x:v>
      </x:c>
      <x:c r="K176" s="83" t="str">
        <x:v>P2 - contesto/validazione</x:v>
      </x:c>
      <x:c r="L176" s="83" t="str">
        <x:v>Figura o mappa; lettura etichette / eventuale digitalizzazione</x:v>
      </x:c>
      <x:c r="M176" s="83" t="str">
        <x:v>Medio</x:v>
      </x:c>
      <x:c r="N176" s="83" t="str">
        <x:v>Da verificare in Fase 3</x:v>
      </x:c>
    </x:row>
    <x:row r="177">
      <x:c r="A177" s="83" t="str">
        <x:v>S03-FIG-2-16</x:v>
      </x:c>
      <x:c r="B177" s="83" t="str">
        <x:v>S03</x:v>
      </x:c>
      <x:c r="C177" s="83" t="str">
        <x:v>Benefici di sistema e analisi robustezza rete</x:v>
      </x:c>
      <x:c r="D177" s="83" t="str">
        <x:v>Figura</x:v>
      </x:c>
      <x:c r="E177" s="83" t="str">
        <x:v>2</x:v>
      </x:c>
      <x:c r="F177" s="83" t="n">
        <x:v>16</x:v>
      </x:c>
      <x:c r="G177" s="83" t="n">
        <x:v>14</x:v>
      </x:c>
      <x:c r="H177" s="83" t="str">
        <x:v>2. Incremento capacità di trasporto</x:v>
      </x:c>
      <x:c r="I177" s="83" t="str">
        <x:v>Figura 2 Mappa interventi di sviluppo interzonali e interconnessioni con l’estero</x:v>
      </x:c>
      <x:c r="J177" s="83" t="str">
        <x:v>Trasmissione e interconnessioni</x:v>
      </x:c>
      <x:c r="K177" s="83" t="str">
        <x:v>P1 - input diretto/parametro</x:v>
      </x:c>
      <x:c r="L177" s="83" t="str">
        <x:v>Figura o mappa; lettura etichette / eventuale digitalizzazione</x:v>
      </x:c>
      <x:c r="M177" s="83" t="str">
        <x:v>Medio</x:v>
      </x:c>
      <x:c r="N177" s="83" t="str">
        <x:v>Da verificare in Fase 3</x:v>
      </x:c>
    </x:row>
    <x:row r="178">
      <x:c r="A178" s="83" t="str">
        <x:v>S03-TAB-1-17</x:v>
      </x:c>
      <x:c r="B178" s="83" t="str">
        <x:v>S03</x:v>
      </x:c>
      <x:c r="C178" s="83" t="str">
        <x:v>Benefici di sistema e analisi robustezza rete</x:v>
      </x:c>
      <x:c r="D178" s="83" t="str">
        <x:v>Tabella</x:v>
      </x:c>
      <x:c r="E178" s="83" t="str">
        <x:v>1</x:v>
      </x:c>
      <x:c r="F178" s="83" t="n">
        <x:v>17</x:v>
      </x:c>
      <x:c r="G178" s="83" t="n">
        <x:v>15</x:v>
      </x:c>
      <x:c r="H178" s="83" t="str">
        <x:v>2. Incremento capacità di trasporto</x:v>
      </x:c>
      <x:c r="I178" s="83" t="str">
        <x:v>Tabella 1 Interconnessioni previsionali alla frontiera</x:v>
      </x:c>
      <x:c r="J178" s="83" t="str">
        <x:v>Trasmissione e interconnessioni</x:v>
      </x:c>
      <x:c r="K178" s="83" t="str">
        <x:v>P1 - input diretto/parametro</x:v>
      </x:c>
      <x:c r="L178" s="83" t="str">
        <x:v>Tabella testuale/PDF</x:v>
      </x:c>
      <x:c r="M178" s="83" t="str">
        <x:v>Basso</x:v>
      </x:c>
      <x:c r="N178" s="83" t="str">
        <x:v>Da verificare in Fase 3</x:v>
      </x:c>
    </x:row>
    <x:row r="179">
      <x:c r="A179" s="83" t="str">
        <x:v>S03-TAB-2-18</x:v>
      </x:c>
      <x:c r="B179" s="83" t="str">
        <x:v>S03</x:v>
      </x:c>
      <x:c r="C179" s="83" t="str">
        <x:v>Benefici di sistema e analisi robustezza rete</x:v>
      </x:c>
      <x:c r="D179" s="83" t="str">
        <x:v>Tabella</x:v>
      </x:c>
      <x:c r="E179" s="83" t="str">
        <x:v>2</x:v>
      </x:c>
      <x:c r="F179" s="83" t="n">
        <x:v>18</x:v>
      </x:c>
      <x:c r="G179" s="83" t="n">
        <x:v>16</x:v>
      </x:c>
      <x:c r="H179" s="83" t="str">
        <x:v>2. Incremento capacità di trasporto</x:v>
      </x:c>
      <x:c r="I179" s="83" t="str">
        <x:v>Tabella 2 Interventi di sviluppo interzonali</x:v>
      </x:c>
      <x:c r="J179" s="83" t="str">
        <x:v>Contesto / metodologia</x:v>
      </x:c>
      <x:c r="K179" s="83" t="str">
        <x:v>P2 - contesto/validazione</x:v>
      </x:c>
      <x:c r="L179" s="83" t="str">
        <x:v>Tabella testuale/PDF</x:v>
      </x:c>
      <x:c r="M179" s="83" t="str">
        <x:v>Basso</x:v>
      </x:c>
      <x:c r="N179" s="83" t="str">
        <x:v>Da verificare in Fase 3</x:v>
      </x:c>
    </x:row>
    <x:row r="180">
      <x:c r="A180" s="83" t="str">
        <x:v>S03-FIG-3-19</x:v>
      </x:c>
      <x:c r="B180" s="83" t="str">
        <x:v>S03</x:v>
      </x:c>
      <x:c r="C180" s="83" t="str">
        <x:v>Benefici di sistema e analisi robustezza rete</x:v>
      </x:c>
      <x:c r="D180" s="83" t="str">
        <x:v>Figura</x:v>
      </x:c>
      <x:c r="E180" s="83" t="str">
        <x:v>3</x:v>
      </x:c>
      <x:c r="F180" s="83" t="n">
        <x:v>19</x:v>
      </x:c>
      <x:c r="G180" s="83" t="n">
        <x:v>17</x:v>
      </x:c>
      <x:c r="H180" s="83" t="str">
        <x:v>3. Adeguatezza</x:v>
      </x:c>
      <x:c r="I180" s="83" t="str">
        <x:v>Figura 3 Limiti di scambio interni previsionali</x:v>
      </x:c>
      <x:c r="J180" s="83" t="str">
        <x:v>Contesto / metodologia</x:v>
      </x:c>
      <x:c r="K180" s="83" t="str">
        <x:v>P2 - contesto/validazione</x:v>
      </x:c>
      <x:c r="L180" s="83" t="str">
        <x:v>Figura o mappa; lettura etichette / eventuale digitalizzazione</x:v>
      </x:c>
      <x:c r="M180" s="83" t="str">
        <x:v>Medio</x:v>
      </x:c>
      <x:c r="N180" s="83" t="str">
        <x:v>Da verificare in Fase 3</x:v>
      </x:c>
    </x:row>
    <x:row r="181">
      <x:c r="A181" s="83" t="str">
        <x:v>S03-FIG-4-27</x:v>
      </x:c>
      <x:c r="B181" s="83" t="str">
        <x:v>S03</x:v>
      </x:c>
      <x:c r="C181" s="83" t="str">
        <x:v>Benefici di sistema e analisi robustezza rete</x:v>
      </x:c>
      <x:c r="D181" s="83" t="str">
        <x:v>Figura</x:v>
      </x:c>
      <x:c r="E181" s="83" t="str">
        <x:v>4</x:v>
      </x:c>
      <x:c r="F181" s="83" t="n">
        <x:v>27</x:v>
      </x:c>
      <x:c r="G181" s="83" t="n">
        <x:v>25</x:v>
      </x:c>
      <x:c r="H181" s="83" t="str">
        <x:v>4. Integrazione FER e riserva</x:v>
      </x:c>
      <x:c r="I181" s="83" t="str">
        <x:v>Figura 4 Riduzione Overgeneration in MGP a seguito dello sviluppo rete nello scenario DE-IT 2040</x:v>
      </x:c>
      <x:c r="J181" s="83" t="str">
        <x:v>Mercato e prezzi; Emissioni e ambiente; Scenario e metodologia</x:v>
      </x:c>
      <x:c r="K181" s="83" t="str">
        <x:v>P2 - contesto/validazione</x:v>
      </x:c>
      <x:c r="L181" s="83" t="str">
        <x:v>Figura o mappa; lettura etichette / eventuale digitalizzazione</x:v>
      </x:c>
      <x:c r="M181" s="83" t="str">
        <x:v>Medio</x:v>
      </x:c>
      <x:c r="N181" s="83" t="str">
        <x:v>Da verificare in Fase 3</x:v>
      </x:c>
    </x:row>
    <x:row r="182">
      <x:c r="A182" s="83" t="str">
        <x:v>S03-FIG-5-28</x:v>
      </x:c>
      <x:c r="B182" s="83" t="str">
        <x:v>S03</x:v>
      </x:c>
      <x:c r="C182" s="83" t="str">
        <x:v>Benefici di sistema e analisi robustezza rete</x:v>
      </x:c>
      <x:c r="D182" s="83" t="str">
        <x:v>Figura</x:v>
      </x:c>
      <x:c r="E182" s="83" t="str">
        <x:v>5</x:v>
      </x:c>
      <x:c r="F182" s="83" t="n">
        <x:v>28</x:v>
      </x:c>
      <x:c r="G182" s="83" t="n">
        <x:v>26</x:v>
      </x:c>
      <x:c r="H182" s="83" t="str">
        <x:v>4. Integrazione FER e riserva</x:v>
      </x:c>
      <x:c r="I182" s="83" t="str">
        <x:v>Figura 5 Riduzione Overgeneration a valle dell’MSD a seguito dello sviluppo rete nello scenario DE-IT 2040</x:v>
      </x:c>
      <x:c r="J182" s="83" t="str">
        <x:v>Emissioni e ambiente; Scenario e metodologia</x:v>
      </x:c>
      <x:c r="K182" s="83" t="str">
        <x:v>P2 - contesto/validazione</x:v>
      </x:c>
      <x:c r="L182" s="83" t="str">
        <x:v>Figura o mappa; lettura etichette / eventuale digitalizzazione</x:v>
      </x:c>
      <x:c r="M182" s="83" t="str">
        <x:v>Medio</x:v>
      </x:c>
      <x:c r="N182" s="83" t="str">
        <x:v>Da verificare in Fase 3</x:v>
      </x:c>
    </x:row>
    <x:row r="183">
      <x:c r="A183" s="83" t="str">
        <x:v>S03-TAB-3-32</x:v>
      </x:c>
      <x:c r="B183" s="83" t="str">
        <x:v>S03</x:v>
      </x:c>
      <x:c r="C183" s="83" t="str">
        <x:v>Benefici di sistema e analisi robustezza rete</x:v>
      </x:c>
      <x:c r="D183" s="83" t="str">
        <x:v>Tabella</x:v>
      </x:c>
      <x:c r="E183" s="83" t="str">
        <x:v>3</x:v>
      </x:c>
      <x:c r="F183" s="83" t="n">
        <x:v>32</x:v>
      </x:c>
      <x:c r="G183" s="83" t="n">
        <x:v>30</x:v>
      </x:c>
      <x:c r="H183" s="83" t="str">
        <x:v>5. Emissioni e perdite</x:v>
      </x:c>
      <x:c r="I183" s="83" t="str">
        <x:v>Tabella 3 Riduzione emissioni CO2</x:v>
      </x:c>
      <x:c r="J183" s="83" t="str">
        <x:v>Mercato e prezzi; Emissioni e ambiente</x:v>
      </x:c>
      <x:c r="K183" s="83" t="str">
        <x:v>P1 - input diretto/parametro</x:v>
      </x:c>
      <x:c r="L183" s="83" t="str">
        <x:v>Tabella testuale/PDF</x:v>
      </x:c>
      <x:c r="M183" s="83" t="str">
        <x:v>Basso</x:v>
      </x:c>
      <x:c r="N183" s="83" t="str">
        <x:v>Da verificare in Fase 3</x:v>
      </x:c>
    </x:row>
    <x:row r="184">
      <x:c r="A184" s="83" t="str">
        <x:v>S03-FIG-6-42</x:v>
      </x:c>
      <x:c r="B184" s="83" t="str">
        <x:v>S03</x:v>
      </x:c>
      <x:c r="C184" s="83" t="str">
        <x:v>Benefici di sistema e analisi robustezza rete</x:v>
      </x:c>
      <x:c r="D184" s="83" t="str">
        <x:v>Figura</x:v>
      </x:c>
      <x:c r="E184" s="83" t="str">
        <x:v>6</x:v>
      </x:c>
      <x:c r="F184" s="83" t="n">
        <x:v>42</x:v>
      </x:c>
      <x:c r="G184" s="83" t="n">
        <x:v>40</x:v>
      </x:c>
      <x:c r="H184" s="83" t="str">
        <x:v>7. Robustezza di rete</x:v>
      </x:c>
      <x:c r="I184" s="83" t="str">
        <x:v>Figura 6 Differenze tra sistemi di controllo GFL e GFM14</x:v>
      </x:c>
      <x:c r="J184" s="83" t="str">
        <x:v>Capacità e generazione</x:v>
      </x:c>
      <x:c r="K184" s="83" t="str">
        <x:v>P2 - contesto/validazione</x:v>
      </x:c>
      <x:c r="L184" s="83" t="str">
        <x:v>Figura o mappa; lettura etichette / eventuale digitalizzazione</x:v>
      </x:c>
      <x:c r="M184" s="83" t="str">
        <x:v>Medio</x:v>
      </x:c>
      <x:c r="N184" s="83" t="str">
        <x:v>Da verificare in Fase 3</x:v>
      </x:c>
    </x:row>
    <x:row r="185">
      <x:c r="A185" s="83" t="str">
        <x:v>S03-FIG-7-43</x:v>
      </x:c>
      <x:c r="B185" s="83" t="str">
        <x:v>S03</x:v>
      </x:c>
      <x:c r="C185" s="83" t="str">
        <x:v>Benefici di sistema e analisi robustezza rete</x:v>
      </x:c>
      <x:c r="D185" s="83" t="str">
        <x:v>Figura</x:v>
      </x:c>
      <x:c r="E185" s="83" t="str">
        <x:v>7</x:v>
      </x:c>
      <x:c r="F185" s="83" t="n">
        <x:v>43</x:v>
      </x:c>
      <x:c r="G185" s="83" t="n">
        <x:v>41</x:v>
      </x:c>
      <x:c r="H185" s="83" t="str">
        <x:v>7. Robustezza di rete</x:v>
      </x:c>
      <x:c r="I185" s="83" t="str">
        <x:v>Figura 7 Esempio di schema funzionale del VSM</x:v>
      </x:c>
      <x:c r="J185" s="83" t="str">
        <x:v>Contesto / metodologia</x:v>
      </x:c>
      <x:c r="K185" s="83" t="str">
        <x:v>P2 - contesto/validazione</x:v>
      </x:c>
      <x:c r="L185" s="83" t="str">
        <x:v>Figura o mappa; lettura etichette / eventuale digitalizzazione</x:v>
      </x:c>
      <x:c r="M185" s="83" t="str">
        <x:v>Medio</x:v>
      </x:c>
      <x:c r="N185" s="83" t="str">
        <x:v>Da verificare in Fase 3</x:v>
      </x:c>
    </x:row>
    <x:row r="186">
      <x:c r="A186" s="83" t="str">
        <x:v>S03-FIG-8-45</x:v>
      </x:c>
      <x:c r="B186" s="83" t="str">
        <x:v>S03</x:v>
      </x:c>
      <x:c r="C186" s="83" t="str">
        <x:v>Benefici di sistema e analisi robustezza rete</x:v>
      </x:c>
      <x:c r="D186" s="83" t="str">
        <x:v>Figura</x:v>
      </x:c>
      <x:c r="E186" s="83" t="str">
        <x:v>8</x:v>
      </x:c>
      <x:c r="F186" s="83" t="n">
        <x:v>45</x:v>
      </x:c>
      <x:c r="G186" s="83" t="n">
        <x:v>43</x:v>
      </x:c>
      <x:c r="H186" s="83" t="str">
        <x:v>7. Robustezza di rete</x:v>
      </x:c>
      <x:c r="I186" s="83" t="str">
        <x:v>Figura 8 Confronto tra compensatori sincroni, STATCOM, E-STATCOM</x:v>
      </x:c>
      <x:c r="J186" s="83" t="str">
        <x:v>Contesto / metodologia</x:v>
      </x:c>
      <x:c r="K186" s="83" t="str">
        <x:v>P2 - contesto/validazione</x:v>
      </x:c>
      <x:c r="L186" s="83" t="str">
        <x:v>Figura o mappa; lettura etichette / eventuale digitalizzazione</x:v>
      </x:c>
      <x:c r="M186" s="83" t="str">
        <x:v>Medio</x:v>
      </x:c>
      <x:c r="N186" s="83" t="str">
        <x:v>Da verificare in Fase 3</x:v>
      </x:c>
    </x:row>
    <x:row r="187">
      <x:c r="A187" s="83" t="str">
        <x:v>S03-FIG-9-49</x:v>
      </x:c>
      <x:c r="B187" s="83" t="str">
        <x:v>S03</x:v>
      </x:c>
      <x:c r="C187" s="83" t="str">
        <x:v>Benefici di sistema e analisi robustezza rete</x:v>
      </x:c>
      <x:c r="D187" s="83" t="str">
        <x:v>Figura</x:v>
      </x:c>
      <x:c r="E187" s="83" t="str">
        <x:v>9</x:v>
      </x:c>
      <x:c r="F187" s="83" t="n">
        <x:v>49</x:v>
      </x:c>
      <x:c r="G187" s="83" t="n">
        <x:v>47</x:v>
      </x:c>
      <x:c r="H187" s="83" t="str">
        <x:v>7. Robustezza di rete</x:v>
      </x:c>
      <x:c r="I187" s="83" t="str">
        <x:v>Figura 9 Processo per l’analisi di Robustezza</x:v>
      </x:c>
      <x:c r="J187" s="83" t="str">
        <x:v>Adeguatezza e sicurezza</x:v>
      </x:c>
      <x:c r="K187" s="83" t="str">
        <x:v>P2 - contesto/validazione</x:v>
      </x:c>
      <x:c r="L187" s="83" t="str">
        <x:v>Figura o mappa; lettura etichette / eventuale digitalizzazione</x:v>
      </x:c>
      <x:c r="M187" s="83" t="str">
        <x:v>Medio</x:v>
      </x:c>
      <x:c r="N187" s="83" t="str">
        <x:v>Da verificare in Fase 3</x:v>
      </x:c>
    </x:row>
    <x:row r="188">
      <x:c r="A188" s="83" t="str">
        <x:v>S03-FIG-10-50</x:v>
      </x:c>
      <x:c r="B188" s="83" t="str">
        <x:v>S03</x:v>
      </x:c>
      <x:c r="C188" s="83" t="str">
        <x:v>Benefici di sistema e analisi robustezza rete</x:v>
      </x:c>
      <x:c r="D188" s="83" t="str">
        <x:v>Figura</x:v>
      </x:c>
      <x:c r="E188" s="83" t="str">
        <x:v>10</x:v>
      </x:c>
      <x:c r="F188" s="83" t="n">
        <x:v>50</x:v>
      </x:c>
      <x:c r="G188" s="83" t="n">
        <x:v>48</x:v>
      </x:c>
      <x:c r="H188" s="83" t="str">
        <x:v>7. Robustezza di rete</x:v>
      </x:c>
      <x:c r="I188" s="83" t="str">
        <x:v>Figura 10 Mappa rappresentativa del MISCR</x:v>
      </x:c>
      <x:c r="J188" s="83" t="str">
        <x:v>Contesto / metodologia</x:v>
      </x:c>
      <x:c r="K188" s="83" t="str">
        <x:v>P2 - contesto/validazione</x:v>
      </x:c>
      <x:c r="L188" s="83" t="str">
        <x:v>Figura o mappa; lettura etichette / eventuale digitalizzazione</x:v>
      </x:c>
      <x:c r="M188" s="83" t="str">
        <x:v>Medio</x:v>
      </x:c>
      <x:c r="N188" s="83" t="str">
        <x:v>Da verificare in Fase 3</x:v>
      </x:c>
    </x:row>
    <x:row r="189">
      <x:c r="A189" s="83" t="str">
        <x:v>S03-FIG-11-51</x:v>
      </x:c>
      <x:c r="B189" s="83" t="str">
        <x:v>S03</x:v>
      </x:c>
      <x:c r="C189" s="83" t="str">
        <x:v>Benefici di sistema e analisi robustezza rete</x:v>
      </x:c>
      <x:c r="D189" s="83" t="str">
        <x:v>Figura</x:v>
      </x:c>
      <x:c r="E189" s="83" t="str">
        <x:v>11</x:v>
      </x:c>
      <x:c r="F189" s="83" t="n">
        <x:v>51</x:v>
      </x:c>
      <x:c r="G189" s="83" t="n">
        <x:v>49</x:v>
      </x:c>
      <x:c r="H189" s="83" t="str">
        <x:v>7. Robustezza di rete</x:v>
      </x:c>
      <x:c r="I189" s="83" t="str">
        <x:v>Figura 11 Rappresentazione geografica dei modi oscillatori europei</x:v>
      </x:c>
      <x:c r="J189" s="83" t="str">
        <x:v>Contesto / metodologia</x:v>
      </x:c>
      <x:c r="K189" s="83" t="str">
        <x:v>P2 - contesto/validazione</x:v>
      </x:c>
      <x:c r="L189" s="83" t="str">
        <x:v>Figura o mappa; lettura etichette / eventuale digitalizzazione</x:v>
      </x:c>
      <x:c r="M189" s="83" t="str">
        <x:v>Medio</x:v>
      </x:c>
      <x:c r="N189" s="83" t="str">
        <x:v>Da verificare in Fase 3</x:v>
      </x:c>
    </x:row>
    <x:row r="190">
      <x:c r="A190" s="83" t="str">
        <x:v>S03-FIG-12-52</x:v>
      </x:c>
      <x:c r="B190" s="83" t="str">
        <x:v>S03</x:v>
      </x:c>
      <x:c r="C190" s="83" t="str">
        <x:v>Benefici di sistema e analisi robustezza rete</x:v>
      </x:c>
      <x:c r="D190" s="83" t="str">
        <x:v>Figura</x:v>
      </x:c>
      <x:c r="E190" s="83" t="str">
        <x:v>12</x:v>
      </x:c>
      <x:c r="F190" s="83" t="n">
        <x:v>52</x:v>
      </x:c>
      <x:c r="G190" s="83" t="n">
        <x:v>50</x:v>
      </x:c>
      <x:c r="H190" s="83" t="str">
        <x:v>7. Robustezza di rete</x:v>
      </x:c>
      <x:c r="I190" s="83" t="str">
        <x:v>Figura 12 Equivalente meccanico del sistema elettrico</x:v>
      </x:c>
      <x:c r="J190" s="83" t="str">
        <x:v>Contesto / metodologia</x:v>
      </x:c>
      <x:c r="K190" s="83" t="str">
        <x:v>P2 - contesto/validazione</x:v>
      </x:c>
      <x:c r="L190" s="83" t="str">
        <x:v>Figura o mappa; lettura etichette / eventuale digitalizzazione</x:v>
      </x:c>
      <x:c r="M190" s="83" t="str">
        <x:v>Medio</x:v>
      </x:c>
      <x:c r="N190" s="83" t="str">
        <x:v>Da verificare in Fase 3</x:v>
      </x:c>
    </x:row>
    <x:row r="191">
      <x:c r="A191" s="83" t="str">
        <x:v>S03-FIG-13-53</x:v>
      </x:c>
      <x:c r="B191" s="83" t="str">
        <x:v>S03</x:v>
      </x:c>
      <x:c r="C191" s="83" t="str">
        <x:v>Benefici di sistema e analisi robustezza rete</x:v>
      </x:c>
      <x:c r="D191" s="83" t="str">
        <x:v>Figura</x:v>
      </x:c>
      <x:c r="E191" s="83" t="str">
        <x:v>13</x:v>
      </x:c>
      <x:c r="F191" s="83" t="n">
        <x:v>53</x:v>
      </x:c>
      <x:c r="G191" s="83" t="n">
        <x:v>51</x:v>
      </x:c>
      <x:c r="H191" s="83" t="str">
        <x:v>7. Robustezza di rete</x:v>
      </x:c>
      <x:c r="I191" s="83" t="str">
        <x:v>Figura 13 Frequenze registrate durante l’evento del 1° dicembre 2016</x:v>
      </x:c>
      <x:c r="J191" s="83" t="str">
        <x:v>Contesto / metodologia</x:v>
      </x:c>
      <x:c r="K191" s="83" t="str">
        <x:v>P2 - contesto/validazione</x:v>
      </x:c>
      <x:c r="L191" s="83" t="str">
        <x:v>Figura o mappa; lettura etichette / eventuale digitalizzazione</x:v>
      </x:c>
      <x:c r="M191" s="83" t="str">
        <x:v>Medio</x:v>
      </x:c>
      <x:c r="N191" s="83" t="str">
        <x:v>Da verificare in Fase 3</x:v>
      </x:c>
    </x:row>
    <x:row r="192">
      <x:c r="A192" s="83" t="str">
        <x:v>S03-FIG-14-53</x:v>
      </x:c>
      <x:c r="B192" s="83" t="str">
        <x:v>S03</x:v>
      </x:c>
      <x:c r="C192" s="83" t="str">
        <x:v>Benefici di sistema e analisi robustezza rete</x:v>
      </x:c>
      <x:c r="D192" s="83" t="str">
        <x:v>Figura</x:v>
      </x:c>
      <x:c r="E192" s="83" t="str">
        <x:v>14</x:v>
      </x:c>
      <x:c r="F192" s="83" t="n">
        <x:v>53</x:v>
      </x:c>
      <x:c r="G192" s="83" t="n">
        <x:v>51</x:v>
      </x:c>
      <x:c r="H192" s="83" t="str">
        <x:v>7. Robustezza di rete</x:v>
      </x:c>
      <x:c r="I192" s="83" t="str">
        <x:v>Figura 14 Frequenze registrate durante l’evento del 3 dicembre 2017</x:v>
      </x:c>
      <x:c r="J192" s="83" t="str">
        <x:v>Contesto / metodologia</x:v>
      </x:c>
      <x:c r="K192" s="83" t="str">
        <x:v>P2 - contesto/validazione</x:v>
      </x:c>
      <x:c r="L192" s="83" t="str">
        <x:v>Figura o mappa; lettura etichette / eventuale digitalizzazione</x:v>
      </x:c>
      <x:c r="M192" s="83" t="str">
        <x:v>Medio</x:v>
      </x:c>
      <x:c r="N192" s="83" t="str">
        <x:v>Da verificare in Fase 3</x:v>
      </x:c>
    </x:row>
    <x:row r="193">
      <x:c r="A193" s="83" t="str">
        <x:v>S03-FIG-15-55</x:v>
      </x:c>
      <x:c r="B193" s="83" t="str">
        <x:v>S03</x:v>
      </x:c>
      <x:c r="C193" s="83" t="str">
        <x:v>Benefici di sistema e analisi robustezza rete</x:v>
      </x:c>
      <x:c r="D193" s="83" t="str">
        <x:v>Figura</x:v>
      </x:c>
      <x:c r="E193" s="83" t="str">
        <x:v>15</x:v>
      </x:c>
      <x:c r="F193" s="83" t="n">
        <x:v>55</x:v>
      </x:c>
      <x:c r="G193" s="83" t="n">
        <x:v>53</x:v>
      </x:c>
      <x:c r="H193" s="83" t="str">
        <x:v>7. Robustezza di rete</x:v>
      </x:c>
      <x:c r="I193" s="83" t="str">
        <x:v>Figura 15 Tensioni misurate dalle PMU asservite alla logica di difesa</x:v>
      </x:c>
      <x:c r="J193" s="83" t="str">
        <x:v>Contesto / metodologia</x:v>
      </x:c>
      <x:c r="K193" s="83" t="str">
        <x:v>P2 - contesto/validazione</x:v>
      </x:c>
      <x:c r="L193" s="83" t="str">
        <x:v>Figura o mappa; lettura etichette / eventuale digitalizzazione</x:v>
      </x:c>
      <x:c r="M193" s="83" t="str">
        <x:v>Medio</x:v>
      </x:c>
      <x:c r="N193" s="83" t="str">
        <x:v>Da verificare in Fase 3</x:v>
      </x:c>
    </x:row>
    <x:row r="194">
      <x:c r="A194" s="83" t="str">
        <x:v>S03-FIG-16-55</x:v>
      </x:c>
      <x:c r="B194" s="83" t="str">
        <x:v>S03</x:v>
      </x:c>
      <x:c r="C194" s="83" t="str">
        <x:v>Benefici di sistema e analisi robustezza rete</x:v>
      </x:c>
      <x:c r="D194" s="83" t="str">
        <x:v>Figura</x:v>
      </x:c>
      <x:c r="E194" s="83" t="str">
        <x:v>16</x:v>
      </x:c>
      <x:c r="F194" s="83" t="n">
        <x:v>55</x:v>
      </x:c>
      <x:c r="G194" s="83" t="n">
        <x:v>53</x:v>
      </x:c>
      <x:c r="H194" s="83" t="str">
        <x:v>7. Robustezza di rete</x:v>
      </x:c>
      <x:c r="I194" s="83" t="str">
        <x:v>Figura 16 Frequenza misurata dalle PMU asservite alla logica di difesa</x:v>
      </x:c>
      <x:c r="J194" s="83" t="str">
        <x:v>Contesto / metodologia</x:v>
      </x:c>
      <x:c r="K194" s="83" t="str">
        <x:v>P2 - contesto/validazione</x:v>
      </x:c>
      <x:c r="L194" s="83" t="str">
        <x:v>Figura o mappa; lettura etichette / eventuale digitalizzazione</x:v>
      </x:c>
      <x:c r="M194" s="83" t="str">
        <x:v>Medio</x:v>
      </x:c>
      <x:c r="N194" s="83" t="str">
        <x:v>Da verificare in Fase 3</x:v>
      </x:c>
    </x:row>
    <x:row r="195">
      <x:c r="A195" s="83" t="str">
        <x:v>S03-FIG-17-56</x:v>
      </x:c>
      <x:c r="B195" s="83" t="str">
        <x:v>S03</x:v>
      </x:c>
      <x:c r="C195" s="83" t="str">
        <x:v>Benefici di sistema e analisi robustezza rete</x:v>
      </x:c>
      <x:c r="D195" s="83" t="str">
        <x:v>Figura</x:v>
      </x:c>
      <x:c r="E195" s="83" t="str">
        <x:v>17</x:v>
      </x:c>
      <x:c r="F195" s="83" t="n">
        <x:v>56</x:v>
      </x:c>
      <x:c r="G195" s="83" t="n">
        <x:v>54</x:v>
      </x:c>
      <x:c r="H195" s="83" t="str">
        <x:v>7. Robustezza di rete</x:v>
      </x:c>
      <x:c r="I195" s="83" t="str">
        <x:v>Figura 17 Architettura sistema WADC</x:v>
      </x:c>
      <x:c r="J195" s="83" t="str">
        <x:v>Contesto / metodologia</x:v>
      </x:c>
      <x:c r="K195" s="83" t="str">
        <x:v>P2 - contesto/validazione</x:v>
      </x:c>
      <x:c r="L195" s="83" t="str">
        <x:v>Figura o mappa; lettura etichette / eventuale digitalizzazione</x:v>
      </x:c>
      <x:c r="M195" s="83" t="str">
        <x:v>Medio</x:v>
      </x:c>
      <x:c r="N195" s="83" t="str">
        <x:v>Da verificare in Fase 3</x:v>
      </x:c>
    </x:row>
    <x:row r="196">
      <x:c r="A196" s="83" t="str">
        <x:v>S05-FIG-1-11</x:v>
      </x:c>
      <x:c r="B196" s="83" t="str">
        <x:v>S05</x:v>
      </x:c>
      <x:c r="C196" s="83" t="str">
        <x:v>Esigenze di sviluppo: i nuovi progetti</x:v>
      </x:c>
      <x:c r="D196" s="83" t="str">
        <x:v>Figura</x:v>
      </x:c>
      <x:c r="E196" s="83" t="str">
        <x:v>1</x:v>
      </x:c>
      <x:c r="F196" s="83" t="n">
        <x:v>11</x:v>
      </x:c>
      <x:c r="G196" s="83" t="n">
        <x:v>9</x:v>
      </x:c>
      <x:c r="H196" s="83" t="str">
        <x:v>1. Esigenze del sistema</x:v>
      </x:c>
      <x:c r="I196" s="83" t="str">
        <x:v>Figura 1 Inquadramento del nuovo approccio microzonale</x:v>
      </x:c>
      <x:c r="J196" s="83" t="str">
        <x:v>Geografia e connessioni</x:v>
      </x:c>
      <x:c r="K196" s="83" t="str">
        <x:v>P2 - contesto/validazione</x:v>
      </x:c>
      <x:c r="L196" s="83" t="str">
        <x:v>Figura o mappa; lettura etichette / eventuale digitalizzazione</x:v>
      </x:c>
      <x:c r="M196" s="83" t="str">
        <x:v>Medio</x:v>
      </x:c>
      <x:c r="N196" s="83" t="str">
        <x:v>Da verificare in Fase 3</x:v>
      </x:c>
    </x:row>
    <x:row r="197">
      <x:c r="A197" s="83" t="str">
        <x:v>S05-FIG-2-12</x:v>
      </x:c>
      <x:c r="B197" s="83" t="str">
        <x:v>S05</x:v>
      </x:c>
      <x:c r="C197" s="83" t="str">
        <x:v>Esigenze di sviluppo: i nuovi progetti</x:v>
      </x:c>
      <x:c r="D197" s="83" t="str">
        <x:v>Figura</x:v>
      </x:c>
      <x:c r="E197" s="83" t="str">
        <x:v>2</x:v>
      </x:c>
      <x:c r="F197" s="83" t="n">
        <x:v>12</x:v>
      </x:c>
      <x:c r="G197" s="83" t="n">
        <x:v>10</x:v>
      </x:c>
      <x:c r="H197" s="83" t="str">
        <x:v>1. Esigenze del sistema</x:v>
      </x:c>
      <x:c r="I197" s="83" t="str">
        <x:v>Figura 2 Esempio del processo iterativo di identificazione della capacità obiettivo per una generica</x:v>
      </x:c>
      <x:c r="J197" s="83" t="str">
        <x:v>Contesto / metodologia</x:v>
      </x:c>
      <x:c r="K197" s="83" t="str">
        <x:v>P2 - contesto/validazione</x:v>
      </x:c>
      <x:c r="L197" s="83" t="str">
        <x:v>Figura o mappa; lettura etichette / eventuale digitalizzazione</x:v>
      </x:c>
      <x:c r="M197" s="83" t="str">
        <x:v>Medio</x:v>
      </x:c>
      <x:c r="N197" s="83" t="str">
        <x:v>Da verificare in Fase 3</x:v>
      </x:c>
    </x:row>
    <x:row r="198">
      <x:c r="A198" s="83" t="str">
        <x:v>S05-TAB-1-13</x:v>
      </x:c>
      <x:c r="B198" s="83" t="str">
        <x:v>S05</x:v>
      </x:c>
      <x:c r="C198" s="83" t="str">
        <x:v>Esigenze di sviluppo: i nuovi progetti</x:v>
      </x:c>
      <x:c r="D198" s="83" t="str">
        <x:v>Tabella</x:v>
      </x:c>
      <x:c r="E198" s="83" t="str">
        <x:v>1</x:v>
      </x:c>
      <x:c r="F198" s="83" t="n">
        <x:v>13</x:v>
      </x:c>
      <x:c r="G198" s="83" t="n">
        <x:v>11</x:v>
      </x:c>
      <x:c r="H198" s="83" t="str">
        <x:v>1. Esigenze del sistema</x:v>
      </x:c>
      <x:c r="I198" s="83" t="str">
        <x:v>Tabella 1 Risultati analisi Capacità obiettivo</x:v>
      </x:c>
      <x:c r="J198" s="83" t="str">
        <x:v>Contesto / metodologia</x:v>
      </x:c>
      <x:c r="K198" s="83" t="str">
        <x:v>P2 - contesto/validazione</x:v>
      </x:c>
      <x:c r="L198" s="83" t="str">
        <x:v>Tabella testuale/PDF</x:v>
      </x:c>
      <x:c r="M198" s="83" t="str">
        <x:v>Basso</x:v>
      </x:c>
      <x:c r="N198" s="83" t="str">
        <x:v>Da verificare in Fase 3</x:v>
      </x:c>
    </x:row>
    <x:row r="199">
      <x:c r="A199" s="83" t="str">
        <x:v>S05-FIG-3-15</x:v>
      </x:c>
      <x:c r="B199" s="83" t="str">
        <x:v>S05</x:v>
      </x:c>
      <x:c r="C199" s="83" t="str">
        <x:v>Esigenze di sviluppo: i nuovi progetti</x:v>
      </x:c>
      <x:c r="D199" s="83" t="str">
        <x:v>Figura</x:v>
      </x:c>
      <x:c r="E199" s="83" t="str">
        <x:v>3</x:v>
      </x:c>
      <x:c r="F199" s="83" t="n">
        <x:v>15</x:v>
      </x:c>
      <x:c r="G199" s="83" t="n">
        <x:v>13</x:v>
      </x:c>
      <x:c r="H199" s="83" t="str">
        <x:v>1. Esigenze del sistema</x:v>
      </x:c>
      <x:c r="I199" s="83" t="str">
        <x:v>Figura 3 Ore di congestione nello scenario Policy a rete attuale</x:v>
      </x:c>
      <x:c r="J199" s="83" t="str">
        <x:v>Scenario e metodologia</x:v>
      </x:c>
      <x:c r="K199" s="83" t="str">
        <x:v>P2 - contesto/validazione</x:v>
      </x:c>
      <x:c r="L199" s="83" t="str">
        <x:v>Figura o mappa; lettura etichette / eventuale digitalizzazione</x:v>
      </x:c>
      <x:c r="M199" s="83" t="str">
        <x:v>Medio</x:v>
      </x:c>
      <x:c r="N199" s="83" t="str">
        <x:v>Da verificare in Fase 3</x:v>
      </x:c>
    </x:row>
    <x:row r="200">
      <x:c r="A200" s="83" t="str">
        <x:v>S05-FIG-4-18</x:v>
      </x:c>
      <x:c r="B200" s="83" t="str">
        <x:v>S05</x:v>
      </x:c>
      <x:c r="C200" s="83" t="str">
        <x:v>Esigenze di sviluppo: i nuovi progetti</x:v>
      </x:c>
      <x:c r="D200" s="83" t="str">
        <x:v>Figura</x:v>
      </x:c>
      <x:c r="E200" s="83" t="str">
        <x:v>4</x:v>
      </x:c>
      <x:c r="F200" s="83" t="n">
        <x:v>18</x:v>
      </x:c>
      <x:c r="G200" s="83" t="n">
        <x:v>16</x:v>
      </x:c>
      <x:c r="H200" s="83" t="str">
        <x:v>2. Piano investimenti</x:v>
      </x:c>
      <x:c r="I200" s="83" t="str">
        <x:v>Figura 4 Evoluzione del sistema</x:v>
      </x:c>
      <x:c r="J200" s="83" t="str">
        <x:v>Contesto / metodologia</x:v>
      </x:c>
      <x:c r="K200" s="83" t="str">
        <x:v>P2 - contesto/validazione</x:v>
      </x:c>
      <x:c r="L200" s="83" t="str">
        <x:v>Figura o mappa; lettura etichette / eventuale digitalizzazione</x:v>
      </x:c>
      <x:c r="M200" s="83" t="str">
        <x:v>Medio</x:v>
      </x:c>
      <x:c r="N200" s="83" t="str">
        <x:v>Da verificare in Fase 3</x:v>
      </x:c>
    </x:row>
    <x:row r="201">
      <x:c r="A201" s="83" t="str">
        <x:v>S05-FIG-5-23</x:v>
      </x:c>
      <x:c r="B201" s="83" t="str">
        <x:v>S05</x:v>
      </x:c>
      <x:c r="C201" s="83" t="str">
        <x:v>Esigenze di sviluppo: i nuovi progetti</x:v>
      </x:c>
      <x:c r="D201" s="83" t="str">
        <x:v>Figura</x:v>
      </x:c>
      <x:c r="E201" s="83" t="str">
        <x:v>5</x:v>
      </x:c>
      <x:c r="F201" s="83" t="n">
        <x:v>23</x:v>
      </x:c>
      <x:c r="G201" s="83" t="n">
        <x:v>21</x:v>
      </x:c>
      <x:c r="H201" s="83" t="str">
        <x:v>2. Piano investimenti</x:v>
      </x:c>
      <x:c r="I201" s="83" t="str">
        <x:v>Figura 5 Categorie di intervento del Piano di Sviluppo</x:v>
      </x:c>
      <x:c r="J201" s="83" t="str">
        <x:v>Contesto / metodologia</x:v>
      </x:c>
      <x:c r="K201" s="83" t="str">
        <x:v>P2 - contesto/validazione</x:v>
      </x:c>
      <x:c r="L201" s="83" t="str">
        <x:v>Figura o mappa; lettura etichette / eventuale digitalizzazione</x:v>
      </x:c>
      <x:c r="M201" s="83" t="str">
        <x:v>Medio</x:v>
      </x:c>
      <x:c r="N201" s="83" t="str">
        <x:v>Da verificare in Fase 3</x:v>
      </x:c>
    </x:row>
    <x:row r="202">
      <x:c r="A202" s="83" t="str">
        <x:v>S05-FIG-6-31</x:v>
      </x:c>
      <x:c r="B202" s="83" t="str">
        <x:v>S05</x:v>
      </x:c>
      <x:c r="C202" s="83" t="str">
        <x:v>Esigenze di sviluppo: i nuovi progetti</x:v>
      </x:c>
      <x:c r="D202" s="83" t="str">
        <x:v>Figura</x:v>
      </x:c>
      <x:c r="E202" s="83" t="str">
        <x:v>6</x:v>
      </x:c>
      <x:c r="F202" s="83" t="n">
        <x:v>31</x:v>
      </x:c>
      <x:c r="G202" s="83" t="n">
        <x:v>29</x:v>
      </x:c>
      <x:c r="H202" s="83" t="str">
        <x:v>3. Rete infrastrutturale</x:v>
      </x:c>
      <x:c r="I202" s="83" t="str">
        <x:v>Figura 6 Sostegno “5 Fasi”</x:v>
      </x:c>
      <x:c r="J202" s="83" t="str">
        <x:v>Contesto / metodologia</x:v>
      </x:c>
      <x:c r="K202" s="83" t="str">
        <x:v>P2 - contesto/validazione</x:v>
      </x:c>
      <x:c r="L202" s="83" t="str">
        <x:v>Figura o mappa; lettura etichette / eventuale digitalizzazione</x:v>
      </x:c>
      <x:c r="M202" s="83" t="str">
        <x:v>Medio</x:v>
      </x:c>
      <x:c r="N202" s="83" t="str">
        <x:v>Da verificare in Fase 3</x:v>
      </x:c>
    </x:row>
    <x:row r="203">
      <x:c r="A203" s="83" t="str">
        <x:v>S05-FIG-7-31</x:v>
      </x:c>
      <x:c r="B203" s="83" t="str">
        <x:v>S05</x:v>
      </x:c>
      <x:c r="C203" s="83" t="str">
        <x:v>Esigenze di sviluppo: i nuovi progetti</x:v>
      </x:c>
      <x:c r="D203" s="83" t="str">
        <x:v>Figura</x:v>
      </x:c>
      <x:c r="E203" s="83" t="str">
        <x:v>7</x:v>
      </x:c>
      <x:c r="F203" s="83" t="n">
        <x:v>31</x:v>
      </x:c>
      <x:c r="G203" s="83" t="n">
        <x:v>29</x:v>
      </x:c>
      <x:c r="H203" s="83" t="str">
        <x:v>3. Rete infrastrutturale</x:v>
      </x:c>
      <x:c r="I203" s="83" t="str">
        <x:v>Figura 7 Sostegno “5 Fasi” monostelo</x:v>
      </x:c>
      <x:c r="J203" s="83" t="str">
        <x:v>Contesto / metodologia</x:v>
      </x:c>
      <x:c r="K203" s="83" t="str">
        <x:v>P2 - contesto/validazione</x:v>
      </x:c>
      <x:c r="L203" s="83" t="str">
        <x:v>Figura o mappa; lettura etichette / eventuale digitalizzazione</x:v>
      </x:c>
      <x:c r="M203" s="83" t="str">
        <x:v>Medio</x:v>
      </x:c>
      <x:c r="N203" s="83" t="str">
        <x:v>Da verificare in Fase 3</x:v>
      </x:c>
    </x:row>
    <x:row r="204">
      <x:c r="A204" s="83" t="str">
        <x:v>S05-FIG-8-32</x:v>
      </x:c>
      <x:c r="B204" s="83" t="str">
        <x:v>S05</x:v>
      </x:c>
      <x:c r="C204" s="83" t="str">
        <x:v>Esigenze di sviluppo: i nuovi progetti</x:v>
      </x:c>
      <x:c r="D204" s="83" t="str">
        <x:v>Figura</x:v>
      </x:c>
      <x:c r="E204" s="83" t="str">
        <x:v>8</x:v>
      </x:c>
      <x:c r="F204" s="83" t="n">
        <x:v>32</x:v>
      </x:c>
      <x:c r="G204" s="83" t="n">
        <x:v>30</x:v>
      </x:c>
      <x:c r="H204" s="83" t="str">
        <x:v>3. Rete infrastrutturale</x:v>
      </x:c>
      <x:c r="I204" s="83" t="str">
        <x:v>Figura 8 Sostegno HVDC fino a ±525 kV</x:v>
      </x:c>
      <x:c r="J204" s="83" t="str">
        <x:v>Trasmissione e interconnessioni</x:v>
      </x:c>
      <x:c r="K204" s="83" t="str">
        <x:v>P2 - contesto/validazione</x:v>
      </x:c>
      <x:c r="L204" s="83" t="str">
        <x:v>Figura o mappa; lettura etichette / eventuale digitalizzazione</x:v>
      </x:c>
      <x:c r="M204" s="83" t="str">
        <x:v>Medio</x:v>
      </x:c>
      <x:c r="N204" s="83" t="str">
        <x:v>Da verificare in Fase 3</x:v>
      </x:c>
    </x:row>
    <x:row r="205">
      <x:c r="A205" s="83" t="str">
        <x:v>S05-FIG-9-33</x:v>
      </x:c>
      <x:c r="B205" s="83" t="str">
        <x:v>S05</x:v>
      </x:c>
      <x:c r="C205" s="83" t="str">
        <x:v>Esigenze di sviluppo: i nuovi progetti</x:v>
      </x:c>
      <x:c r="D205" s="83" t="str">
        <x:v>Figura</x:v>
      </x:c>
      <x:c r="E205" s="83" t="str">
        <x:v>9</x:v>
      </x:c>
      <x:c r="F205" s="83" t="n">
        <x:v>33</x:v>
      </x:c>
      <x:c r="G205" s="83" t="n">
        <x:v>31</x:v>
      </x:c>
      <x:c r="H205" s="83" t="str">
        <x:v>3. Rete infrastrutturale</x:v>
      </x:c>
      <x:c r="I205" s="83" t="str">
        <x:v>Figura 9 Principali interventi di rete previsti nell’orizzonte decennale 2025-2034 e post 2034</x:v>
      </x:c>
      <x:c r="J205" s="83" t="str">
        <x:v>Contesto / metodologia</x:v>
      </x:c>
      <x:c r="K205" s="83" t="str">
        <x:v>P2 - contesto/validazione</x:v>
      </x:c>
      <x:c r="L205" s="83" t="str">
        <x:v>Figura o mappa; lettura etichette / eventuale digitalizzazione</x:v>
      </x:c>
      <x:c r="M205" s="83" t="str">
        <x:v>Medio</x:v>
      </x:c>
      <x:c r="N205" s="83" t="str">
        <x:v>Da verificare in Fase 3</x:v>
      </x:c>
    </x:row>
    <x:row r="206">
      <x:c r="A206" s="83" t="str">
        <x:v>S05-FIG-10-41</x:v>
      </x:c>
      <x:c r="B206" s="83" t="str">
        <x:v>S05</x:v>
      </x:c>
      <x:c r="C206" s="83" t="str">
        <x:v>Esigenze di sviluppo: i nuovi progetti</x:v>
      </x:c>
      <x:c r="D206" s="83" t="str">
        <x:v>Figura</x:v>
      </x:c>
      <x:c r="E206" s="83" t="str">
        <x:v>10</x:v>
      </x:c>
      <x:c r="F206" s="83" t="n">
        <x:v>41</x:v>
      </x:c>
      <x:c r="G206" s="83" t="n">
        <x:v>39</x:v>
      </x:c>
      <x:c r="H206" s="83" t="str">
        <x:v>4. Massimizzazione asset</x:v>
      </x:c>
      <x:c r="I206" s="83" t="str">
        <x:v>Figura 10 Rappresentazione schematica dell’OMP e delle sue principali componenti</x:v>
      </x:c>
      <x:c r="J206" s="83" t="str">
        <x:v>Contesto / metodologia</x:v>
      </x:c>
      <x:c r="K206" s="83" t="str">
        <x:v>P2 - contesto/validazione</x:v>
      </x:c>
      <x:c r="L206" s="83" t="str">
        <x:v>Figura o mappa; lettura etichette / eventuale digitalizzazione</x:v>
      </x:c>
      <x:c r="M206" s="83" t="str">
        <x:v>Medio</x:v>
      </x:c>
      <x:c r="N206" s="83" t="str">
        <x:v>Da verificare in Fase 3</x:v>
      </x:c>
    </x:row>
    <x:row r="207">
      <x:c r="A207" s="83" t="str">
        <x:v>S05-FIG-11-42</x:v>
      </x:c>
      <x:c r="B207" s="83" t="str">
        <x:v>S05</x:v>
      </x:c>
      <x:c r="C207" s="83" t="str">
        <x:v>Esigenze di sviluppo: i nuovi progetti</x:v>
      </x:c>
      <x:c r="D207" s="83" t="str">
        <x:v>Figura</x:v>
      </x:c>
      <x:c r="E207" s="83" t="str">
        <x:v>11</x:v>
      </x:c>
      <x:c r="F207" s="83" t="n">
        <x:v>42</x:v>
      </x:c>
      <x:c r="G207" s="83" t="n">
        <x:v>40</x:v>
      </x:c>
      <x:c r="H207" s="83" t="str">
        <x:v>4. Massimizzazione asset</x:v>
      </x:c>
      <x:c r="I207" s="83" t="str">
        <x:v>Figura 11 Installazione OMP tramite sostituzione di due sostegni</x:v>
      </x:c>
      <x:c r="J207" s="83" t="str">
        <x:v>Contesto / metodologia</x:v>
      </x:c>
      <x:c r="K207" s="83" t="str">
        <x:v>P2 - contesto/validazione</x:v>
      </x:c>
      <x:c r="L207" s="83" t="str">
        <x:v>Figura o mappa; lettura etichette / eventuale digitalizzazione</x:v>
      </x:c>
      <x:c r="M207" s="83" t="str">
        <x:v>Medio</x:v>
      </x:c>
      <x:c r="N207" s="83" t="str">
        <x:v>Da verificare in Fase 3</x:v>
      </x:c>
    </x:row>
    <x:row r="208">
      <x:c r="A208" s="83" t="str">
        <x:v>S05-FIG-12-42</x:v>
      </x:c>
      <x:c r="B208" s="83" t="str">
        <x:v>S05</x:v>
      </x:c>
      <x:c r="C208" s="83" t="str">
        <x:v>Esigenze di sviluppo: i nuovi progetti</x:v>
      </x:c>
      <x:c r="D208" s="83" t="str">
        <x:v>Figura</x:v>
      </x:c>
      <x:c r="E208" s="83" t="str">
        <x:v>12</x:v>
      </x:c>
      <x:c r="F208" s="83" t="n">
        <x:v>42</x:v>
      </x:c>
      <x:c r="G208" s="83" t="n">
        <x:v>40</x:v>
      </x:c>
      <x:c r="H208" s="83" t="str">
        <x:v>4. Massimizzazione asset</x:v>
      </x:c>
      <x:c r="I208" s="83" t="str">
        <x:v>Figura 12 Installazione OMP tramite la sostituzione di tre sostegni</x:v>
      </x:c>
      <x:c r="J208" s="83" t="str">
        <x:v>Contesto / metodologia</x:v>
      </x:c>
      <x:c r="K208" s="83" t="str">
        <x:v>P2 - contesto/validazione</x:v>
      </x:c>
      <x:c r="L208" s="83" t="str">
        <x:v>Figura o mappa; lettura etichette / eventuale digitalizzazione</x:v>
      </x:c>
      <x:c r="M208" s="83" t="str">
        <x:v>Medio</x:v>
      </x:c>
      <x:c r="N208" s="83" t="str">
        <x:v>Da verificare in Fase 3</x:v>
      </x:c>
    </x:row>
    <x:row r="209">
      <x:c r="A209" s="83" t="str">
        <x:v>S05-FIG-13-44</x:v>
      </x:c>
      <x:c r="B209" s="83" t="str">
        <x:v>S05</x:v>
      </x:c>
      <x:c r="C209" s="83" t="str">
        <x:v>Esigenze di sviluppo: i nuovi progetti</x:v>
      </x:c>
      <x:c r="D209" s="83" t="str">
        <x:v>Figura</x:v>
      </x:c>
      <x:c r="E209" s="83" t="str">
        <x:v>13</x:v>
      </x:c>
      <x:c r="F209" s="83" t="n">
        <x:v>44</x:v>
      </x:c>
      <x:c r="G209" s="83" t="n">
        <x:v>42</x:v>
      </x:c>
      <x:c r="H209" s="83" t="str">
        <x:v>4. Massimizzazione asset</x:v>
      </x:c>
      <x:c r="I209" s="83" t="str">
        <x:v>Figura 13 Sensoristica DTR utilizzata per il monitoraggio in tempo reale della linea</x:v>
      </x:c>
      <x:c r="J209" s="83" t="str">
        <x:v>Contesto / metodologia</x:v>
      </x:c>
      <x:c r="K209" s="83" t="str">
        <x:v>P2 - contesto/validazione</x:v>
      </x:c>
      <x:c r="L209" s="83" t="str">
        <x:v>Figura o mappa; lettura etichette / eventuale digitalizzazione</x:v>
      </x:c>
      <x:c r="M209" s="83" t="str">
        <x:v>Medio</x:v>
      </x:c>
      <x:c r="N209" s="83" t="str">
        <x:v>Da verificare in Fase 3</x:v>
      </x:c>
    </x:row>
    <x:row r="210">
      <x:c r="A210" s="83" t="str">
        <x:v>S05-FIG-14-45</x:v>
      </x:c>
      <x:c r="B210" s="83" t="str">
        <x:v>S05</x:v>
      </x:c>
      <x:c r="C210" s="83" t="str">
        <x:v>Esigenze di sviluppo: i nuovi progetti</x:v>
      </x:c>
      <x:c r="D210" s="83" t="str">
        <x:v>Figura</x:v>
      </x:c>
      <x:c r="E210" s="83" t="str">
        <x:v>14</x:v>
      </x:c>
      <x:c r="F210" s="83" t="n">
        <x:v>45</x:v>
      </x:c>
      <x:c r="G210" s="83" t="n">
        <x:v>43</x:v>
      </x:c>
      <x:c r="H210" s="83" t="str">
        <x:v>4. Massimizzazione asset</x:v>
      </x:c>
      <x:c r="I210" s="83" t="str">
        <x:v>Figura 14 Schema unifilare standard di un collegamento tra due impianti</x:v>
      </x:c>
      <x:c r="J210" s="83" t="str">
        <x:v>Contesto / metodologia</x:v>
      </x:c>
      <x:c r="K210" s="83" t="str">
        <x:v>P2 - contesto/validazione</x:v>
      </x:c>
      <x:c r="L210" s="83" t="str">
        <x:v>Figura o mappa; lettura etichette / eventuale digitalizzazione</x:v>
      </x:c>
      <x:c r="M210" s="83" t="str">
        <x:v>Medio</x:v>
      </x:c>
      <x:c r="N210" s="83" t="str">
        <x:v>Da verificare in Fase 3</x:v>
      </x:c>
    </x:row>
    <x:row r="211">
      <x:c r="A211" s="83" t="str">
        <x:v>S05-FIG-15-49</x:v>
      </x:c>
      <x:c r="B211" s="83" t="str">
        <x:v>S05</x:v>
      </x:c>
      <x:c r="C211" s="83" t="str">
        <x:v>Esigenze di sviluppo: i nuovi progetti</x:v>
      </x:c>
      <x:c r="D211" s="83" t="str">
        <x:v>Figura</x:v>
      </x:c>
      <x:c r="E211" s="83" t="str">
        <x:v>15</x:v>
      </x:c>
      <x:c r="F211" s="83" t="n">
        <x:v>49</x:v>
      </x:c>
      <x:c r="G211" s="83" t="n">
        <x:v>47</x:v>
      </x:c>
      <x:c r="H211" s="83" t="str">
        <x:v>4. Massimizzazione asset</x:v>
      </x:c>
      <x:c r="I211" s="83" t="str">
        <x:v>Figura 15 MPE Sardegna (Ogliastra)</x:v>
      </x:c>
      <x:c r="J211" s="83" t="str">
        <x:v>Contesto / metodologia</x:v>
      </x:c>
      <x:c r="K211" s="83" t="str">
        <x:v>P2 - contesto/validazione</x:v>
      </x:c>
      <x:c r="L211" s="83" t="str">
        <x:v>Figura o mappa; lettura etichette / eventuale digitalizzazione</x:v>
      </x:c>
      <x:c r="M211" s="83" t="str">
        <x:v>Medio</x:v>
      </x:c>
      <x:c r="N211" s="83" t="str">
        <x:v>Da verificare in Fase 3</x:v>
      </x:c>
    </x:row>
    <x:row r="212">
      <x:c r="A212" s="83" t="str">
        <x:v>S05-FIG-16-50</x:v>
      </x:c>
      <x:c r="B212" s="83" t="str">
        <x:v>S05</x:v>
      </x:c>
      <x:c r="C212" s="83" t="str">
        <x:v>Esigenze di sviluppo: i nuovi progetti</x:v>
      </x:c>
      <x:c r="D212" s="83" t="str">
        <x:v>Figura</x:v>
      </x:c>
      <x:c r="E212" s="83" t="str">
        <x:v>16</x:v>
      </x:c>
      <x:c r="F212" s="83" t="n">
        <x:v>50</x:v>
      </x:c>
      <x:c r="G212" s="83" t="n">
        <x:v>48</x:v>
      </x:c>
      <x:c r="H212" s="83" t="str">
        <x:v>5. Interconnessioni estere</x:v>
      </x:c>
      <x:c r="I212" s="83" t="str">
        <x:v>Figura 16 MPE Beneventano</x:v>
      </x:c>
      <x:c r="J212" s="83" t="str">
        <x:v>Contesto / metodologia</x:v>
      </x:c>
      <x:c r="K212" s="83" t="str">
        <x:v>P2 - contesto/validazione</x:v>
      </x:c>
      <x:c r="L212" s="83" t="str">
        <x:v>Figura o mappa; lettura etichette / eventuale digitalizzazione</x:v>
      </x:c>
      <x:c r="M212" s="83" t="str">
        <x:v>Medio</x:v>
      </x:c>
      <x:c r="N212" s="83" t="str">
        <x:v>Da verificare in Fase 3</x:v>
      </x:c>
    </x:row>
    <x:row r="213">
      <x:c r="A213" s="83" t="str">
        <x:v>S05-FIG-17-51</x:v>
      </x:c>
      <x:c r="B213" s="83" t="str">
        <x:v>S05</x:v>
      </x:c>
      <x:c r="C213" s="83" t="str">
        <x:v>Esigenze di sviluppo: i nuovi progetti</x:v>
      </x:c>
      <x:c r="D213" s="83" t="str">
        <x:v>Figura</x:v>
      </x:c>
      <x:c r="E213" s="83" t="str">
        <x:v>17</x:v>
      </x:c>
      <x:c r="F213" s="83" t="n">
        <x:v>51</x:v>
      </x:c>
      <x:c r="G213" s="83" t="n">
        <x:v>49</x:v>
      </x:c>
      <x:c r="H213" s="83" t="str">
        <x:v>5. Interconnessioni estere</x:v>
      </x:c>
      <x:c r="I213" s="83" t="str">
        <x:v>Figura 17 Interventi per congestioni in area Nord</x:v>
      </x:c>
      <x:c r="J213" s="83" t="str">
        <x:v>Contesto / metodologia</x:v>
      </x:c>
      <x:c r="K213" s="83" t="str">
        <x:v>P2 - contesto/validazione</x:v>
      </x:c>
      <x:c r="L213" s="83" t="str">
        <x:v>Figura o mappa; lettura etichette / eventuale digitalizzazione</x:v>
      </x:c>
      <x:c r="M213" s="83" t="str">
        <x:v>Medio</x:v>
      </x:c>
      <x:c r="N213" s="83" t="str">
        <x:v>Da verificare in Fase 3</x:v>
      </x:c>
    </x:row>
    <x:row r="214">
      <x:c r="A214" s="83" t="str">
        <x:v>S05-FIG-18-55</x:v>
      </x:c>
      <x:c r="B214" s="83" t="str">
        <x:v>S05</x:v>
      </x:c>
      <x:c r="C214" s="83" t="str">
        <x:v>Esigenze di sviluppo: i nuovi progetti</x:v>
      </x:c>
      <x:c r="D214" s="83" t="str">
        <x:v>Figura</x:v>
      </x:c>
      <x:c r="E214" s="83" t="str">
        <x:v>18</x:v>
      </x:c>
      <x:c r="F214" s="83" t="n">
        <x:v>55</x:v>
      </x:c>
      <x:c r="G214" s="83" t="n">
        <x:v>53</x:v>
      </x:c>
      <x:c r="H214" s="83" t="str">
        <x:v>5. Interconnessioni estere</x:v>
      </x:c>
      <x:c r="I214" s="83" t="str">
        <x:v>Figura 18 Principali progetti di interconnessione</x:v>
      </x:c>
      <x:c r="J214" s="83" t="str">
        <x:v>Trasmissione e interconnessioni</x:v>
      </x:c>
      <x:c r="K214" s="83" t="str">
        <x:v>P2 - contesto/validazione</x:v>
      </x:c>
      <x:c r="L214" s="83" t="str">
        <x:v>Figura o mappa; lettura etichette / eventuale digitalizzazione</x:v>
      </x:c>
      <x:c r="M214" s="83" t="str">
        <x:v>Medio</x:v>
      </x:c>
      <x:c r="N214" s="83" t="str">
        <x:v>Da verificare in Fase 3</x:v>
      </x:c>
    </x:row>
    <x:row r="215">
      <x:c r="A215" s="83" t="str">
        <x:v>S05-FIG-19-56</x:v>
      </x:c>
      <x:c r="B215" s="83" t="str">
        <x:v>S05</x:v>
      </x:c>
      <x:c r="C215" s="83" t="str">
        <x:v>Esigenze di sviluppo: i nuovi progetti</x:v>
      </x:c>
      <x:c r="D215" s="83" t="str">
        <x:v>Figura</x:v>
      </x:c>
      <x:c r="E215" s="83" t="str">
        <x:v>19</x:v>
      </x:c>
      <x:c r="F215" s="83" t="n">
        <x:v>56</x:v>
      </x:c>
      <x:c r="G215" s="83" t="n">
        <x:v>54</x:v>
      </x:c>
      <x:c r="H215" s="83" t="str">
        <x:v>5. Interconnessioni estere</x:v>
      </x:c>
      <x:c r="I215" s="83" t="str">
        <x:v>Figura 19 Progetti di interconnessione allo studio</x:v>
      </x:c>
      <x:c r="J215" s="83" t="str">
        <x:v>Trasmissione e interconnessioni</x:v>
      </x:c>
      <x:c r="K215" s="83" t="str">
        <x:v>P2 - contesto/validazione</x:v>
      </x:c>
      <x:c r="L215" s="83" t="str">
        <x:v>Figura o mappa; lettura etichette / eventuale digitalizzazione</x:v>
      </x:c>
      <x:c r="M215" s="83" t="str">
        <x:v>Medio</x:v>
      </x:c>
      <x:c r="N215" s="83" t="str">
        <x:v>Da verificare in Fase 3</x:v>
      </x:c>
    </x:row>
    <x:row r="216">
      <x:c r="A216" s="83" t="str">
        <x:v>S05-FIG-20-57</x:v>
      </x:c>
      <x:c r="B216" s="83" t="str">
        <x:v>S05</x:v>
      </x:c>
      <x:c r="C216" s="83" t="str">
        <x:v>Esigenze di sviluppo: i nuovi progetti</x:v>
      </x:c>
      <x:c r="D216" s="83" t="str">
        <x:v>Figura</x:v>
      </x:c>
      <x:c r="E216" s="83" t="str">
        <x:v>20</x:v>
      </x:c>
      <x:c r="F216" s="83" t="n">
        <x:v>57</x:v>
      </x:c>
      <x:c r="G216" s="83" t="n">
        <x:v>55</x:v>
      </x:c>
      <x:c r="H216" s="83" t="str">
        <x:v>5. Interconnessioni estere</x:v>
      </x:c>
      <x:c r="I216" s="83" t="str">
        <x:v>Figura 20 Progetti di interconnessione con l’estero ai sensi della Legge n.99/2009</x:v>
      </x:c>
      <x:c r="J216" s="83" t="str">
        <x:v>Trasmissione e interconnessioni</x:v>
      </x:c>
      <x:c r="K216" s="83" t="str">
        <x:v>P2 - contesto/validazione</x:v>
      </x:c>
      <x:c r="L216" s="83" t="str">
        <x:v>Figura o mappa; lettura etichette / eventuale digitalizzazione</x:v>
      </x:c>
      <x:c r="M216" s="83" t="str">
        <x:v>Medio</x:v>
      </x:c>
      <x:c r="N216" s="83" t="str">
        <x:v>Da verificare in Fase 3</x:v>
      </x:c>
    </x:row>
    <x:row r="217">
      <x:c r="A217" s="83" t="str">
        <x:v>S05-FIG-21-58</x:v>
      </x:c>
      <x:c r="B217" s="83" t="str">
        <x:v>S05</x:v>
      </x:c>
      <x:c r="C217" s="83" t="str">
        <x:v>Esigenze di sviluppo: i nuovi progetti</x:v>
      </x:c>
      <x:c r="D217" s="83" t="str">
        <x:v>Figura</x:v>
      </x:c>
      <x:c r="E217" s="83" t="str">
        <x:v>21</x:v>
      </x:c>
      <x:c r="F217" s="83" t="n">
        <x:v>58</x:v>
      </x:c>
      <x:c r="G217" s="83" t="n">
        <x:v>56</x:v>
      </x:c>
      <x:c r="H217" s="83" t="str">
        <x:v>5. Interconnessioni estere</x:v>
      </x:c>
      <x:c r="I217" s="83" t="str">
        <x:v>Figura 21 Progetti Merchant Lines e/o di altri promotori che alla data di avvio della consultazione pubblica</x:v>
      </x:c>
      <x:c r="J217" s="83" t="str">
        <x:v>Contesto / metodologia</x:v>
      </x:c>
      <x:c r="K217" s="83" t="str">
        <x:v>P2 - contesto/validazione</x:v>
      </x:c>
      <x:c r="L217" s="83" t="str">
        <x:v>Figura o mappa; lettura etichette / eventuale digitalizzazione</x:v>
      </x:c>
      <x:c r="M217" s="83" t="str">
        <x:v>Medio</x:v>
      </x:c>
      <x:c r="N217" s="83" t="str">
        <x:v>Da verificare in Fase 3</x:v>
      </x:c>
    </x:row>
    <x:row r="218">
      <x:c r="A218" s="83" t="str">
        <x:v>S05-TAB-2-59</x:v>
      </x:c>
      <x:c r="B218" s="83" t="str">
        <x:v>S05</x:v>
      </x:c>
      <x:c r="C218" s="83" t="str">
        <x:v>Esigenze di sviluppo: i nuovi progetti</x:v>
      </x:c>
      <x:c r="D218" s="83" t="str">
        <x:v>Tabella</x:v>
      </x:c>
      <x:c r="E218" s="83" t="str">
        <x:v>2</x:v>
      </x:c>
      <x:c r="F218" s="83" t="n">
        <x:v>59</x:v>
      </x:c>
      <x:c r="G218" s="83" t="n">
        <x:v>57</x:v>
      </x:c>
      <x:c r="H218" s="83" t="str">
        <x:v>5. Interconnessioni estere</x:v>
      </x:c>
      <x:c r="I218" s="83" t="str">
        <x:v>Tabella 2 KPI utilizzati per definire il collocamento di ciascuna iniziativa Merchant Lines e/o di altri promotori</x:v>
      </x:c>
      <x:c r="J218" s="83" t="str">
        <x:v>Contesto / metodologia</x:v>
      </x:c>
      <x:c r="K218" s="83" t="str">
        <x:v>P2 - contesto/validazione</x:v>
      </x:c>
      <x:c r="L218" s="83" t="str">
        <x:v>Tabella testuale/PDF</x:v>
      </x:c>
      <x:c r="M218" s="83" t="str">
        <x:v>Basso</x:v>
      </x:c>
      <x:c r="N218" s="83" t="str">
        <x:v>Da verificare in Fase 3</x:v>
      </x:c>
    </x:row>
    <x:row r="219">
      <x:c r="A219" s="83" t="str">
        <x:v>S05-TAB-3-60</x:v>
      </x:c>
      <x:c r="B219" s="83" t="str">
        <x:v>S05</x:v>
      </x:c>
      <x:c r="C219" s="83" t="str">
        <x:v>Esigenze di sviluppo: i nuovi progetti</x:v>
      </x:c>
      <x:c r="D219" s="83" t="str">
        <x:v>Tabella</x:v>
      </x:c>
      <x:c r="E219" s="83" t="str">
        <x:v>3</x:v>
      </x:c>
      <x:c r="F219" s="83" t="n">
        <x:v>60</x:v>
      </x:c>
      <x:c r="G219" s="83" t="n">
        <x:v>58</x:v>
      </x:c>
      <x:c r="H219" s="83" t="str">
        <x:v>5. Interconnessioni estere</x:v>
      </x:c>
      <x:c r="I219" s="83" t="str">
        <x:v>Tabella 3 Iniziative Merchant Lines per le quali è disponibile una richiesta di connessione alla RTN in fase</x:v>
      </x:c>
      <x:c r="J219" s="83" t="str">
        <x:v>Trasmissione e interconnessioni</x:v>
      </x:c>
      <x:c r="K219" s="83" t="str">
        <x:v>P2 - contesto/validazione</x:v>
      </x:c>
      <x:c r="L219" s="83" t="str">
        <x:v>Tabella testuale/PDF</x:v>
      </x:c>
      <x:c r="M219" s="83" t="str">
        <x:v>Basso</x:v>
      </x:c>
      <x:c r="N219" s="83" t="str">
        <x:v>Da verificare in Fase 3</x:v>
      </x:c>
    </x:row>
    <x:row r="220">
      <x:c r="A220" s="83" t="str">
        <x:v>S05-TAB-4-60</x:v>
      </x:c>
      <x:c r="B220" s="83" t="str">
        <x:v>S05</x:v>
      </x:c>
      <x:c r="C220" s="83" t="str">
        <x:v>Esigenze di sviluppo: i nuovi progetti</x:v>
      </x:c>
      <x:c r="D220" s="83" t="str">
        <x:v>Tabella</x:v>
      </x:c>
      <x:c r="E220" s="83" t="str">
        <x:v>4</x:v>
      </x:c>
      <x:c r="F220" s="83" t="n">
        <x:v>60</x:v>
      </x:c>
      <x:c r="G220" s="83" t="n">
        <x:v>58</x:v>
      </x:c>
      <x:c r="H220" s="83" t="str">
        <x:v>5. Interconnessioni estere</x:v>
      </x:c>
      <x:c r="I220" s="83" t="str">
        <x:v>Tabella 4 Scheda riepilogativa ML Medlink 1 (Italy-Algeria Link)</x:v>
      </x:c>
      <x:c r="J220" s="83" t="str">
        <x:v>Contesto / metodologia</x:v>
      </x:c>
      <x:c r="K220" s="83" t="str">
        <x:v>P2 - contesto/validazione</x:v>
      </x:c>
      <x:c r="L220" s="83" t="str">
        <x:v>Tabella testuale/PDF</x:v>
      </x:c>
      <x:c r="M220" s="83" t="str">
        <x:v>Basso</x:v>
      </x:c>
      <x:c r="N220" s="83" t="str">
        <x:v>Da verificare in Fase 3</x:v>
      </x:c>
    </x:row>
    <x:row r="221">
      <x:c r="A221" s="83" t="str">
        <x:v>S05-TAB-5-61</x:v>
      </x:c>
      <x:c r="B221" s="83" t="str">
        <x:v>S05</x:v>
      </x:c>
      <x:c r="C221" s="83" t="str">
        <x:v>Esigenze di sviluppo: i nuovi progetti</x:v>
      </x:c>
      <x:c r="D221" s="83" t="str">
        <x:v>Tabella</x:v>
      </x:c>
      <x:c r="E221" s="83" t="str">
        <x:v>5</x:v>
      </x:c>
      <x:c r="F221" s="83" t="n">
        <x:v>61</x:v>
      </x:c>
      <x:c r="G221" s="83" t="n">
        <x:v>59</x:v>
      </x:c>
      <x:c r="H221" s="83" t="str">
        <x:v>5. Interconnessioni estere</x:v>
      </x:c>
      <x:c r="I221" s="83" t="str">
        <x:v>Tabella 5 Scheda riepilogativa ML Somplago-Würmalch</x:v>
      </x:c>
      <x:c r="J221" s="83" t="str">
        <x:v>Contesto / metodologia</x:v>
      </x:c>
      <x:c r="K221" s="83" t="str">
        <x:v>P2 - contesto/validazione</x:v>
      </x:c>
      <x:c r="L221" s="83" t="str">
        <x:v>Tabella testuale/PDF</x:v>
      </x:c>
      <x:c r="M221" s="83" t="str">
        <x:v>Basso</x:v>
      </x:c>
      <x:c r="N221" s="83" t="str">
        <x:v>Da verificare in Fase 3</x:v>
      </x:c>
    </x:row>
    <x:row r="222">
      <x:c r="A222" s="83" t="str">
        <x:v>S05-TAB-6-62</x:v>
      </x:c>
      <x:c r="B222" s="83" t="str">
        <x:v>S05</x:v>
      </x:c>
      <x:c r="C222" s="83" t="str">
        <x:v>Esigenze di sviluppo: i nuovi progetti</x:v>
      </x:c>
      <x:c r="D222" s="83" t="str">
        <x:v>Tabella</x:v>
      </x:c>
      <x:c r="E222" s="83" t="str">
        <x:v>6</x:v>
      </x:c>
      <x:c r="F222" s="83" t="n">
        <x:v>62</x:v>
      </x:c>
      <x:c r="G222" s="83" t="n">
        <x:v>60</x:v>
      </x:c>
      <x:c r="H222" s="83" t="str">
        <x:v>5. Interconnessioni estere</x:v>
      </x:c>
      <x:c r="I222" s="83" t="str">
        <x:v>Tabella 6 Scheda riepilogativa ML Italia-Egitto</x:v>
      </x:c>
      <x:c r="J222" s="83" t="str">
        <x:v>Contesto / metodologia</x:v>
      </x:c>
      <x:c r="K222" s="83" t="str">
        <x:v>P2 - contesto/validazione</x:v>
      </x:c>
      <x:c r="L222" s="83" t="str">
        <x:v>Tabella testuale/PDF</x:v>
      </x:c>
      <x:c r="M222" s="83" t="str">
        <x:v>Basso</x:v>
      </x:c>
      <x:c r="N222" s="83" t="str">
        <x:v>Da verificare in Fase 3</x:v>
      </x:c>
    </x:row>
    <x:row r="223">
      <x:c r="A223" s="83" t="str">
        <x:v>S05-TAB-7-63</x:v>
      </x:c>
      <x:c r="B223" s="83" t="str">
        <x:v>S05</x:v>
      </x:c>
      <x:c r="C223" s="83" t="str">
        <x:v>Esigenze di sviluppo: i nuovi progetti</x:v>
      </x:c>
      <x:c r="D223" s="83" t="str">
        <x:v>Tabella</x:v>
      </x:c>
      <x:c r="E223" s="83" t="str">
        <x:v>7</x:v>
      </x:c>
      <x:c r="F223" s="83" t="n">
        <x:v>63</x:v>
      </x:c>
      <x:c r="G223" s="83" t="n">
        <x:v>61</x:v>
      </x:c>
      <x:c r="H223" s="83" t="str">
        <x:v>5. Interconnessioni estere</x:v>
      </x:c>
      <x:c r="I223" s="83" t="str">
        <x:v>Tabella 7 Scheda riepilogativa ML Cesana-Briançon</x:v>
      </x:c>
      <x:c r="J223" s="83" t="str">
        <x:v>Contesto / metodologia</x:v>
      </x:c>
      <x:c r="K223" s="83" t="str">
        <x:v>P2 - contesto/validazione</x:v>
      </x:c>
      <x:c r="L223" s="83" t="str">
        <x:v>Tabella testuale/PDF</x:v>
      </x:c>
      <x:c r="M223" s="83" t="str">
        <x:v>Basso</x:v>
      </x:c>
      <x:c r="N223" s="83" t="str">
        <x:v>Da verificare in Fase 3</x:v>
      </x:c>
    </x:row>
    <x:row r="224">
      <x:c r="A224" s="83" t="str">
        <x:v>S05-TAB-8-64</x:v>
      </x:c>
      <x:c r="B224" s="83" t="str">
        <x:v>S05</x:v>
      </x:c>
      <x:c r="C224" s="83" t="str">
        <x:v>Esigenze di sviluppo: i nuovi progetti</x:v>
      </x:c>
      <x:c r="D224" s="83" t="str">
        <x:v>Tabella</x:v>
      </x:c>
      <x:c r="E224" s="83" t="str">
        <x:v>8</x:v>
      </x:c>
      <x:c r="F224" s="83" t="n">
        <x:v>64</x:v>
      </x:c>
      <x:c r="G224" s="83" t="n">
        <x:v>62</x:v>
      </x:c>
      <x:c r="H224" s="83" t="str">
        <x:v>5. Interconnessioni estere</x:v>
      </x:c>
      <x:c r="I224" s="83" t="str">
        <x:v>Tabella 8 Scheda riepilogativa ML Malta-Italy Cable Link No.2</x:v>
      </x:c>
      <x:c r="J224" s="83" t="str">
        <x:v>Contesto / metodologia</x:v>
      </x:c>
      <x:c r="K224" s="83" t="str">
        <x:v>P2 - contesto/validazione</x:v>
      </x:c>
      <x:c r="L224" s="83" t="str">
        <x:v>Tabella testuale/PDF</x:v>
      </x:c>
      <x:c r="M224" s="83" t="str">
        <x:v>Basso</x:v>
      </x:c>
      <x:c r="N224" s="83" t="str">
        <x:v>Da verificare in Fase 3</x:v>
      </x:c>
    </x:row>
    <x:row r="225">
      <x:c r="A225" s="83" t="str">
        <x:v>S05-TAB-9-65</x:v>
      </x:c>
      <x:c r="B225" s="83" t="str">
        <x:v>S05</x:v>
      </x:c>
      <x:c r="C225" s="83" t="str">
        <x:v>Esigenze di sviluppo: i nuovi progetti</x:v>
      </x:c>
      <x:c r="D225" s="83" t="str">
        <x:v>Tabella</x:v>
      </x:c>
      <x:c r="E225" s="83" t="str">
        <x:v>9</x:v>
      </x:c>
      <x:c r="F225" s="83" t="n">
        <x:v>65</x:v>
      </x:c>
      <x:c r="G225" s="83" t="n">
        <x:v>63</x:v>
      </x:c>
      <x:c r="H225" s="83" t="str">
        <x:v>5. Interconnessioni estere</x:v>
      </x:c>
      <x:c r="I225" s="83" t="str">
        <x:v>Tabella 9 Scheda riepilogativa ML Redipuglia-Vrtojba</x:v>
      </x:c>
      <x:c r="J225" s="83" t="str">
        <x:v>Contesto / metodologia</x:v>
      </x:c>
      <x:c r="K225" s="83" t="str">
        <x:v>P2 - contesto/validazione</x:v>
      </x:c>
      <x:c r="L225" s="83" t="str">
        <x:v>Tabella testuale/PDF</x:v>
      </x:c>
      <x:c r="M225" s="83" t="str">
        <x:v>Basso</x:v>
      </x:c>
      <x:c r="N225" s="83" t="str">
        <x:v>Da verificare in Fase 3</x:v>
      </x:c>
    </x:row>
    <x:row r="226">
      <x:c r="A226" s="83" t="str">
        <x:v>S05-TAB-10-66</x:v>
      </x:c>
      <x:c r="B226" s="83" t="str">
        <x:v>S05</x:v>
      </x:c>
      <x:c r="C226" s="83" t="str">
        <x:v>Esigenze di sviluppo: i nuovi progetti</x:v>
      </x:c>
      <x:c r="D226" s="83" t="str">
        <x:v>Tabella</x:v>
      </x:c>
      <x:c r="E226" s="83" t="str">
        <x:v>10</x:v>
      </x:c>
      <x:c r="F226" s="83" t="n">
        <x:v>66</x:v>
      </x:c>
      <x:c r="G226" s="83" t="n">
        <x:v>64</x:v>
      </x:c>
      <x:c r="H226" s="83" t="str">
        <x:v>5. Interconnessioni estere</x:v>
      </x:c>
      <x:c r="I226" s="83" t="str">
        <x:v>Tabella 10 Scheda riepilogativa ML Dekani-Zaule</x:v>
      </x:c>
      <x:c r="J226" s="83" t="str">
        <x:v>Contesto / metodologia</x:v>
      </x:c>
      <x:c r="K226" s="83" t="str">
        <x:v>P2 - contesto/validazione</x:v>
      </x:c>
      <x:c r="L226" s="83" t="str">
        <x:v>Tabella testuale/PDF</x:v>
      </x:c>
      <x:c r="M226" s="83" t="str">
        <x:v>Basso</x:v>
      </x:c>
      <x:c r="N226" s="83" t="str">
        <x:v>Da verificare in Fase 3</x:v>
      </x:c>
    </x:row>
    <x:row r="227">
      <x:c r="A227" s="83" t="str">
        <x:v>S05-TAB-11-67</x:v>
      </x:c>
      <x:c r="B227" s="83" t="str">
        <x:v>S05</x:v>
      </x:c>
      <x:c r="C227" s="83" t="str">
        <x:v>Esigenze di sviluppo: i nuovi progetti</x:v>
      </x:c>
      <x:c r="D227" s="83" t="str">
        <x:v>Tabella</x:v>
      </x:c>
      <x:c r="E227" s="83" t="str">
        <x:v>11</x:v>
      </x:c>
      <x:c r="F227" s="83" t="n">
        <x:v>67</x:v>
      </x:c>
      <x:c r="G227" s="83" t="n">
        <x:v>65</x:v>
      </x:c>
      <x:c r="H227" s="83" t="str">
        <x:v>5. Interconnessioni estere</x:v>
      </x:c>
      <x:c r="I227" s="83" t="str">
        <x:v>Tabella 11 Scheda riepilogativa ML APOLLO-LINK</x:v>
      </x:c>
      <x:c r="J227" s="83" t="str">
        <x:v>Contesto / metodologia</x:v>
      </x:c>
      <x:c r="K227" s="83" t="str">
        <x:v>P2 - contesto/validazione</x:v>
      </x:c>
      <x:c r="L227" s="83" t="str">
        <x:v>Tabella testuale/PDF</x:v>
      </x:c>
      <x:c r="M227" s="83" t="str">
        <x:v>Basso</x:v>
      </x:c>
      <x:c r="N227" s="83" t="str">
        <x:v>Da verificare in Fase 3</x:v>
      </x:c>
    </x:row>
    <x:row r="228">
      <x:c r="A228" s="83" t="str">
        <x:v>S05-TAB-12-68</x:v>
      </x:c>
      <x:c r="B228" s="83" t="str">
        <x:v>S05</x:v>
      </x:c>
      <x:c r="C228" s="83" t="str">
        <x:v>Esigenze di sviluppo: i nuovi progetti</x:v>
      </x:c>
      <x:c r="D228" s="83" t="str">
        <x:v>Tabella</x:v>
      </x:c>
      <x:c r="E228" s="83" t="str">
        <x:v>12</x:v>
      </x:c>
      <x:c r="F228" s="83" t="n">
        <x:v>68</x:v>
      </x:c>
      <x:c r="G228" s="83" t="n">
        <x:v>66</x:v>
      </x:c>
      <x:c r="H228" s="83" t="str">
        <x:v>5. Interconnessioni estere</x:v>
      </x:c>
      <x:c r="I228" s="83" t="str">
        <x:v>Tabella 12 Scheda riepilogativa ML Mese-Castasegna</x:v>
      </x:c>
      <x:c r="J228" s="83" t="str">
        <x:v>Contesto / metodologia</x:v>
      </x:c>
      <x:c r="K228" s="83" t="str">
        <x:v>P2 - contesto/validazione</x:v>
      </x:c>
      <x:c r="L228" s="83" t="str">
        <x:v>Tabella testuale/PDF</x:v>
      </x:c>
      <x:c r="M228" s="83" t="str">
        <x:v>Basso</x:v>
      </x:c>
      <x:c r="N228" s="83" t="str">
        <x:v>Da verificare in Fase 3</x:v>
      </x:c>
    </x:row>
    <x:row r="229">
      <x:c r="A229" s="83" t="str">
        <x:v>S05-TAB-13-69</x:v>
      </x:c>
      <x:c r="B229" s="83" t="str">
        <x:v>S05</x:v>
      </x:c>
      <x:c r="C229" s="83" t="str">
        <x:v>Esigenze di sviluppo: i nuovi progetti</x:v>
      </x:c>
      <x:c r="D229" s="83" t="str">
        <x:v>Tabella</x:v>
      </x:c>
      <x:c r="E229" s="83" t="str">
        <x:v>13</x:v>
      </x:c>
      <x:c r="F229" s="83" t="n">
        <x:v>69</x:v>
      </x:c>
      <x:c r="G229" s="83" t="n">
        <x:v>67</x:v>
      </x:c>
      <x:c r="H229" s="83" t="str">
        <x:v>5. Interconnessioni estere</x:v>
      </x:c>
      <x:c r="I229" s="83" t="str">
        <x:v>Tabella 13 Scheda riepilogativa ML Medlink 2 (Italy-Tunisia Link)</x:v>
      </x:c>
      <x:c r="J229" s="83" t="str">
        <x:v>Contesto / metodologia</x:v>
      </x:c>
      <x:c r="K229" s="83" t="str">
        <x:v>P2 - contesto/validazione</x:v>
      </x:c>
      <x:c r="L229" s="83" t="str">
        <x:v>Tabella testuale/PDF</x:v>
      </x:c>
      <x:c r="M229" s="83" t="str">
        <x:v>Basso</x:v>
      </x:c>
      <x:c r="N229" s="83" t="str">
        <x:v>Da verificare in Fase 3</x:v>
      </x:c>
    </x:row>
    <x:row r="230">
      <x:c r="A230" s="83" t="str">
        <x:v>S05-TAB-14-69</x:v>
      </x:c>
      <x:c r="B230" s="83" t="str">
        <x:v>S05</x:v>
      </x:c>
      <x:c r="C230" s="83" t="str">
        <x:v>Esigenze di sviluppo: i nuovi progetti</x:v>
      </x:c>
      <x:c r="D230" s="83" t="str">
        <x:v>Tabella</x:v>
      </x:c>
      <x:c r="E230" s="83" t="str">
        <x:v>14</x:v>
      </x:c>
      <x:c r="F230" s="83" t="n">
        <x:v>69</x:v>
      </x:c>
      <x:c r="G230" s="83" t="n">
        <x:v>67</x:v>
      </x:c>
      <x:c r="H230" s="83" t="str">
        <x:v>5. Interconnessioni estere</x:v>
      </x:c>
      <x:c r="I230" s="83" t="str">
        <x:v>Tabella 14 Ulteriori iniziative Merchant Lines</x:v>
      </x:c>
      <x:c r="J230" s="83" t="str">
        <x:v>Contesto / metodologia</x:v>
      </x:c>
      <x:c r="K230" s="83" t="str">
        <x:v>P2 - contesto/validazione</x:v>
      </x:c>
      <x:c r="L230" s="83" t="str">
        <x:v>Tabella testuale/PDF</x:v>
      </x:c>
      <x:c r="M230" s="83" t="str">
        <x:v>Basso</x:v>
      </x:c>
      <x:c r="N230" s="83" t="str">
        <x:v>Da verificare in Fase 3</x:v>
      </x:c>
    </x:row>
    <x:row r="231">
      <x:c r="A231" s="83" t="str">
        <x:v>S05-FIG-23-71</x:v>
      </x:c>
      <x:c r="B231" s="83" t="str">
        <x:v>S05</x:v>
      </x:c>
      <x:c r="C231" s="83" t="str">
        <x:v>Esigenze di sviluppo: i nuovi progetti</x:v>
      </x:c>
      <x:c r="D231" s="83" t="str">
        <x:v>Figura</x:v>
      </x:c>
      <x:c r="E231" s="83" t="str">
        <x:v>23</x:v>
      </x:c>
      <x:c r="F231" s="83" t="n">
        <x:v>71</x:v>
      </x:c>
      <x:c r="G231" s="83" t="n">
        <x:v>69</x:v>
      </x:c>
      <x:c r="H231" s="83" t="str">
        <x:v>6. Nuovi interventi</x:v>
      </x:c>
      <x:c r="I231" s="83" t="str">
        <x:v>Figura 23 Distribuzione percentuale dell’installato per fonte al 2023, 2030 e 2040 per i Paesi in analisi</x:v>
      </x:c>
      <x:c r="J231" s="83" t="str">
        <x:v>Contesto / metodologia</x:v>
      </x:c>
      <x:c r="K231" s="83" t="str">
        <x:v>P2 - contesto/validazione</x:v>
      </x:c>
      <x:c r="L231" s="83" t="str">
        <x:v>Figura o mappa; lettura etichette / eventuale digitalizzazione</x:v>
      </x:c>
      <x:c r="M231" s="83" t="str">
        <x:v>Medio</x:v>
      </x:c>
      <x:c r="N231" s="83" t="str">
        <x:v>Da verificare in Fase 3</x:v>
      </x:c>
    </x:row>
    <x:row r="232">
      <x:c r="A232" s="83" t="str">
        <x:v>S05-FIG-22-71</x:v>
      </x:c>
      <x:c r="B232" s="83" t="str">
        <x:v>S05</x:v>
      </x:c>
      <x:c r="C232" s="83" t="str">
        <x:v>Esigenze di sviluppo: i nuovi progetti</x:v>
      </x:c>
      <x:c r="D232" s="83" t="str">
        <x:v>Figura</x:v>
      </x:c>
      <x:c r="E232" s="83" t="str">
        <x:v>22</x:v>
      </x:c>
      <x:c r="F232" s="83" t="n">
        <x:v>71</x:v>
      </x:c>
      <x:c r="G232" s="83" t="n">
        <x:v>69</x:v>
      </x:c>
      <x:c r="H232" s="83" t="str">
        <x:v>6. Nuovi interventi</x:v>
      </x:c>
      <x:c r="I232" s="83" t="str">
        <x:v>Figura 22 Panoramica dei Paesi inclusi nel perimetro dell’assessment</x:v>
      </x:c>
      <x:c r="J232" s="83" t="str">
        <x:v>Contesto / metodologia</x:v>
      </x:c>
      <x:c r="K232" s="83" t="str">
        <x:v>P2 - contesto/validazione</x:v>
      </x:c>
      <x:c r="L232" s="83" t="str">
        <x:v>Figura o mappa; lettura etichette / eventuale digitalizzazione</x:v>
      </x:c>
      <x:c r="M232" s="83" t="str">
        <x:v>Medio</x:v>
      </x:c>
      <x:c r="N232" s="83" t="str">
        <x:v>Da verificare in Fase 3</x:v>
      </x:c>
    </x:row>
    <x:row r="233">
      <x:c r="A233" s="83" t="str">
        <x:v>S05-TAB-15-92</x:v>
      </x:c>
      <x:c r="B233" s="83" t="str">
        <x:v>S05</x:v>
      </x:c>
      <x:c r="C233" s="83" t="str">
        <x:v>Esigenze di sviluppo: i nuovi progetti</x:v>
      </x:c>
      <x:c r="D233" s="83" t="str">
        <x:v>Tabella</x:v>
      </x:c>
      <x:c r="E233" s="83" t="str">
        <x:v>15</x:v>
      </x:c>
      <x:c r="F233" s="83" t="n">
        <x:v>92</x:v>
      </x:c>
      <x:c r="G233" s="83" t="n">
        <x:v>90</x:v>
      </x:c>
      <x:c r="H233" s="83" t="str">
        <x:v>7. Piano minimo realizzazioni</x:v>
      </x:c>
      <x:c r="I233" s="83" t="str">
        <x:v>Tabella 15 Opere di sviluppo incluse nei piani minimi di realizzazioni precedenti, completate dal 2021 al 2024</x:v>
      </x:c>
      <x:c r="J233" s="83" t="str">
        <x:v>Contesto / metodologia</x:v>
      </x:c>
      <x:c r="K233" s="83" t="str">
        <x:v>P2 - contesto/validazione</x:v>
      </x:c>
      <x:c r="L233" s="83" t="str">
        <x:v>Tabella testuale/PDF</x:v>
      </x:c>
      <x:c r="M233" s="83" t="str">
        <x:v>Basso</x:v>
      </x:c>
      <x:c r="N233" s="83" t="str">
        <x:v>Da verificare in Fase 3</x:v>
      </x:c>
    </x:row>
    <x:row r="234">
      <x:c r="A234" s="83" t="str">
        <x:v>S05-TAB-16-96</x:v>
      </x:c>
      <x:c r="B234" s="83" t="str">
        <x:v>S05</x:v>
      </x:c>
      <x:c r="C234" s="83" t="str">
        <x:v>Esigenze di sviluppo: i nuovi progetti</x:v>
      </x:c>
      <x:c r="D234" s="83" t="str">
        <x:v>Tabella</x:v>
      </x:c>
      <x:c r="E234" s="83" t="str">
        <x:v>16</x:v>
      </x:c>
      <x:c r="F234" s="83" t="n">
        <x:v>96</x:v>
      </x:c>
      <x:c r="G234" s="83" t="n">
        <x:v>94</x:v>
      </x:c>
      <x:c r="H234" s="83" t="str">
        <x:v>7. Piano minimo realizzazioni</x:v>
      </x:c>
      <x:c r="I234" s="83" t="str">
        <x:v>Tabella 16 Progetti rilevanti con entrata in esercizio 2025-2027</x:v>
      </x:c>
      <x:c r="J234" s="83" t="str">
        <x:v>Contesto / metodologia</x:v>
      </x:c>
      <x:c r="K234" s="83" t="str">
        <x:v>P2 - contesto/validazione</x:v>
      </x:c>
      <x:c r="L234" s="83" t="str">
        <x:v>Tabella testuale/PDF</x:v>
      </x:c>
      <x:c r="M234" s="83" t="str">
        <x:v>Basso</x:v>
      </x:c>
      <x:c r="N234" s="83" t="str">
        <x:v>Da verificare in Fase 3</x:v>
      </x:c>
    </x:row>
    <x:row r="235">
      <x:c r="A235" s="83" t="str">
        <x:v>S02-FIG-1-6</x:v>
      </x:c>
      <x:c r="B235" s="83" t="str">
        <x:v>S02</x:v>
      </x:c>
      <x:c r="C235" s="83" t="str">
        <x:v>Piano di Sviluppo 2025 - Overview</x:v>
      </x:c>
      <x:c r="D235" s="83" t="str">
        <x:v>Figura</x:v>
      </x:c>
      <x:c r="E235" s="83" t="str">
        <x:v>1</x:v>
      </x:c>
      <x:c r="F235" s="83" t="n">
        <x:v>6</x:v>
      </x:c>
      <x:c r="G235" s="83" t="n">
        <x:v>4</x:v>
      </x:c>
      <x:c r="H235" s="83" t="str">
        <x:v>Front matter</x:v>
      </x:c>
      <x:c r="I235" s="83" t="str">
        <x:v>Figura 1 Evoluzione architettura di rete</x:v>
      </x:c>
      <x:c r="J235" s="83" t="str">
        <x:v>Trasmissione e interconnessioni</x:v>
      </x:c>
      <x:c r="K235" s="83" t="str">
        <x:v>P2 - contesto/validazione</x:v>
      </x:c>
      <x:c r="L235" s="83" t="str">
        <x:v>Figura o mappa; lettura etichette / eventuale digitalizzazione</x:v>
      </x:c>
      <x:c r="M235" s="83" t="str">
        <x:v>Medio</x:v>
      </x:c>
      <x:c r="N235" s="83" t="str">
        <x:v>Da verificare in Fase 3</x:v>
      </x:c>
    </x:row>
    <x:row r="236">
      <x:c r="A236" s="83" t="str">
        <x:v>S02-FIG-2-15</x:v>
      </x:c>
      <x:c r="B236" s="83" t="str">
        <x:v>S02</x:v>
      </x:c>
      <x:c r="C236" s="83" t="str">
        <x:v>Piano di Sviluppo 2025 - Overview</x:v>
      </x:c>
      <x:c r="D236" s="83" t="str">
        <x:v>Figura</x:v>
      </x:c>
      <x:c r="E236" s="83" t="str">
        <x:v>2</x:v>
      </x:c>
      <x:c r="F236" s="83" t="n">
        <x:v>15</x:v>
      </x:c>
      <x:c r="G236" s="83" t="n">
        <x:v>13</x:v>
      </x:c>
      <x:c r="H236" s="83" t="str">
        <x:v>1. Contesto e scenari energetici</x:v>
      </x:c>
      <x:c r="I236" s="83" t="str">
        <x:v>Figura 2 Scenari energetici</x:v>
      </x:c>
      <x:c r="J236" s="83" t="str">
        <x:v>Contesto / metodologia</x:v>
      </x:c>
      <x:c r="K236" s="83" t="str">
        <x:v>P2 - contesto/validazione</x:v>
      </x:c>
      <x:c r="L236" s="83" t="str">
        <x:v>Figura o mappa; lettura etichette / eventuale digitalizzazione</x:v>
      </x:c>
      <x:c r="M236" s="83" t="str">
        <x:v>Medio</x:v>
      </x:c>
      <x:c r="N236" s="83" t="str">
        <x:v>Da verificare in Fase 3</x:v>
      </x:c>
    </x:row>
    <x:row r="237">
      <x:c r="A237" s="83" t="str">
        <x:v>S02-FIG-3-16</x:v>
      </x:c>
      <x:c r="B237" s="83" t="str">
        <x:v>S02</x:v>
      </x:c>
      <x:c r="C237" s="83" t="str">
        <x:v>Piano di Sviluppo 2025 - Overview</x:v>
      </x:c>
      <x:c r="D237" s="83" t="str">
        <x:v>Figura</x:v>
      </x:c>
      <x:c r="E237" s="83" t="str">
        <x:v>3</x:v>
      </x:c>
      <x:c r="F237" s="83" t="n">
        <x:v>16</x:v>
      </x:c>
      <x:c r="G237" s="83" t="n">
        <x:v>14</x:v>
      </x:c>
      <x:c r="H237" s="83" t="str">
        <x:v>1. Contesto e scenari energetici</x:v>
      </x:c>
      <x:c r="I237" s="83" t="str">
        <x:v>Figura 3 Distribuzione geografica FER (Valori in GW)</x:v>
      </x:c>
      <x:c r="J237" s="83" t="str">
        <x:v>Capacità e generazione; Geografia e connessioni</x:v>
      </x:c>
      <x:c r="K237" s="83" t="str">
        <x:v>P2 - contesto/validazione</x:v>
      </x:c>
      <x:c r="L237" s="83" t="str">
        <x:v>Figura o mappa; lettura etichette / eventuale digitalizzazione</x:v>
      </x:c>
      <x:c r="M237" s="83" t="str">
        <x:v>Medio</x:v>
      </x:c>
      <x:c r="N237" s="83" t="str">
        <x:v>Da verificare in Fase 3</x:v>
      </x:c>
    </x:row>
    <x:row r="238">
      <x:c r="A238" s="83" t="str">
        <x:v>S02-FIG-4-17</x:v>
      </x:c>
      <x:c r="B238" s="83" t="str">
        <x:v>S02</x:v>
      </x:c>
      <x:c r="C238" s="83" t="str">
        <x:v>Piano di Sviluppo 2025 - Overview</x:v>
      </x:c>
      <x:c r="D238" s="83" t="str">
        <x:v>Figura</x:v>
      </x:c>
      <x:c r="E238" s="83" t="str">
        <x:v>4</x:v>
      </x:c>
      <x:c r="F238" s="83" t="n">
        <x:v>17</x:v>
      </x:c>
      <x:c r="G238" s="83" t="n">
        <x:v>15</x:v>
      </x:c>
      <x:c r="H238" s="83" t="str">
        <x:v>1. Contesto e scenari energetici</x:v>
      </x:c>
      <x:c r="I238" s="83" t="str">
        <x:v>Figura 4 Localizzazione accumuli (al netto dei pompaggi esistenti) [GWh]</x:v>
      </x:c>
      <x:c r="J238" s="83" t="str">
        <x:v>Accumuli e flessibilità</x:v>
      </x:c>
      <x:c r="K238" s="83" t="str">
        <x:v>P1 - input diretto/parametro</x:v>
      </x:c>
      <x:c r="L238" s="83" t="str">
        <x:v>Figura o mappa; lettura etichette / eventuale digitalizzazione</x:v>
      </x:c>
      <x:c r="M238" s="83" t="str">
        <x:v>Medio</x:v>
      </x:c>
      <x:c r="N238" s="83" t="str">
        <x:v>Da verificare in Fase 3</x:v>
      </x:c>
    </x:row>
    <x:row r="239">
      <x:c r="A239" s="83" t="str">
        <x:v>S02-FIG-5-18</x:v>
      </x:c>
      <x:c r="B239" s="83" t="str">
        <x:v>S02</x:v>
      </x:c>
      <x:c r="C239" s="83" t="str">
        <x:v>Piano di Sviluppo 2025 - Overview</x:v>
      </x:c>
      <x:c r="D239" s="83" t="str">
        <x:v>Figura</x:v>
      </x:c>
      <x:c r="E239" s="83" t="str">
        <x:v>5</x:v>
      </x:c>
      <x:c r="F239" s="83" t="n">
        <x:v>18</x:v>
      </x:c>
      <x:c r="G239" s="83" t="n">
        <x:v>16</x:v>
      </x:c>
      <x:c r="H239" s="83" t="str">
        <x:v>1. Contesto e scenari energetici</x:v>
      </x:c>
      <x:c r="I239" s="83" t="str">
        <x:v>Figura 5 Andamento prezzo storico del gas TTF (€/MWh)</x:v>
      </x:c>
      <x:c r="J239" s="83" t="str">
        <x:v>Mercato e prezzi</x:v>
      </x:c>
      <x:c r="K239" s="83" t="str">
        <x:v>P2 - contesto/validazione</x:v>
      </x:c>
      <x:c r="L239" s="83" t="str">
        <x:v>Figura o mappa; lettura etichette / eventuale digitalizzazione</x:v>
      </x:c>
      <x:c r="M239" s="83" t="str">
        <x:v>Medio</x:v>
      </x:c>
      <x:c r="N239" s="83" t="str">
        <x:v>Da verificare in Fase 3</x:v>
      </x:c>
    </x:row>
    <x:row r="240">
      <x:c r="A240" s="83" t="str">
        <x:v>S02-FIG-6-18</x:v>
      </x:c>
      <x:c r="B240" s="83" t="str">
        <x:v>S02</x:v>
      </x:c>
      <x:c r="C240" s="83" t="str">
        <x:v>Piano di Sviluppo 2025 - Overview</x:v>
      </x:c>
      <x:c r="D240" s="83" t="str">
        <x:v>Figura</x:v>
      </x:c>
      <x:c r="E240" s="83" t="str">
        <x:v>6</x:v>
      </x:c>
      <x:c r="F240" s="83" t="n">
        <x:v>18</x:v>
      </x:c>
      <x:c r="G240" s="83" t="n">
        <x:v>16</x:v>
      </x:c>
      <x:c r="H240" s="83" t="str">
        <x:v>1. Contesto e scenari energetici</x:v>
      </x:c>
      <x:c r="I240" s="83" t="str">
        <x:v>Figura 6 Andamento prezzo storico della CO2 (€/t)</x:v>
      </x:c>
      <x:c r="J240" s="83" t="str">
        <x:v>Mercato e prezzi; Emissioni e ambiente</x:v>
      </x:c>
      <x:c r="K240" s="83" t="str">
        <x:v>P1 - input diretto/parametro</x:v>
      </x:c>
      <x:c r="L240" s="83" t="str">
        <x:v>Figura o mappa; lettura etichette / eventuale digitalizzazione</x:v>
      </x:c>
      <x:c r="M240" s="83" t="str">
        <x:v>Medio</x:v>
      </x:c>
      <x:c r="N240" s="83" t="str">
        <x:v>Da verificare in Fase 3</x:v>
      </x:c>
    </x:row>
    <x:row r="241">
      <x:c r="A241" s="83" t="str">
        <x:v>S02-FIG-7-19</x:v>
      </x:c>
      <x:c r="B241" s="83" t="str">
        <x:v>S02</x:v>
      </x:c>
      <x:c r="C241" s="83" t="str">
        <x:v>Piano di Sviluppo 2025 - Overview</x:v>
      </x:c>
      <x:c r="D241" s="83" t="str">
        <x:v>Figura</x:v>
      </x:c>
      <x:c r="E241" s="83" t="str">
        <x:v>7</x:v>
      </x:c>
      <x:c r="F241" s="83" t="n">
        <x:v>19</x:v>
      </x:c>
      <x:c r="G241" s="83" t="n">
        <x:v>17</x:v>
      </x:c>
      <x:c r="H241" s="83" t="str">
        <x:v>1. Contesto e scenari energetici</x:v>
      </x:c>
      <x:c r="I241" s="83" t="str">
        <x:v>Figura 7 Andamento mensile del PUN (€/MWh)</x:v>
      </x:c>
      <x:c r="J241" s="83" t="str">
        <x:v>Mercato e prezzi</x:v>
      </x:c>
      <x:c r="K241" s="83" t="str">
        <x:v>P1 - input diretto/parametro</x:v>
      </x:c>
      <x:c r="L241" s="83" t="str">
        <x:v>Figura o mappa; lettura etichette / eventuale digitalizzazione</x:v>
      </x:c>
      <x:c r="M241" s="83" t="str">
        <x:v>Medio</x:v>
      </x:c>
      <x:c r="N241" s="83" t="str">
        <x:v>Da verificare in Fase 3</x:v>
      </x:c>
    </x:row>
    <x:row r="242">
      <x:c r="A242" s="83" t="str">
        <x:v>S02-FIG-8-19</x:v>
      </x:c>
      <x:c r="B242" s="83" t="str">
        <x:v>S02</x:v>
      </x:c>
      <x:c r="C242" s="83" t="str">
        <x:v>Piano di Sviluppo 2025 - Overview</x:v>
      </x:c>
      <x:c r="D242" s="83" t="str">
        <x:v>Figura</x:v>
      </x:c>
      <x:c r="E242" s="83" t="str">
        <x:v>8</x:v>
      </x:c>
      <x:c r="F242" s="83" t="n">
        <x:v>19</x:v>
      </x:c>
      <x:c r="G242" s="83" t="n">
        <x:v>17</x:v>
      </x:c>
      <x:c r="H242" s="83" t="str">
        <x:v>1. Contesto e scenari energetici</x:v>
      </x:c>
      <x:c r="I242" s="83" t="str">
        <x:v>Figura 8 Prezzo energia elettrica per consumatore tipo in maggior tutela (€/MWh)</x:v>
      </x:c>
      <x:c r="J242" s="83" t="str">
        <x:v>Mercato e prezzi</x:v>
      </x:c>
      <x:c r="K242" s="83" t="str">
        <x:v>P2 - contesto/validazione</x:v>
      </x:c>
      <x:c r="L242" s="83" t="str">
        <x:v>Figura o mappa; lettura etichette / eventuale digitalizzazione</x:v>
      </x:c>
      <x:c r="M242" s="83" t="str">
        <x:v>Medio</x:v>
      </x:c>
      <x:c r="N242" s="83" t="str">
        <x:v>Da verificare in Fase 3</x:v>
      </x:c>
    </x:row>
    <x:row r="243">
      <x:c r="A243" s="83" t="str">
        <x:v>S02-FIG-9-20</x:v>
      </x:c>
      <x:c r="B243" s="83" t="str">
        <x:v>S02</x:v>
      </x:c>
      <x:c r="C243" s="83" t="str">
        <x:v>Piano di Sviluppo 2025 - Overview</x:v>
      </x:c>
      <x:c r="D243" s="83" t="str">
        <x:v>Figura</x:v>
      </x:c>
      <x:c r="E243" s="83" t="str">
        <x:v>9</x:v>
      </x:c>
      <x:c r="F243" s="83" t="n">
        <x:v>20</x:v>
      </x:c>
      <x:c r="G243" s="83" t="n">
        <x:v>18</x:v>
      </x:c>
      <x:c r="H243" s="83" t="str">
        <x:v>1. Contesto e scenari energetici</x:v>
      </x:c>
      <x:c r="I243" s="83" t="str">
        <x:v>Figura 9 Importazioni di gas naturale (gasdotti e GNL) in Europa11, fonte Bloomberg</x:v>
      </x:c>
      <x:c r="J243" s="83" t="str">
        <x:v>Mercato e prezzi</x:v>
      </x:c>
      <x:c r="K243" s="83" t="str">
        <x:v>P2 - contesto/validazione</x:v>
      </x:c>
      <x:c r="L243" s="83" t="str">
        <x:v>Figura o mappa; lettura etichette / eventuale digitalizzazione</x:v>
      </x:c>
      <x:c r="M243" s="83" t="str">
        <x:v>Medio</x:v>
      </x:c>
      <x:c r="N243" s="83" t="str">
        <x:v>Da verificare in Fase 3</x:v>
      </x:c>
    </x:row>
    <x:row r="244">
      <x:c r="A244" s="83" t="str">
        <x:v>S02-FIG-10-21</x:v>
      </x:c>
      <x:c r="B244" s="83" t="str">
        <x:v>S02</x:v>
      </x:c>
      <x:c r="C244" s="83" t="str">
        <x:v>Piano di Sviluppo 2025 - Overview</x:v>
      </x:c>
      <x:c r="D244" s="83" t="str">
        <x:v>Figura</x:v>
      </x:c>
      <x:c r="E244" s="83" t="str">
        <x:v>10</x:v>
      </x:c>
      <x:c r="F244" s="83" t="n">
        <x:v>21</x:v>
      </x:c>
      <x:c r="G244" s="83" t="n">
        <x:v>19</x:v>
      </x:c>
      <x:c r="H244" s="83" t="str">
        <x:v>1. Contesto e scenari energetici</x:v>
      </x:c>
      <x:c r="I244" s="83" t="str">
        <x:v>Figura 10 Energia disponibile lorda in Italia per fonte, dati 2023 (Mtep15)</x:v>
      </x:c>
      <x:c r="J244" s="83" t="str">
        <x:v>Contesto / metodologia</x:v>
      </x:c>
      <x:c r="K244" s="83" t="str">
        <x:v>P2 - contesto/validazione</x:v>
      </x:c>
      <x:c r="L244" s="83" t="str">
        <x:v>Figura o mappa; lettura etichette / eventuale digitalizzazione</x:v>
      </x:c>
      <x:c r="M244" s="83" t="str">
        <x:v>Medio</x:v>
      </x:c>
      <x:c r="N244" s="83" t="str">
        <x:v>Da verificare in Fase 3</x:v>
      </x:c>
    </x:row>
    <x:row r="245">
      <x:c r="A245" s="83" t="str">
        <x:v>S02-FIG-11-21</x:v>
      </x:c>
      <x:c r="B245" s="83" t="str">
        <x:v>S02</x:v>
      </x:c>
      <x:c r="C245" s="83" t="str">
        <x:v>Piano di Sviluppo 2025 - Overview</x:v>
      </x:c>
      <x:c r="D245" s="83" t="str">
        <x:v>Figura</x:v>
      </x:c>
      <x:c r="E245" s="83" t="str">
        <x:v>11</x:v>
      </x:c>
      <x:c r="F245" s="83" t="n">
        <x:v>21</x:v>
      </x:c>
      <x:c r="G245" s="83" t="n">
        <x:v>19</x:v>
      </x:c>
      <x:c r="H245" s="83" t="str">
        <x:v>1. Contesto e scenari energetici</x:v>
      </x:c>
      <x:c r="I245" s="83" t="str">
        <x:v>Figura 11 Approvvigionamento elettrico per fonte in Italia (%)</x:v>
      </x:c>
      <x:c r="J245" s="83" t="str">
        <x:v>Contesto / metodologia</x:v>
      </x:c>
      <x:c r="K245" s="83" t="str">
        <x:v>P2 - contesto/validazione</x:v>
      </x:c>
      <x:c r="L245" s="83" t="str">
        <x:v>Figura o mappa; lettura etichette / eventuale digitalizzazione</x:v>
      </x:c>
      <x:c r="M245" s="83" t="str">
        <x:v>Medio</x:v>
      </x:c>
      <x:c r="N245" s="83" t="str">
        <x:v>Da verificare in Fase 3</x:v>
      </x:c>
    </x:row>
    <x:row r="246">
      <x:c r="A246" s="83" t="str">
        <x:v>S02-FIG-12-22</x:v>
      </x:c>
      <x:c r="B246" s="83" t="str">
        <x:v>S02</x:v>
      </x:c>
      <x:c r="C246" s="83" t="str">
        <x:v>Piano di Sviluppo 2025 - Overview</x:v>
      </x:c>
      <x:c r="D246" s="83" t="str">
        <x:v>Figura</x:v>
      </x:c>
      <x:c r="E246" s="83" t="str">
        <x:v>12</x:v>
      </x:c>
      <x:c r="F246" s="83" t="n">
        <x:v>22</x:v>
      </x:c>
      <x:c r="G246" s="83" t="n">
        <x:v>20</x:v>
      </x:c>
      <x:c r="H246" s="83" t="str">
        <x:v>1. Contesto e scenari energetici</x:v>
      </x:c>
      <x:c r="I246" s="83" t="str">
        <x:v>Figura 12 Principali impatti per eventi climatici estremi avvenuti negli ultimi 15 anni sulla RTN</x:v>
      </x:c>
      <x:c r="J246" s="83" t="str">
        <x:v>Trasmissione e interconnessioni</x:v>
      </x:c>
      <x:c r="K246" s="83" t="str">
        <x:v>P2 - contesto/validazione</x:v>
      </x:c>
      <x:c r="L246" s="83" t="str">
        <x:v>Figura o mappa; lettura etichette / eventuale digitalizzazione</x:v>
      </x:c>
      <x:c r="M246" s="83" t="str">
        <x:v>Medio</x:v>
      </x:c>
      <x:c r="N246" s="83" t="str">
        <x:v>Da verificare in Fase 3</x:v>
      </x:c>
    </x:row>
    <x:row r="247">
      <x:c r="A247" s="83" t="str">
        <x:v>S02-FIG-13-24</x:v>
      </x:c>
      <x:c r="B247" s="83" t="str">
        <x:v>S02</x:v>
      </x:c>
      <x:c r="C247" s="83" t="str">
        <x:v>Piano di Sviluppo 2025 - Overview</x:v>
      </x:c>
      <x:c r="D247" s="83" t="str">
        <x:v>Figura</x:v>
      </x:c>
      <x:c r="E247" s="83" t="str">
        <x:v>13</x:v>
      </x:c>
      <x:c r="F247" s="83" t="n">
        <x:v>24</x:v>
      </x:c>
      <x:c r="G247" s="83" t="n">
        <x:v>22</x:v>
      </x:c>
      <x:c r="H247" s="83" t="str">
        <x:v>2. Contesto di mercato e regolatorio</x:v>
      </x:c>
      <x:c r="I247" s="83" t="str">
        <x:v>Figura 13 Margine minimo di adeguatezza (GW) 2013-2023</x:v>
      </x:c>
      <x:c r="J247" s="83" t="str">
        <x:v>Adeguatezza e sicurezza</x:v>
      </x:c>
      <x:c r="K247" s="83" t="str">
        <x:v>P2 - contesto/validazione</x:v>
      </x:c>
      <x:c r="L247" s="83" t="str">
        <x:v>Figura o mappa; lettura etichette / eventuale digitalizzazione</x:v>
      </x:c>
      <x:c r="M247" s="83" t="str">
        <x:v>Medio</x:v>
      </x:c>
      <x:c r="N247" s="83" t="str">
        <x:v>Da verificare in Fase 3</x:v>
      </x:c>
    </x:row>
    <x:row r="248">
      <x:c r="A248" s="83" t="str">
        <x:v>S02-TAB-1-25</x:v>
      </x:c>
      <x:c r="B248" s="83" t="str">
        <x:v>S02</x:v>
      </x:c>
      <x:c r="C248" s="83" t="str">
        <x:v>Piano di Sviluppo 2025 - Overview</x:v>
      </x:c>
      <x:c r="D248" s="83" t="str">
        <x:v>Tabella</x:v>
      </x:c>
      <x:c r="E248" s="83" t="str">
        <x:v>1</x:v>
      </x:c>
      <x:c r="F248" s="83" t="n">
        <x:v>25</x:v>
      </x:c>
      <x:c r="G248" s="83" t="n">
        <x:v>23</x:v>
      </x:c>
      <x:c r="H248" s="83" t="str">
        <x:v>2. Contesto di mercato e regolatorio</x:v>
      </x:c>
      <x:c r="I248" s="83" t="str">
        <x:v>Tabella 1 Dismissioni della capacità a carbone sul Continente</x:v>
      </x:c>
      <x:c r="J248" s="83" t="str">
        <x:v>Contesto / metodologia</x:v>
      </x:c>
      <x:c r="K248" s="83" t="str">
        <x:v>P2 - contesto/validazione</x:v>
      </x:c>
      <x:c r="L248" s="83" t="str">
        <x:v>Tabella testuale/PDF</x:v>
      </x:c>
      <x:c r="M248" s="83" t="str">
        <x:v>Basso</x:v>
      </x:c>
      <x:c r="N248" s="83" t="str">
        <x:v>Da verificare in Fase 3</x:v>
      </x:c>
    </x:row>
    <x:row r="249">
      <x:c r="A249" s="83" t="str">
        <x:v>S02-FIG-14-28</x:v>
      </x:c>
      <x:c r="B249" s="83" t="str">
        <x:v>S02</x:v>
      </x:c>
      <x:c r="C249" s="83" t="str">
        <x:v>Piano di Sviluppo 2025 - Overview</x:v>
      </x:c>
      <x:c r="D249" s="83" t="str">
        <x:v>Figura</x:v>
      </x:c>
      <x:c r="E249" s="83" t="str">
        <x:v>14</x:v>
      </x:c>
      <x:c r="F249" s="83" t="n">
        <x:v>28</x:v>
      </x:c>
      <x:c r="G249" s="83" t="n">
        <x:v>26</x:v>
      </x:c>
      <x:c r="H249" s="83" t="str">
        <x:v>2. Contesto di mercato e regolatorio</x:v>
      </x:c>
      <x:c r="I249" s="83" t="str">
        <x:v>Figura 14 Fattori abilitanti per la transizione energetica</x:v>
      </x:c>
      <x:c r="J249" s="83" t="str">
        <x:v>Contesto / metodologia</x:v>
      </x:c>
      <x:c r="K249" s="83" t="str">
        <x:v>P2 - contesto/validazione</x:v>
      </x:c>
      <x:c r="L249" s="83" t="str">
        <x:v>Figura o mappa; lettura etichette / eventuale digitalizzazione</x:v>
      </x:c>
      <x:c r="M249" s="83" t="str">
        <x:v>Medio</x:v>
      </x:c>
      <x:c r="N249" s="83" t="str">
        <x:v>Da verificare in Fase 3</x:v>
      </x:c>
    </x:row>
    <x:row r="250">
      <x:c r="A250" s="83" t="str">
        <x:v>S02-FIG-15-31</x:v>
      </x:c>
      <x:c r="B250" s="83" t="str">
        <x:v>S02</x:v>
      </x:c>
      <x:c r="C250" s="83" t="str">
        <x:v>Piano di Sviluppo 2025 - Overview</x:v>
      </x:c>
      <x:c r="D250" s="83" t="str">
        <x:v>Figura</x:v>
      </x:c>
      <x:c r="E250" s="83" t="str">
        <x:v>15</x:v>
      </x:c>
      <x:c r="F250" s="83" t="n">
        <x:v>31</x:v>
      </x:c>
      <x:c r="G250" s="83" t="n">
        <x:v>29</x:v>
      </x:c>
      <x:c r="H250" s="83" t="str">
        <x:v>2. Contesto di mercato e regolatorio</x:v>
      </x:c>
      <x:c r="I250" s="83" t="str">
        <x:v>Figura 15 Capacità assegnata nelle aste (GW)</x:v>
      </x:c>
      <x:c r="J250" s="83" t="str">
        <x:v>Contesto / metodologia</x:v>
      </x:c>
      <x:c r="K250" s="83" t="str">
        <x:v>P2 - contesto/validazione</x:v>
      </x:c>
      <x:c r="L250" s="83" t="str">
        <x:v>Figura o mappa; lettura etichette / eventuale digitalizzazione</x:v>
      </x:c>
      <x:c r="M250" s="83" t="str">
        <x:v>Medio</x:v>
      </x:c>
      <x:c r="N250" s="83" t="str">
        <x:v>Da verificare in Fase 3</x:v>
      </x:c>
    </x:row>
    <x:row r="251">
      <x:c r="A251" s="83" t="str">
        <x:v>S02-FIG-16-34</x:v>
      </x:c>
      <x:c r="B251" s="83" t="str">
        <x:v>S02</x:v>
      </x:c>
      <x:c r="C251" s="83" t="str">
        <x:v>Piano di Sviluppo 2025 - Overview</x:v>
      </x:c>
      <x:c r="D251" s="83" t="str">
        <x:v>Figura</x:v>
      </x:c>
      <x:c r="E251" s="83" t="str">
        <x:v>16</x:v>
      </x:c>
      <x:c r="F251" s="83" t="n">
        <x:v>34</x:v>
      </x:c>
      <x:c r="G251" s="83" t="n">
        <x:v>32</x:v>
      </x:c>
      <x:c r="H251" s="83" t="str">
        <x:v>3. Strategia di sviluppo RTN</x:v>
      </x:c>
      <x:c r="I251" s="83" t="str">
        <x:v>Figura 16 Flexibility Needs negli scenari futuri</x:v>
      </x:c>
      <x:c r="J251" s="83" t="str">
        <x:v>Accumuli e flessibilità</x:v>
      </x:c>
      <x:c r="K251" s="83" t="str">
        <x:v>P2 - contesto/validazione</x:v>
      </x:c>
      <x:c r="L251" s="83" t="str">
        <x:v>Figura o mappa; lettura etichette / eventuale digitalizzazione</x:v>
      </x:c>
      <x:c r="M251" s="83" t="str">
        <x:v>Medio</x:v>
      </x:c>
      <x:c r="N251" s="83" t="str">
        <x:v>Da verificare in Fase 3</x:v>
      </x:c>
    </x:row>
    <x:row r="252">
      <x:c r="A252" s="83" t="str">
        <x:v>S02-FIG-17-40</x:v>
      </x:c>
      <x:c r="B252" s="83" t="str">
        <x:v>S02</x:v>
      </x:c>
      <x:c r="C252" s="83" t="str">
        <x:v>Piano di Sviluppo 2025 - Overview</x:v>
      </x:c>
      <x:c r="D252" s="83" t="str">
        <x:v>Figura</x:v>
      </x:c>
      <x:c r="E252" s="83" t="str">
        <x:v>17</x:v>
      </x:c>
      <x:c r="F252" s="83" t="n">
        <x:v>40</x:v>
      </x:c>
      <x:c r="G252" s="83" t="n">
        <x:v>38</x:v>
      </x:c>
      <x:c r="H252" s="83" t="str">
        <x:v>3. Strategia di sviluppo RTN</x:v>
      </x:c>
      <x:c r="I252" s="83" t="str">
        <x:v>Figura 17 Integrazione di nuova capacità rinnovabile e di accumulo</x:v>
      </x:c>
      <x:c r="J252" s="83" t="str">
        <x:v>Accumuli e flessibilità</x:v>
      </x:c>
      <x:c r="K252" s="83" t="str">
        <x:v>P2 - contesto/validazione</x:v>
      </x:c>
      <x:c r="L252" s="83" t="str">
        <x:v>Figura o mappa; lettura etichette / eventuale digitalizzazione</x:v>
      </x:c>
      <x:c r="M252" s="83" t="str">
        <x:v>Medio</x:v>
      </x:c>
      <x:c r="N252" s="83" t="str">
        <x:v>Da verificare in Fase 3</x:v>
      </x:c>
    </x:row>
    <x:row r="253">
      <x:c r="A253" s="83" t="str">
        <x:v>S02-FIG-18-40</x:v>
      </x:c>
      <x:c r="B253" s="83" t="str">
        <x:v>S02</x:v>
      </x:c>
      <x:c r="C253" s="83" t="str">
        <x:v>Piano di Sviluppo 2025 - Overview</x:v>
      </x:c>
      <x:c r="D253" s="83" t="str">
        <x:v>Figura</x:v>
      </x:c>
      <x:c r="E253" s="83" t="str">
        <x:v>18</x:v>
      </x:c>
      <x:c r="F253" s="83" t="n">
        <x:v>40</x:v>
      </x:c>
      <x:c r="G253" s="83" t="n">
        <x:v>38</x:v>
      </x:c>
      <x:c r="H253" s="83" t="str">
        <x:v>3. Strategia di sviluppo RTN</x:v>
      </x:c>
      <x:c r="I253" s="83" t="str">
        <x:v>Figura 18 Connessione di Cabine Primarie e Utenti di Consumo (richieste attive al 31 dicembre 2024)</x:v>
      </x:c>
      <x:c r="J253" s="83" t="str">
        <x:v>Contesto / metodologia</x:v>
      </x:c>
      <x:c r="K253" s="83" t="str">
        <x:v>P2 - contesto/validazione</x:v>
      </x:c>
      <x:c r="L253" s="83" t="str">
        <x:v>Figura o mappa; lettura etichette / eventuale digitalizzazione</x:v>
      </x:c>
      <x:c r="M253" s="83" t="str">
        <x:v>Medio</x:v>
      </x:c>
      <x:c r="N253" s="83" t="str">
        <x:v>Da verificare in Fase 3</x:v>
      </x:c>
    </x:row>
    <x:row r="254">
      <x:c r="A254" s="83" t="str">
        <x:v>S02-FIG-19-41</x:v>
      </x:c>
      <x:c r="B254" s="83" t="str">
        <x:v>S02</x:v>
      </x:c>
      <x:c r="C254" s="83" t="str">
        <x:v>Piano di Sviluppo 2025 - Overview</x:v>
      </x:c>
      <x:c r="D254" s="83" t="str">
        <x:v>Figura</x:v>
      </x:c>
      <x:c r="E254" s="83" t="str">
        <x:v>19</x:v>
      </x:c>
      <x:c r="F254" s="83" t="n">
        <x:v>41</x:v>
      </x:c>
      <x:c r="G254" s="83" t="n">
        <x:v>39</x:v>
      </x:c>
      <x:c r="H254" s="83" t="str">
        <x:v>3. Strategia di sviluppo RTN</x:v>
      </x:c>
      <x:c r="I254" s="83" t="str">
        <x:v>Figura 19 Principali interventi previsti nell’orizzonte decennale di Piano e post 2034</x:v>
      </x:c>
      <x:c r="J254" s="83" t="str">
        <x:v>Contesto / metodologia</x:v>
      </x:c>
      <x:c r="K254" s="83" t="str">
        <x:v>P2 - contesto/validazione</x:v>
      </x:c>
      <x:c r="L254" s="83" t="str">
        <x:v>Figura o mappa; lettura etichette / eventuale digitalizzazione</x:v>
      </x:c>
      <x:c r="M254" s="83" t="str">
        <x:v>Medio</x:v>
      </x:c>
      <x:c r="N254" s="83" t="str">
        <x:v>Da verificare in Fase 3</x:v>
      </x:c>
    </x:row>
    <x:row r="255">
      <x:c r="A255" s="83" t="str">
        <x:v>S02-TAB-2-44</x:v>
      </x:c>
      <x:c r="B255" s="83" t="str">
        <x:v>S02</x:v>
      </x:c>
      <x:c r="C255" s="83" t="str">
        <x:v>Piano di Sviluppo 2025 - Overview</x:v>
      </x:c>
      <x:c r="D255" s="83" t="str">
        <x:v>Tabella</x:v>
      </x:c>
      <x:c r="E255" s="83" t="str">
        <x:v>2</x:v>
      </x:c>
      <x:c r="F255" s="83" t="n">
        <x:v>44</x:v>
      </x:c>
      <x:c r="G255" s="83" t="n">
        <x:v>42</x:v>
      </x:c>
      <x:c r="H255" s="83" t="str">
        <x:v>3. Strategia di sviluppo RTN</x:v>
      </x:c>
      <x:c r="I255" s="83" t="str">
        <x:v>Tabella 2 Aree di intervento per la massimizzazione degli asset</x:v>
      </x:c>
      <x:c r="J255" s="83" t="str">
        <x:v>Contesto / metodologia</x:v>
      </x:c>
      <x:c r="K255" s="83" t="str">
        <x:v>P2 - contesto/validazione</x:v>
      </x:c>
      <x:c r="L255" s="83" t="str">
        <x:v>Tabella testuale/PDF</x:v>
      </x:c>
      <x:c r="M255" s="83" t="str">
        <x:v>Basso</x:v>
      </x:c>
      <x:c r="N255" s="83" t="str">
        <x:v>Da verificare in Fase 3</x:v>
      </x:c>
    </x:row>
    <x:row r="256">
      <x:c r="A256" s="83" t="str">
        <x:v>S02-FIG-20-46</x:v>
      </x:c>
      <x:c r="B256" s="83" t="str">
        <x:v>S02</x:v>
      </x:c>
      <x:c r="C256" s="83" t="str">
        <x:v>Piano di Sviluppo 2025 - Overview</x:v>
      </x:c>
      <x:c r="D256" s="83" t="str">
        <x:v>Figura</x:v>
      </x:c>
      <x:c r="E256" s="83" t="str">
        <x:v>20</x:v>
      </x:c>
      <x:c r="F256" s="83" t="n">
        <x:v>46</x:v>
      </x:c>
      <x:c r="G256" s="83" t="n">
        <x:v>44</x:v>
      </x:c>
      <x:c r="H256" s="83" t="str">
        <x:v>3. Strategia di sviluppo RTN</x:v>
      </x:c>
      <x:c r="I256" s="83" t="str">
        <x:v>Figura 20 Progetti di interconnessione pianificati da Terna e allo studio</x:v>
      </x:c>
      <x:c r="J256" s="83" t="str">
        <x:v>Trasmissione e interconnessioni</x:v>
      </x:c>
      <x:c r="K256" s="83" t="str">
        <x:v>P2 - contesto/validazione</x:v>
      </x:c>
      <x:c r="L256" s="83" t="str">
        <x:v>Figura o mappa; lettura etichette / eventuale digitalizzazione</x:v>
      </x:c>
      <x:c r="M256" s="83" t="str">
        <x:v>Medio</x:v>
      </x:c>
      <x:c r="N256" s="83" t="str">
        <x:v>Da verificare in Fase 3</x:v>
      </x:c>
    </x:row>
    <x:row r="257">
      <x:c r="A257" s="83" t="str">
        <x:v>S02-FIG-21-47</x:v>
      </x:c>
      <x:c r="B257" s="83" t="str">
        <x:v>S02</x:v>
      </x:c>
      <x:c r="C257" s="83" t="str">
        <x:v>Piano di Sviluppo 2025 - Overview</x:v>
      </x:c>
      <x:c r="D257" s="83" t="str">
        <x:v>Figura</x:v>
      </x:c>
      <x:c r="E257" s="83" t="str">
        <x:v>21</x:v>
      </x:c>
      <x:c r="F257" s="83" t="n">
        <x:v>47</x:v>
      </x:c>
      <x:c r="G257" s="83" t="n">
        <x:v>45</x:v>
      </x:c>
      <x:c r="H257" s="83" t="str">
        <x:v>3. Strategia di sviluppo RTN</x:v>
      </x:c>
      <x:c r="I257" s="83" t="str">
        <x:v>Figura 21 Progetti Merchant Lines e/o di altri promotori che alla data di avvio della consultazione pubblica</x:v>
      </x:c>
      <x:c r="J257" s="83" t="str">
        <x:v>Contesto / metodologia</x:v>
      </x:c>
      <x:c r="K257" s="83" t="str">
        <x:v>P2 - contesto/validazione</x:v>
      </x:c>
      <x:c r="L257" s="83" t="str">
        <x:v>Figura o mappa; lettura etichette / eventuale digitalizzazione</x:v>
      </x:c>
      <x:c r="M257" s="83" t="str">
        <x:v>Medio</x:v>
      </x:c>
      <x:c r="N257" s="83" t="str">
        <x:v>Da verificare in Fase 3</x:v>
      </x:c>
    </x:row>
    <x:row r="258">
      <x:c r="A258" s="83" t="str">
        <x:v>S02-TAB-3-47</x:v>
      </x:c>
      <x:c r="B258" s="83" t="str">
        <x:v>S02</x:v>
      </x:c>
      <x:c r="C258" s="83" t="str">
        <x:v>Piano di Sviluppo 2025 - Overview</x:v>
      </x:c>
      <x:c r="D258" s="83" t="str">
        <x:v>Tabella</x:v>
      </x:c>
      <x:c r="E258" s="83" t="str">
        <x:v>3</x:v>
      </x:c>
      <x:c r="F258" s="83" t="n">
        <x:v>47</x:v>
      </x:c>
      <x:c r="G258" s="83" t="n">
        <x:v>45</x:v>
      </x:c>
      <x:c r="H258" s="83" t="str">
        <x:v>3. Strategia di sviluppo RTN</x:v>
      </x:c>
      <x:c r="I258" s="83" t="str">
        <x:v>Tabella 3 Iniziative Merchant Line per le quali è disponibile una richiesta di connessione alla RTN in fase</x:v>
      </x:c>
      <x:c r="J258" s="83" t="str">
        <x:v>Trasmissione e interconnessioni</x:v>
      </x:c>
      <x:c r="K258" s="83" t="str">
        <x:v>P2 - contesto/validazione</x:v>
      </x:c>
      <x:c r="L258" s="83" t="str">
        <x:v>Tabella testuale/PDF</x:v>
      </x:c>
      <x:c r="M258" s="83" t="str">
        <x:v>Basso</x:v>
      </x:c>
      <x:c r="N258" s="83" t="str">
        <x:v>Da verificare in Fase 3</x:v>
      </x:c>
    </x:row>
    <x:row r="259">
      <x:c r="A259" s="83" t="str">
        <x:v>S02-TAB-4-48</x:v>
      </x:c>
      <x:c r="B259" s="83" t="str">
        <x:v>S02</x:v>
      </x:c>
      <x:c r="C259" s="83" t="str">
        <x:v>Piano di Sviluppo 2025 - Overview</x:v>
      </x:c>
      <x:c r="D259" s="83" t="str">
        <x:v>Tabella</x:v>
      </x:c>
      <x:c r="E259" s="83" t="str">
        <x:v>4</x:v>
      </x:c>
      <x:c r="F259" s="83" t="n">
        <x:v>48</x:v>
      </x:c>
      <x:c r="G259" s="83" t="n">
        <x:v>46</x:v>
      </x:c>
      <x:c r="H259" s="83" t="str">
        <x:v>4. Programmazione Territoriale Efficiente</x:v>
      </x:c>
      <x:c r="I259" s="83" t="str">
        <x:v>Tabella 4 KPI utilizzati per definire il collocamento di ciascuna iniziativa Merchant Line e/o di altri promotori</x:v>
      </x:c>
      <x:c r="J259" s="83" t="str">
        <x:v>Contesto / metodologia</x:v>
      </x:c>
      <x:c r="K259" s="83" t="str">
        <x:v>P2 - contesto/validazione</x:v>
      </x:c>
      <x:c r="L259" s="83" t="str">
        <x:v>Tabella testuale/PDF</x:v>
      </x:c>
      <x:c r="M259" s="83" t="str">
        <x:v>Basso</x:v>
      </x:c>
      <x:c r="N259" s="83" t="str">
        <x:v>Da verificare in Fase 3</x:v>
      </x:c>
    </x:row>
    <x:row r="260">
      <x:c r="A260" s="83" t="str">
        <x:v>S02-FIG-22-48</x:v>
      </x:c>
      <x:c r="B260" s="83" t="str">
        <x:v>S02</x:v>
      </x:c>
      <x:c r="C260" s="83" t="str">
        <x:v>Piano di Sviluppo 2025 - Overview</x:v>
      </x:c>
      <x:c r="D260" s="83" t="str">
        <x:v>Figura</x:v>
      </x:c>
      <x:c r="E260" s="83" t="str">
        <x:v>22</x:v>
      </x:c>
      <x:c r="F260" s="83" t="n">
        <x:v>48</x:v>
      </x:c>
      <x:c r="G260" s="83" t="n">
        <x:v>46</x:v>
      </x:c>
      <x:c r="H260" s="83" t="str">
        <x:v>4. Programmazione Territoriale Efficiente</x:v>
      </x:c>
      <x:c r="I260" s="83" t="str">
        <x:v>Figura 22 Analisi delle iniziative Merchant Lines e/o di altri promotori</x:v>
      </x:c>
      <x:c r="J260" s="83" t="str">
        <x:v>Contesto / metodologia</x:v>
      </x:c>
      <x:c r="K260" s="83" t="str">
        <x:v>P2 - contesto/validazione</x:v>
      </x:c>
      <x:c r="L260" s="83" t="str">
        <x:v>Figura o mappa; lettura etichette / eventuale digitalizzazione</x:v>
      </x:c>
      <x:c r="M260" s="83" t="str">
        <x:v>Medio</x:v>
      </x:c>
      <x:c r="N260" s="83" t="str">
        <x:v>Da verificare in Fase 3</x:v>
      </x:c>
    </x:row>
    <x:row r="261">
      <x:c r="A261" s="83" t="str">
        <x:v>S06-FIG-14-52</x:v>
      </x:c>
      <x:c r="B261" s="83" t="str">
        <x:v>S06</x:v>
      </x:c>
      <x:c r="C261" s="83" t="str">
        <x:v>Pianificazione della rete elettrica</x:v>
      </x:c>
      <x:c r="D261" s="83" t="str">
        <x:v>Figura</x:v>
      </x:c>
      <x:c r="E261" s="83" t="str">
        <x:v>14</x:v>
      </x:c>
      <x:c r="F261" s="83" t="n">
        <x:v>52</x:v>
      </x:c>
      <x:c r="G261" s="83" t="n">
        <x:v>50</x:v>
      </x:c>
      <x:c r="H261" s="83" t="str">
        <x:v>5. Interoperabilità e reti infrastrutturali</x:v>
      </x:c>
      <x:c r="I261" s="83" t="str">
        <x:v>Figura 14 come le batterie a ioni di litio siano quelle con rendimenti superiori, intorno all’80-90%.</x:v>
      </x:c>
      <x:c r="J261" s="83" t="str">
        <x:v>Accumuli e flessibilità</x:v>
      </x:c>
      <x:c r="K261" s="83" t="str">
        <x:v>P1 - input diretto/parametro</x:v>
      </x:c>
      <x:c r="L261" s="83" t="str">
        <x:v>Figura o mappa; lettura etichette / eventuale digitalizzazione</x:v>
      </x:c>
      <x:c r="M261" s="83" t="str">
        <x:v>Medio</x:v>
      </x:c>
      <x:c r="N261" s="83" t="str">
        <x:v>Da verificare in Fase 3</x:v>
      </x:c>
    </x:row>
    <x:row r="262">
      <x:c r="A262" s="83" t="str">
        <x:v>S06-FIG-15-53</x:v>
      </x:c>
      <x:c r="B262" s="83" t="str">
        <x:v>S06</x:v>
      </x:c>
      <x:c r="C262" s="83" t="str">
        <x:v>Pianificazione della rete elettrica</x:v>
      </x:c>
      <x:c r="D262" s="83" t="str">
        <x:v>Figura</x:v>
      </x:c>
      <x:c r="E262" s="83" t="str">
        <x:v>15</x:v>
      </x:c>
      <x:c r="F262" s="83" t="n">
        <x:v>53</x:v>
      </x:c>
      <x:c r="G262" s="83" t="n">
        <x:v>51</x:v>
      </x:c>
      <x:c r="H262" s="83" t="str">
        <x:v>5. Interoperabilità e reti infrastrutturali</x:v>
      </x:c>
      <x:c r="I262" s="83" t="str">
        <x:v>Figura 15 Configurazione sistema di Cold Ironing</x:v>
      </x:c>
      <x:c r="J262" s="83" t="str">
        <x:v>Domanda e consumi</x:v>
      </x:c>
      <x:c r="K262" s="83" t="str">
        <x:v>P2 - contesto/validazione</x:v>
      </x:c>
      <x:c r="L262" s="83" t="str">
        <x:v>Figura o mappa; lettura etichette / eventuale digitalizzazione</x:v>
      </x:c>
      <x:c r="M262" s="83" t="str">
        <x:v>Medio</x:v>
      </x:c>
      <x:c r="N262" s="83" t="str">
        <x:v>Da verificare in Fase 3</x:v>
      </x:c>
    </x:row>
    <x:row r="263">
      <x:c r="A263" s="83" t="str">
        <x:v>S04-TAB-1-4</x:v>
      </x:c>
      <x:c r="B263" s="83" t="str">
        <x:v>S04</x:v>
      </x:c>
      <x:c r="C263" s="83" t="str">
        <x:v>Programmazione territoriale efficiente e interventi di connessione</x:v>
      </x:c>
      <x:c r="D263" s="83" t="str">
        <x:v>Tabella</x:v>
      </x:c>
      <x:c r="E263" s="83" t="str">
        <x:v>1</x:v>
      </x:c>
      <x:c r="F263" s="83" t="n">
        <x:v>4</x:v>
      </x:c>
      <x:c r="G263" s="83" t="n">
        <x:v>2</x:v>
      </x:c>
      <x:c r="H263" s="83" t="str">
        <x:v>Front matter</x:v>
      </x:c>
      <x:c r="I263" s="83" t="str">
        <x:v>Tabella 1 Sintesi delle richieste di connessione alla rete elettrica</x:v>
      </x:c>
      <x:c r="J263" s="83" t="str">
        <x:v>Geografia e connessioni</x:v>
      </x:c>
      <x:c r="K263" s="83" t="str">
        <x:v>P2 - contesto/validazione</x:v>
      </x:c>
      <x:c r="L263" s="83" t="str">
        <x:v>Tabella testuale/PDF</x:v>
      </x:c>
      <x:c r="M263" s="83" t="str">
        <x:v>Basso</x:v>
      </x:c>
      <x:c r="N263" s="83" t="str">
        <x:v>Da verificare in Fase 3</x:v>
      </x:c>
    </x:row>
    <x:row r="264">
      <x:c r="A264" s="83" t="str">
        <x:v>S04-FIG-1-5</x:v>
      </x:c>
      <x:c r="B264" s="83" t="str">
        <x:v>S04</x:v>
      </x:c>
      <x:c r="C264" s="83" t="str">
        <x:v>Programmazione territoriale efficiente e interventi di connessione</x:v>
      </x:c>
      <x:c r="D264" s="83" t="str">
        <x:v>Figura</x:v>
      </x:c>
      <x:c r="E264" s="83" t="str">
        <x:v>1</x:v>
      </x:c>
      <x:c r="F264" s="83" t="n">
        <x:v>5</x:v>
      </x:c>
      <x:c r="G264" s="83" t="n">
        <x:v>3</x:v>
      </x:c>
      <x:c r="H264" s="83" t="str">
        <x:v>Front matter</x:v>
      </x:c>
      <x:c r="I264" s="83" t="str">
        <x:v>Figura 1 Richieste di connessione su rete AAT/AT per impianti rinnovabili (solare, eolico on-shore,</x:v>
      </x:c>
      <x:c r="J264" s="83" t="str">
        <x:v>Capacità e generazione; Geografia e connessioni</x:v>
      </x:c>
      <x:c r="K264" s="83" t="str">
        <x:v>P2 - contesto/validazione</x:v>
      </x:c>
      <x:c r="L264" s="83" t="str">
        <x:v>Figura o mappa; lettura etichette / eventuale digitalizzazione</x:v>
      </x:c>
      <x:c r="M264" s="83" t="str">
        <x:v>Medio</x:v>
      </x:c>
      <x:c r="N264" s="83" t="str">
        <x:v>Da verificare in Fase 3</x:v>
      </x:c>
    </x:row>
    <x:row r="265">
      <x:c r="A265" s="83" t="str">
        <x:v>S04-FIG-2-5</x:v>
      </x:c>
      <x:c r="B265" s="83" t="str">
        <x:v>S04</x:v>
      </x:c>
      <x:c r="C265" s="83" t="str">
        <x:v>Programmazione territoriale efficiente e interventi di connessione</x:v>
      </x:c>
      <x:c r="D265" s="83" t="str">
        <x:v>Figura</x:v>
      </x:c>
      <x:c r="E265" s="83" t="str">
        <x:v>2</x:v>
      </x:c>
      <x:c r="F265" s="83" t="n">
        <x:v>5</x:v>
      </x:c>
      <x:c r="G265" s="83" t="n">
        <x:v>3</x:v>
      </x:c>
      <x:c r="H265" s="83" t="str">
        <x:v>Front matter</x:v>
      </x:c>
      <x:c r="I265" s="83" t="str">
        <x:v>Figura 2 Capacità di stoccaggio relativa alla totalità delle richieste di connessione su rete AAT/AT</x:v>
      </x:c>
      <x:c r="J265" s="83" t="str">
        <x:v>Geografia e connessioni</x:v>
      </x:c>
      <x:c r="K265" s="83" t="str">
        <x:v>P2 - contesto/validazione</x:v>
      </x:c>
      <x:c r="L265" s="83" t="str">
        <x:v>Figura o mappa; lettura etichette / eventuale digitalizzazione</x:v>
      </x:c>
      <x:c r="M265" s="83" t="str">
        <x:v>Medio</x:v>
      </x:c>
      <x:c r="N265" s="83" t="str">
        <x:v>Da verificare in Fase 3</x:v>
      </x:c>
    </x:row>
    <x:row r="266">
      <x:c r="A266" s="83" t="str">
        <x:v>S04-FIG-3-13</x:v>
      </x:c>
      <x:c r="B266" s="83" t="str">
        <x:v>S04</x:v>
      </x:c>
      <x:c r="C266" s="83" t="str">
        <x:v>Programmazione territoriale efficiente e interventi di connessione</x:v>
      </x:c>
      <x:c r="D266" s="83" t="str">
        <x:v>Figura</x:v>
      </x:c>
      <x:c r="E266" s="83" t="str">
        <x:v>3</x:v>
      </x:c>
      <x:c r="F266" s="83" t="n">
        <x:v>13</x:v>
      </x:c>
      <x:c r="G266" s="83" t="n">
        <x:v>11</x:v>
      </x:c>
      <x:c r="H266" s="83" t="str">
        <x:v>1. Richieste di connessione</x:v>
      </x:c>
      <x:c r="I266" s="83" t="str">
        <x:v>Figura 3 Richieste di connessione FER attive a Dicembre 2024, suddivise per Zona di Mercato [GW]</x:v>
      </x:c>
      <x:c r="J266" s="83" t="str">
        <x:v>Capacità e generazione; Mercato e prezzi; Geografia e connessioni</x:v>
      </x:c>
      <x:c r="K266" s="83" t="str">
        <x:v>P2 - contesto/validazione</x:v>
      </x:c>
      <x:c r="L266" s="83" t="str">
        <x:v>Figura o mappa; lettura etichette / eventuale digitalizzazione</x:v>
      </x:c>
      <x:c r="M266" s="83" t="str">
        <x:v>Medio</x:v>
      </x:c>
      <x:c r="N266" s="83" t="str">
        <x:v>Da verificare in Fase 3</x:v>
      </x:c>
    </x:row>
    <x:row r="267">
      <x:c r="A267" s="83" t="str">
        <x:v>S04-FIG-4-14</x:v>
      </x:c>
      <x:c r="B267" s="83" t="str">
        <x:v>S04</x:v>
      </x:c>
      <x:c r="C267" s="83" t="str">
        <x:v>Programmazione territoriale efficiente e interventi di connessione</x:v>
      </x:c>
      <x:c r="D267" s="83" t="str">
        <x:v>Figura</x:v>
      </x:c>
      <x:c r="E267" s="83" t="str">
        <x:v>4</x:v>
      </x:c>
      <x:c r="F267" s="83" t="n">
        <x:v>14</x:v>
      </x:c>
      <x:c r="G267" s="83" t="n">
        <x:v>12</x:v>
      </x:c>
      <x:c r="H267" s="83" t="str">
        <x:v>1. Richieste di connessione</x:v>
      </x:c>
      <x:c r="I267" s="83" t="str">
        <x:v>Figura 4 Trend storico dell’ammontare delle richieste di connessione FER attive alla RTN [GW]</x:v>
      </x:c>
      <x:c r="J267" s="83" t="str">
        <x:v>Capacità e generazione; Trasmissione e interconnessioni; Geografia e connessioni</x:v>
      </x:c>
      <x:c r="K267" s="83" t="str">
        <x:v>P2 - contesto/validazione</x:v>
      </x:c>
      <x:c r="L267" s="83" t="str">
        <x:v>Figura o mappa; lettura etichette / eventuale digitalizzazione</x:v>
      </x:c>
      <x:c r="M267" s="83" t="str">
        <x:v>Medio</x:v>
      </x:c>
      <x:c r="N267" s="83" t="str">
        <x:v>Da verificare in Fase 3</x:v>
      </x:c>
    </x:row>
    <x:row r="268">
      <x:c r="A268" s="83" t="str">
        <x:v>S04-TAB-2-15</x:v>
      </x:c>
      <x:c r="B268" s="83" t="str">
        <x:v>S04</x:v>
      </x:c>
      <x:c r="C268" s="83" t="str">
        <x:v>Programmazione territoriale efficiente e interventi di connessione</x:v>
      </x:c>
      <x:c r="D268" s="83" t="str">
        <x:v>Tabella</x:v>
      </x:c>
      <x:c r="E268" s="83" t="str">
        <x:v>2</x:v>
      </x:c>
      <x:c r="F268" s="83" t="n">
        <x:v>15</x:v>
      </x:c>
      <x:c r="G268" s="83" t="n">
        <x:v>13</x:v>
      </x:c>
      <x:c r="H268" s="83" t="str">
        <x:v>1. Richieste di connessione</x:v>
      </x:c>
      <x:c r="I268" s="83" t="str">
        <x:v>Tabella 2 Distribuzione delle richieste di connessione FER suddivise per stato di avanzamento dell’iter</x:v>
      </x:c>
      <x:c r="J268" s="83" t="str">
        <x:v>Capacità e generazione; Geografia e connessioni</x:v>
      </x:c>
      <x:c r="K268" s="83" t="str">
        <x:v>P2 - contesto/validazione</x:v>
      </x:c>
      <x:c r="L268" s="83" t="str">
        <x:v>Tabella testuale/PDF</x:v>
      </x:c>
      <x:c r="M268" s="83" t="str">
        <x:v>Basso</x:v>
      </x:c>
      <x:c r="N268" s="83" t="str">
        <x:v>Da verificare in Fase 3</x:v>
      </x:c>
    </x:row>
    <x:row r="269">
      <x:c r="A269" s="83" t="str">
        <x:v>S04-TAB-3-16</x:v>
      </x:c>
      <x:c r="B269" s="83" t="str">
        <x:v>S04</x:v>
      </x:c>
      <x:c r="C269" s="83" t="str">
        <x:v>Programmazione territoriale efficiente e interventi di connessione</x:v>
      </x:c>
      <x:c r="D269" s="83" t="str">
        <x:v>Tabella</x:v>
      </x:c>
      <x:c r="E269" s="83" t="str">
        <x:v>3</x:v>
      </x:c>
      <x:c r="F269" s="83" t="n">
        <x:v>16</x:v>
      </x:c>
      <x:c r="G269" s="83" t="n">
        <x:v>14</x:v>
      </x:c>
      <x:c r="H269" s="83" t="str">
        <x:v>1. Richieste di connessione</x:v>
      </x:c>
      <x:c r="I269" s="83" t="str">
        <x:v>Tabella 3 Distribuzione delle richieste di connessione FER suddivise per ZdM</x:v>
      </x:c>
      <x:c r="J269" s="83" t="str">
        <x:v>Capacità e generazione; Geografia e connessioni</x:v>
      </x:c>
      <x:c r="K269" s="83" t="str">
        <x:v>P2 - contesto/validazione</x:v>
      </x:c>
      <x:c r="L269" s="83" t="str">
        <x:v>Tabella testuale/PDF</x:v>
      </x:c>
      <x:c r="M269" s="83" t="str">
        <x:v>Basso</x:v>
      </x:c>
      <x:c r="N269" s="83" t="str">
        <x:v>Da verificare in Fase 3</x:v>
      </x:c>
    </x:row>
    <x:row r="270">
      <x:c r="A270" s="83" t="str">
        <x:v>S04-FIG-5-16</x:v>
      </x:c>
      <x:c r="B270" s="83" t="str">
        <x:v>S04</x:v>
      </x:c>
      <x:c r="C270" s="83" t="str">
        <x:v>Programmazione territoriale efficiente e interventi di connessione</x:v>
      </x:c>
      <x:c r="D270" s="83" t="str">
        <x:v>Figura</x:v>
      </x:c>
      <x:c r="E270" s="83" t="str">
        <x:v>5</x:v>
      </x:c>
      <x:c r="F270" s="83" t="n">
        <x:v>16</x:v>
      </x:c>
      <x:c r="G270" s="83" t="n">
        <x:v>14</x:v>
      </x:c>
      <x:c r="H270" s="83" t="str">
        <x:v>1. Richieste di connessione</x:v>
      </x:c>
      <x:c r="I270" s="83" t="str">
        <x:v>Figura 5 Richieste di connessione FER attive a Dicembre 2024, suddivise per Regione</x:v>
      </x:c>
      <x:c r="J270" s="83" t="str">
        <x:v>Capacità e generazione; Geografia e connessioni</x:v>
      </x:c>
      <x:c r="K270" s="83" t="str">
        <x:v>P2 - contesto/validazione</x:v>
      </x:c>
      <x:c r="L270" s="83" t="str">
        <x:v>Figura o mappa; lettura etichette / eventuale digitalizzazione</x:v>
      </x:c>
      <x:c r="M270" s="83" t="str">
        <x:v>Medio</x:v>
      </x:c>
      <x:c r="N270" s="83" t="str">
        <x:v>Da verificare in Fase 3</x:v>
      </x:c>
    </x:row>
    <x:row r="271">
      <x:c r="A271" s="83" t="str">
        <x:v>S04-FIG-6-17</x:v>
      </x:c>
      <x:c r="B271" s="83" t="str">
        <x:v>S04</x:v>
      </x:c>
      <x:c r="C271" s="83" t="str">
        <x:v>Programmazione territoriale efficiente e interventi di connessione</x:v>
      </x:c>
      <x:c r="D271" s="83" t="str">
        <x:v>Figura</x:v>
      </x:c>
      <x:c r="E271" s="83" t="str">
        <x:v>6</x:v>
      </x:c>
      <x:c r="F271" s="83" t="n">
        <x:v>17</x:v>
      </x:c>
      <x:c r="G271" s="83" t="n">
        <x:v>15</x:v>
      </x:c>
      <x:c r="H271" s="83" t="str">
        <x:v>1. Richieste di connessione</x:v>
      </x:c>
      <x:c r="I271" s="83" t="str">
        <x:v>Figura 6 Richieste di connessione per impianti eolici off-shore a partire da dicembre 2020</x:v>
      </x:c>
      <x:c r="J271" s="83" t="str">
        <x:v>Capacità e generazione; Geografia e connessioni</x:v>
      </x:c>
      <x:c r="K271" s="83" t="str">
        <x:v>P2 - contesto/validazione</x:v>
      </x:c>
      <x:c r="L271" s="83" t="str">
        <x:v>Figura o mappa; lettura etichette / eventuale digitalizzazione</x:v>
      </x:c>
      <x:c r="M271" s="83" t="str">
        <x:v>Medio</x:v>
      </x:c>
      <x:c r="N271" s="83" t="str">
        <x:v>Da verificare in Fase 3</x:v>
      </x:c>
    </x:row>
    <x:row r="272">
      <x:c r="A272" s="83" t="str">
        <x:v>S04-TAB-4-18</x:v>
      </x:c>
      <x:c r="B272" s="83" t="str">
        <x:v>S04</x:v>
      </x:c>
      <x:c r="C272" s="83" t="str">
        <x:v>Programmazione territoriale efficiente e interventi di connessione</x:v>
      </x:c>
      <x:c r="D272" s="83" t="str">
        <x:v>Tabella</x:v>
      </x:c>
      <x:c r="E272" s="83" t="str">
        <x:v>4</x:v>
      </x:c>
      <x:c r="F272" s="83" t="n">
        <x:v>18</x:v>
      </x:c>
      <x:c r="G272" s="83" t="n">
        <x:v>16</x:v>
      </x:c>
      <x:c r="H272" s="83" t="str">
        <x:v>1. Richieste di connessione</x:v>
      </x:c>
      <x:c r="I272" s="83" t="str">
        <x:v>Tabella 4 Distribuzione delle richieste di connessione eolico off-shore suddivise per ZdM</x:v>
      </x:c>
      <x:c r="J272" s="83" t="str">
        <x:v>Capacità e generazione; Geografia e connessioni</x:v>
      </x:c>
      <x:c r="K272" s="83" t="str">
        <x:v>P2 - contesto/validazione</x:v>
      </x:c>
      <x:c r="L272" s="83" t="str">
        <x:v>Tabella testuale/PDF</x:v>
      </x:c>
      <x:c r="M272" s="83" t="str">
        <x:v>Basso</x:v>
      </x:c>
      <x:c r="N272" s="83" t="str">
        <x:v>Da verificare in Fase 3</x:v>
      </x:c>
    </x:row>
    <x:row r="273">
      <x:c r="A273" s="83" t="str">
        <x:v>S04-FIG-7-19</x:v>
      </x:c>
      <x:c r="B273" s="83" t="str">
        <x:v>S04</x:v>
      </x:c>
      <x:c r="C273" s="83" t="str">
        <x:v>Programmazione territoriale efficiente e interventi di connessione</x:v>
      </x:c>
      <x:c r="D273" s="83" t="str">
        <x:v>Figura</x:v>
      </x:c>
      <x:c r="E273" s="83" t="str">
        <x:v>7</x:v>
      </x:c>
      <x:c r="F273" s="83" t="n">
        <x:v>19</x:v>
      </x:c>
      <x:c r="G273" s="83" t="n">
        <x:v>17</x:v>
      </x:c>
      <x:c r="H273" s="83" t="str">
        <x:v>1. Richieste di connessione</x:v>
      </x:c>
      <x:c r="I273" s="83" t="str">
        <x:v>Figura 7 Distribuzione delle iniziative di impianti eolici off-shore al 31 dicembre 2024 (GW)</x:v>
      </x:c>
      <x:c r="J273" s="83" t="str">
        <x:v>Capacità e generazione</x:v>
      </x:c>
      <x:c r="K273" s="83" t="str">
        <x:v>P2 - contesto/validazione</x:v>
      </x:c>
      <x:c r="L273" s="83" t="str">
        <x:v>Figura o mappa; lettura etichette / eventuale digitalizzazione</x:v>
      </x:c>
      <x:c r="M273" s="83" t="str">
        <x:v>Medio</x:v>
      </x:c>
      <x:c r="N273" s="83" t="str">
        <x:v>Da verificare in Fase 3</x:v>
      </x:c>
    </x:row>
    <x:row r="274">
      <x:c r="A274" s="83" t="str">
        <x:v>S04-FIG-8-19</x:v>
      </x:c>
      <x:c r="B274" s="83" t="str">
        <x:v>S04</x:v>
      </x:c>
      <x:c r="C274" s="83" t="str">
        <x:v>Programmazione territoriale efficiente e interventi di connessione</x:v>
      </x:c>
      <x:c r="D274" s="83" t="str">
        <x:v>Figura</x:v>
      </x:c>
      <x:c r="E274" s="83" t="str">
        <x:v>8</x:v>
      </x:c>
      <x:c r="F274" s="83" t="n">
        <x:v>19</x:v>
      </x:c>
      <x:c r="G274" s="83" t="n">
        <x:v>17</x:v>
      </x:c>
      <x:c r="H274" s="83" t="str">
        <x:v>1. Richieste di connessione</x:v>
      </x:c>
      <x:c r="I274" s="83" t="str">
        <x:v>Figura 8 Stato e distribuzione regionale delle iniziative di impianti eolici off-shore al 31 Dicembre 2024</x:v>
      </x:c>
      <x:c r="J274" s="83" t="str">
        <x:v>Capacità e generazione</x:v>
      </x:c>
      <x:c r="K274" s="83" t="str">
        <x:v>P2 - contesto/validazione</x:v>
      </x:c>
      <x:c r="L274" s="83" t="str">
        <x:v>Figura o mappa; lettura etichette / eventuale digitalizzazione</x:v>
      </x:c>
      <x:c r="M274" s="83" t="str">
        <x:v>Medio</x:v>
      </x:c>
      <x:c r="N274" s="83" t="str">
        <x:v>Da verificare in Fase 3</x:v>
      </x:c>
    </x:row>
    <x:row r="275">
      <x:c r="A275" s="83" t="str">
        <x:v>S04-FIG-9-20</x:v>
      </x:c>
      <x:c r="B275" s="83" t="str">
        <x:v>S04</x:v>
      </x:c>
      <x:c r="C275" s="83" t="str">
        <x:v>Programmazione territoriale efficiente e interventi di connessione</x:v>
      </x:c>
      <x:c r="D275" s="83" t="str">
        <x:v>Figura</x:v>
      </x:c>
      <x:c r="E275" s="83" t="str">
        <x:v>9</x:v>
      </x:c>
      <x:c r="F275" s="83" t="n">
        <x:v>20</x:v>
      </x:c>
      <x:c r="G275" s="83" t="n">
        <x:v>18</x:v>
      </x:c>
      <x:c r="H275" s="83" t="str">
        <x:v>1. Richieste di connessione</x:v>
      </x:c>
      <x:c r="I275" s="83" t="str">
        <x:v>Figura 9 Clusterizzazione delle richieste di connessione per gli impianti eolici off-shore in funzione della</x:v>
      </x:c>
      <x:c r="J275" s="83" t="str">
        <x:v>Capacità e generazione; Geografia e connessioni</x:v>
      </x:c>
      <x:c r="K275" s="83" t="str">
        <x:v>P2 - contesto/validazione</x:v>
      </x:c>
      <x:c r="L275" s="83" t="str">
        <x:v>Figura o mappa; lettura etichette / eventuale digitalizzazione</x:v>
      </x:c>
      <x:c r="M275" s="83" t="str">
        <x:v>Medio</x:v>
      </x:c>
      <x:c r="N275" s="83" t="str">
        <x:v>Da verificare in Fase 3</x:v>
      </x:c>
    </x:row>
    <x:row r="276">
      <x:c r="A276" s="83" t="str">
        <x:v>S04-FIG-10-20</x:v>
      </x:c>
      <x:c r="B276" s="83" t="str">
        <x:v>S04</x:v>
      </x:c>
      <x:c r="C276" s="83" t="str">
        <x:v>Programmazione territoriale efficiente e interventi di connessione</x:v>
      </x:c>
      <x:c r="D276" s="83" t="str">
        <x:v>Figura</x:v>
      </x:c>
      <x:c r="E276" s="83" t="str">
        <x:v>10</x:v>
      </x:c>
      <x:c r="F276" s="83" t="n">
        <x:v>20</x:v>
      </x:c>
      <x:c r="G276" s="83" t="n">
        <x:v>18</x:v>
      </x:c>
      <x:c r="H276" s="83" t="str">
        <x:v>1. Richieste di connessione</x:v>
      </x:c>
      <x:c r="I276" s="83" t="str">
        <x:v>Figura 10 Distribuzione delle richieste secondo la taglia delle iniziative, la distanza dalla costa e la</x:v>
      </x:c>
      <x:c r="J276" s="83" t="str">
        <x:v>Contesto / metodologia</x:v>
      </x:c>
      <x:c r="K276" s="83" t="str">
        <x:v>P2 - contesto/validazione</x:v>
      </x:c>
      <x:c r="L276" s="83" t="str">
        <x:v>Figura o mappa; lettura etichette / eventuale digitalizzazione</x:v>
      </x:c>
      <x:c r="M276" s="83" t="str">
        <x:v>Medio</x:v>
      </x:c>
      <x:c r="N276" s="83" t="str">
        <x:v>Da verificare in Fase 3</x:v>
      </x:c>
    </x:row>
    <x:row r="277">
      <x:c r="A277" s="83" t="str">
        <x:v>S04-FIG-11-21</x:v>
      </x:c>
      <x:c r="B277" s="83" t="str">
        <x:v>S04</x:v>
      </x:c>
      <x:c r="C277" s="83" t="str">
        <x:v>Programmazione territoriale efficiente e interventi di connessione</x:v>
      </x:c>
      <x:c r="D277" s="83" t="str">
        <x:v>Figura</x:v>
      </x:c>
      <x:c r="E277" s="83" t="str">
        <x:v>11</x:v>
      </x:c>
      <x:c r="F277" s="83" t="n">
        <x:v>21</x:v>
      </x:c>
      <x:c r="G277" s="83" t="n">
        <x:v>19</x:v>
      </x:c>
      <x:c r="H277" s="83" t="str">
        <x:v>1. Richieste di connessione</x:v>
      </x:c>
      <x:c r="I277" s="83" t="str">
        <x:v>Figura 11 Evidenze delle survey tecnologiche condotte</x:v>
      </x:c>
      <x:c r="J277" s="83" t="str">
        <x:v>Contesto / metodologia</x:v>
      </x:c>
      <x:c r="K277" s="83" t="str">
        <x:v>P2 - contesto/validazione</x:v>
      </x:c>
      <x:c r="L277" s="83" t="str">
        <x:v>Figura o mappa; lettura etichette / eventuale digitalizzazione</x:v>
      </x:c>
      <x:c r="M277" s="83" t="str">
        <x:v>Medio</x:v>
      </x:c>
      <x:c r="N277" s="83" t="str">
        <x:v>Da verificare in Fase 3</x:v>
      </x:c>
    </x:row>
    <x:row r="278">
      <x:c r="A278" s="83" t="str">
        <x:v>S04-FIG-12-22</x:v>
      </x:c>
      <x:c r="B278" s="83" t="str">
        <x:v>S04</x:v>
      </x:c>
      <x:c r="C278" s="83" t="str">
        <x:v>Programmazione territoriale efficiente e interventi di connessione</x:v>
      </x:c>
      <x:c r="D278" s="83" t="str">
        <x:v>Figura</x:v>
      </x:c>
      <x:c r="E278" s="83" t="str">
        <x:v>12</x:v>
      </x:c>
      <x:c r="F278" s="83" t="n">
        <x:v>22</x:v>
      </x:c>
      <x:c r="G278" s="83" t="n">
        <x:v>20</x:v>
      </x:c>
      <x:c r="H278" s="83" t="str">
        <x:v>1. Richieste di connessione</x:v>
      </x:c>
      <x:c r="I278" s="83" t="str">
        <x:v>Figura 12 Schemi generali di connessione ipotizzabili: a) Schema di connessione con collegamento</x:v>
      </x:c>
      <x:c r="J278" s="83" t="str">
        <x:v>Contesto / metodologia</x:v>
      </x:c>
      <x:c r="K278" s="83" t="str">
        <x:v>P2 - contesto/validazione</x:v>
      </x:c>
      <x:c r="L278" s="83" t="str">
        <x:v>Figura o mappa; lettura etichette / eventuale digitalizzazione</x:v>
      </x:c>
      <x:c r="M278" s="83" t="str">
        <x:v>Medio</x:v>
      </x:c>
      <x:c r="N278" s="83" t="str">
        <x:v>Da verificare in Fase 3</x:v>
      </x:c>
    </x:row>
    <x:row r="279">
      <x:c r="A279" s="83" t="str">
        <x:v>S04-FIG-13-24</x:v>
      </x:c>
      <x:c r="B279" s="83" t="str">
        <x:v>S04</x:v>
      </x:c>
      <x:c r="C279" s="83" t="str">
        <x:v>Programmazione territoriale efficiente e interventi di connessione</x:v>
      </x:c>
      <x:c r="D279" s="83" t="str">
        <x:v>Figura</x:v>
      </x:c>
      <x:c r="E279" s="83" t="str">
        <x:v>13</x:v>
      </x:c>
      <x:c r="F279" s="83" t="n">
        <x:v>24</x:v>
      </x:c>
      <x:c r="G279" s="83" t="n">
        <x:v>22</x:v>
      </x:c>
      <x:c r="H279" s="83" t="str">
        <x:v>1. Richieste di connessione</x:v>
      </x:c>
      <x:c r="I279" s="83" t="str">
        <x:v>Figura 13 Distribuzione regionale delle richieste di connessione MT/BT di impianti fotovoltaici ed eolici al</x:v>
      </x:c>
      <x:c r="J279" s="83" t="str">
        <x:v>Capacità e generazione; Geografia e connessioni</x:v>
      </x:c>
      <x:c r="K279" s="83" t="str">
        <x:v>P2 - contesto/validazione</x:v>
      </x:c>
      <x:c r="L279" s="83" t="str">
        <x:v>Figura o mappa; lettura etichette / eventuale digitalizzazione</x:v>
      </x:c>
      <x:c r="M279" s="83" t="str">
        <x:v>Medio</x:v>
      </x:c>
      <x:c r="N279" s="83" t="str">
        <x:v>Da verificare in Fase 3</x:v>
      </x:c>
    </x:row>
    <x:row r="280">
      <x:c r="A280" s="83" t="str">
        <x:v>S04-FIG-14-25</x:v>
      </x:c>
      <x:c r="B280" s="83" t="str">
        <x:v>S04</x:v>
      </x:c>
      <x:c r="C280" s="83" t="str">
        <x:v>Programmazione territoriale efficiente e interventi di connessione</x:v>
      </x:c>
      <x:c r="D280" s="83" t="str">
        <x:v>Figura</x:v>
      </x:c>
      <x:c r="E280" s="83" t="str">
        <x:v>14</x:v>
      </x:c>
      <x:c r="F280" s="83" t="n">
        <x:v>25</x:v>
      </x:c>
      <x:c r="G280" s="83" t="n">
        <x:v>23</x:v>
      </x:c>
      <x:c r="H280" s="83" t="str">
        <x:v>1. Richieste di connessione</x:v>
      </x:c>
      <x:c r="I280" s="83" t="str">
        <x:v>Figura 14 Stato delle richieste di connessione MT/BT al 30.11.2024; l’elaborazione è sui dati forniti dalle</x:v>
      </x:c>
      <x:c r="J280" s="83" t="str">
        <x:v>Geografia e connessioni</x:v>
      </x:c>
      <x:c r="K280" s="83" t="str">
        <x:v>P2 - contesto/validazione</x:v>
      </x:c>
      <x:c r="L280" s="83" t="str">
        <x:v>Figura o mappa; lettura etichette / eventuale digitalizzazione</x:v>
      </x:c>
      <x:c r="M280" s="83" t="str">
        <x:v>Medio</x:v>
      </x:c>
      <x:c r="N280" s="83" t="str">
        <x:v>Da verificare in Fase 3</x:v>
      </x:c>
    </x:row>
    <x:row r="281">
      <x:c r="A281" s="83" t="str">
        <x:v>S04-FIG-15-26</x:v>
      </x:c>
      <x:c r="B281" s="83" t="str">
        <x:v>S04</x:v>
      </x:c>
      <x:c r="C281" s="83" t="str">
        <x:v>Programmazione territoriale efficiente e interventi di connessione</x:v>
      </x:c>
      <x:c r="D281" s="83" t="str">
        <x:v>Figura</x:v>
      </x:c>
      <x:c r="E281" s="83" t="str">
        <x:v>15</x:v>
      </x:c>
      <x:c r="F281" s="83" t="n">
        <x:v>26</x:v>
      </x:c>
      <x:c r="G281" s="83" t="n">
        <x:v>24</x:v>
      </x:c>
      <x:c r="H281" s="83" t="str">
        <x:v>1. Richieste di connessione</x:v>
      </x:c>
      <x:c r="I281" s="83" t="str">
        <x:v>Figura 15 Confronto tra l’incremento della capacità FER da installare al 2030 per traguardare gli obiettivi</x:v>
      </x:c>
      <x:c r="J281" s="83" t="str">
        <x:v>Capacità e generazione; Scenario e metodologia</x:v>
      </x:c>
      <x:c r="K281" s="83" t="str">
        <x:v>P2 - contesto/validazione</x:v>
      </x:c>
      <x:c r="L281" s="83" t="str">
        <x:v>Figura o mappa; lettura etichette / eventuale digitalizzazione</x:v>
      </x:c>
      <x:c r="M281" s="83" t="str">
        <x:v>Medio</x:v>
      </x:c>
      <x:c r="N281" s="83" t="str">
        <x:v>Da verificare in Fase 3</x:v>
      </x:c>
    </x:row>
    <x:row r="282">
      <x:c r="A282" s="83" t="str">
        <x:v>S04-FIG-16-27</x:v>
      </x:c>
      <x:c r="B282" s="83" t="str">
        <x:v>S04</x:v>
      </x:c>
      <x:c r="C282" s="83" t="str">
        <x:v>Programmazione territoriale efficiente e interventi di connessione</x:v>
      </x:c>
      <x:c r="D282" s="83" t="str">
        <x:v>Figura</x:v>
      </x:c>
      <x:c r="E282" s="83" t="str">
        <x:v>16</x:v>
      </x:c>
      <x:c r="F282" s="83" t="n">
        <x:v>27</x:v>
      </x:c>
      <x:c r="G282" s="83" t="n">
        <x:v>25</x:v>
      </x:c>
      <x:c r="H282" s="83" t="str">
        <x:v>1. Richieste di connessione</x:v>
      </x:c>
      <x:c r="I282" s="83" t="str">
        <x:v>Figura 16 Potenza installata al 2024 sulla RTN e su rete di competenza dei distributori locali e obiettivo di</x:v>
      </x:c>
      <x:c r="J282" s="83" t="str">
        <x:v>Capacità e generazione; Trasmissione e interconnessioni</x:v>
      </x:c>
      <x:c r="K282" s="83" t="str">
        <x:v>P1 - input diretto/parametro</x:v>
      </x:c>
      <x:c r="L282" s="83" t="str">
        <x:v>Figura o mappa; lettura etichette / eventuale digitalizzazione</x:v>
      </x:c>
      <x:c r="M282" s="83" t="str">
        <x:v>Medio</x:v>
      </x:c>
      <x:c r="N282" s="83" t="str">
        <x:v>Da verificare in Fase 3</x:v>
      </x:c>
    </x:row>
    <x:row r="283">
      <x:c r="A283" s="83" t="str">
        <x:v>S04-TAB-5-28</x:v>
      </x:c>
      <x:c r="B283" s="83" t="str">
        <x:v>S04</x:v>
      </x:c>
      <x:c r="C283" s="83" t="str">
        <x:v>Programmazione territoriale efficiente e interventi di connessione</x:v>
      </x:c>
      <x:c r="D283" s="83" t="str">
        <x:v>Tabella</x:v>
      </x:c>
      <x:c r="E283" s="83" t="str">
        <x:v>5</x:v>
      </x:c>
      <x:c r="F283" s="83" t="n">
        <x:v>28</x:v>
      </x:c>
      <x:c r="G283" s="83" t="n">
        <x:v>26</x:v>
      </x:c>
      <x:c r="H283" s="83" t="str">
        <x:v>1. Richieste di connessione</x:v>
      </x:c>
      <x:c r="I283" s="83" t="str">
        <x:v>Tabella 5 Distribuzione delle richieste di connessione suddivise per stato di avanzamento dell’iter di</x:v>
      </x:c>
      <x:c r="J283" s="83" t="str">
        <x:v>Geografia e connessioni</x:v>
      </x:c>
      <x:c r="K283" s="83" t="str">
        <x:v>P2 - contesto/validazione</x:v>
      </x:c>
      <x:c r="L283" s="83" t="str">
        <x:v>Tabella testuale/PDF</x:v>
      </x:c>
      <x:c r="M283" s="83" t="str">
        <x:v>Basso</x:v>
      </x:c>
      <x:c r="N283" s="83" t="str">
        <x:v>Da verificare in Fase 3</x:v>
      </x:c>
    </x:row>
    <x:row r="284">
      <x:c r="A284" s="83" t="str">
        <x:v>S04-FIG-17-29</x:v>
      </x:c>
      <x:c r="B284" s="83" t="str">
        <x:v>S04</x:v>
      </x:c>
      <x:c r="C284" s="83" t="str">
        <x:v>Programmazione territoriale efficiente e interventi di connessione</x:v>
      </x:c>
      <x:c r="D284" s="83" t="str">
        <x:v>Figura</x:v>
      </x:c>
      <x:c r="E284" s="83" t="str">
        <x:v>17</x:v>
      </x:c>
      <x:c r="F284" s="83" t="n">
        <x:v>29</x:v>
      </x:c>
      <x:c r="G284" s="83" t="n">
        <x:v>27</x:v>
      </x:c>
      <x:c r="H284" s="83" t="str">
        <x:v>1. Richieste di connessione</x:v>
      </x:c>
      <x:c r="I284" s="83" t="str">
        <x:v>Figura 17:</x:v>
      </x:c>
      <x:c r="J284" s="83" t="str">
        <x:v>Contesto / metodologia</x:v>
      </x:c>
      <x:c r="K284" s="83" t="str">
        <x:v>P2 - contesto/validazione</x:v>
      </x:c>
      <x:c r="L284" s="83" t="str">
        <x:v>Figura o mappa; lettura etichette / eventuale digitalizzazione</x:v>
      </x:c>
      <x:c r="M284" s="83" t="str">
        <x:v>Medio</x:v>
      </x:c>
      <x:c r="N284" s="83" t="str">
        <x:v>Da verificare in Fase 3</x:v>
      </x:c>
    </x:row>
    <x:row r="285">
      <x:c r="A285" s="83" t="str">
        <x:v>S04-TAB-6-29</x:v>
      </x:c>
      <x:c r="B285" s="83" t="str">
        <x:v>S04</x:v>
      </x:c>
      <x:c r="C285" s="83" t="str">
        <x:v>Programmazione territoriale efficiente e interventi di connessione</x:v>
      </x:c>
      <x:c r="D285" s="83" t="str">
        <x:v>Tabella</x:v>
      </x:c>
      <x:c r="E285" s="83" t="str">
        <x:v>6</x:v>
      </x:c>
      <x:c r="F285" s="83" t="n">
        <x:v>29</x:v>
      </x:c>
      <x:c r="G285" s="83" t="n">
        <x:v>27</x:v>
      </x:c>
      <x:c r="H285" s="83" t="str">
        <x:v>1. Richieste di connessione</x:v>
      </x:c>
      <x:c r="I285" s="83" t="str">
        <x:v>Tabella 6 Distribuzione geografica delle richieste di connessione suddivise per zona di mercato (GW)</x:v>
      </x:c>
      <x:c r="J285" s="83" t="str">
        <x:v>Mercato e prezzi; Geografia e connessioni</x:v>
      </x:c>
      <x:c r="K285" s="83" t="str">
        <x:v>P2 - contesto/validazione</x:v>
      </x:c>
      <x:c r="L285" s="83" t="str">
        <x:v>Tabella testuale/PDF</x:v>
      </x:c>
      <x:c r="M285" s="83" t="str">
        <x:v>Basso</x:v>
      </x:c>
      <x:c r="N285" s="83" t="str">
        <x:v>Da verificare in Fase 3</x:v>
      </x:c>
    </x:row>
    <x:row r="286">
      <x:c r="A286" s="83" t="str">
        <x:v>S04-FIG-17-29</x:v>
      </x:c>
      <x:c r="B286" s="83" t="str">
        <x:v>S04</x:v>
      </x:c>
      <x:c r="C286" s="83" t="str">
        <x:v>Programmazione territoriale efficiente e interventi di connessione</x:v>
      </x:c>
      <x:c r="D286" s="83" t="str">
        <x:v>Figura</x:v>
      </x:c>
      <x:c r="E286" s="83" t="str">
        <x:v>17</x:v>
      </x:c>
      <x:c r="F286" s="83" t="n">
        <x:v>29</x:v>
      </x:c>
      <x:c r="G286" s="83" t="n">
        <x:v>27</x:v>
      </x:c>
      <x:c r="H286" s="83" t="str">
        <x:v>1. Richieste di connessione</x:v>
      </x:c>
      <x:c r="I286" s="83" t="str">
        <x:v>Figura 17 Distribuzione zonale delle richieste di connessione di accumuli. La potenza è espressa in GW</x:v>
      </x:c>
      <x:c r="J286" s="83" t="str">
        <x:v>Accumuli e flessibilità; Geografia e connessioni</x:v>
      </x:c>
      <x:c r="K286" s="83" t="str">
        <x:v>P1 - input diretto/parametro</x:v>
      </x:c>
      <x:c r="L286" s="83" t="str">
        <x:v>Figura o mappa; lettura etichette / eventuale digitalizzazione</x:v>
      </x:c>
      <x:c r="M286" s="83" t="str">
        <x:v>Medio</x:v>
      </x:c>
      <x:c r="N286" s="83" t="str">
        <x:v>Da verificare in Fase 3</x:v>
      </x:c>
    </x:row>
    <x:row r="287">
      <x:c r="A287" s="83" t="str">
        <x:v>S04-FIG-18-30</x:v>
      </x:c>
      <x:c r="B287" s="83" t="str">
        <x:v>S04</x:v>
      </x:c>
      <x:c r="C287" s="83" t="str">
        <x:v>Programmazione territoriale efficiente e interventi di connessione</x:v>
      </x:c>
      <x:c r="D287" s="83" t="str">
        <x:v>Figura</x:v>
      </x:c>
      <x:c r="E287" s="83" t="str">
        <x:v>18</x:v>
      </x:c>
      <x:c r="F287" s="83" t="n">
        <x:v>30</x:v>
      </x:c>
      <x:c r="G287" s="83" t="n">
        <x:v>28</x:v>
      </x:c>
      <x:c r="H287" s="83" t="str">
        <x:v>1. Richieste di connessione</x:v>
      </x:c>
      <x:c r="I287" s="83" t="str">
        <x:v>Figura 18 Trend storico delle richieste di connessione di storage stand-alone in termini di potenza</x:v>
      </x:c>
      <x:c r="J287" s="83" t="str">
        <x:v>Accumuli e flessibilità; Geografia e connessioni</x:v>
      </x:c>
      <x:c r="K287" s="83" t="str">
        <x:v>P2 - contesto/validazione</x:v>
      </x:c>
      <x:c r="L287" s="83" t="str">
        <x:v>Figura o mappa; lettura etichette / eventuale digitalizzazione</x:v>
      </x:c>
      <x:c r="M287" s="83" t="str">
        <x:v>Medio</x:v>
      </x:c>
      <x:c r="N287" s="83" t="str">
        <x:v>Da verificare in Fase 3</x:v>
      </x:c>
    </x:row>
    <x:row r="288">
      <x:c r="A288" s="83" t="str">
        <x:v>S04-TAB-7-30</x:v>
      </x:c>
      <x:c r="B288" s="83" t="str">
        <x:v>S04</x:v>
      </x:c>
      <x:c r="C288" s="83" t="str">
        <x:v>Programmazione territoriale efficiente e interventi di connessione</x:v>
      </x:c>
      <x:c r="D288" s="83" t="str">
        <x:v>Tabella</x:v>
      </x:c>
      <x:c r="E288" s="83" t="str">
        <x:v>7</x:v>
      </x:c>
      <x:c r="F288" s="83" t="n">
        <x:v>30</x:v>
      </x:c>
      <x:c r="G288" s="83" t="n">
        <x:v>28</x:v>
      </x:c>
      <x:c r="H288" s="83" t="str">
        <x:v>1. Richieste di connessione</x:v>
      </x:c>
      <x:c r="I288" s="83" t="str">
        <x:v>Tabella 7 Distribuzione delle richieste di connessione di impianti di pompaggio suddivise per stato di</x:v>
      </x:c>
      <x:c r="J288" s="83" t="str">
        <x:v>Accumuli e flessibilità; Geografia e connessioni</x:v>
      </x:c>
      <x:c r="K288" s="83" t="str">
        <x:v>P1 - input diretto/parametro</x:v>
      </x:c>
      <x:c r="L288" s="83" t="str">
        <x:v>Tabella testuale/PDF</x:v>
      </x:c>
      <x:c r="M288" s="83" t="str">
        <x:v>Basso</x:v>
      </x:c>
      <x:c r="N288" s="83" t="str">
        <x:v>Da verificare in Fase 3</x:v>
      </x:c>
    </x:row>
    <x:row r="289">
      <x:c r="A289" s="83" t="str">
        <x:v>S04-TAB-8-30</x:v>
      </x:c>
      <x:c r="B289" s="83" t="str">
        <x:v>S04</x:v>
      </x:c>
      <x:c r="C289" s="83" t="str">
        <x:v>Programmazione territoriale efficiente e interventi di connessione</x:v>
      </x:c>
      <x:c r="D289" s="83" t="str">
        <x:v>Tabella</x:v>
      </x:c>
      <x:c r="E289" s="83" t="str">
        <x:v>8</x:v>
      </x:c>
      <x:c r="F289" s="83" t="n">
        <x:v>30</x:v>
      </x:c>
      <x:c r="G289" s="83" t="n">
        <x:v>28</x:v>
      </x:c>
      <x:c r="H289" s="83" t="str">
        <x:v>1. Richieste di connessione</x:v>
      </x:c>
      <x:c r="I289" s="83" t="str">
        <x:v>Tabella 8 Distribuzione geografica delle richieste di connessione di impianti di pompaggio suddivise per</x:v>
      </x:c>
      <x:c r="J289" s="83" t="str">
        <x:v>Accumuli e flessibilità; Geografia e connessioni</x:v>
      </x:c>
      <x:c r="K289" s="83" t="str">
        <x:v>P1 - input diretto/parametro</x:v>
      </x:c>
      <x:c r="L289" s="83" t="str">
        <x:v>Tabella testuale/PDF</x:v>
      </x:c>
      <x:c r="M289" s="83" t="str">
        <x:v>Basso</x:v>
      </x:c>
      <x:c r="N289" s="83" t="str">
        <x:v>Da verificare in Fase 3</x:v>
      </x:c>
    </x:row>
    <x:row r="290">
      <x:c r="A290" s="83" t="str">
        <x:v>S04-FIG-19-31</x:v>
      </x:c>
      <x:c r="B290" s="83" t="str">
        <x:v>S04</x:v>
      </x:c>
      <x:c r="C290" s="83" t="str">
        <x:v>Programmazione territoriale efficiente e interventi di connessione</x:v>
      </x:c>
      <x:c r="D290" s="83" t="str">
        <x:v>Figura</x:v>
      </x:c>
      <x:c r="E290" s="83" t="str">
        <x:v>19</x:v>
      </x:c>
      <x:c r="F290" s="83" t="n">
        <x:v>31</x:v>
      </x:c>
      <x:c r="G290" s="83" t="n">
        <x:v>29</x:v>
      </x:c>
      <x:c r="H290" s="83" t="str">
        <x:v>1. Richieste di connessione</x:v>
      </x:c>
      <x:c r="I290" s="83" t="str">
        <x:v>Figura 19 Distribuzione per Zona di Mercato delle richieste di connessione relative a impianti di pompaggio</x:v>
      </x:c>
      <x:c r="J290" s="83" t="str">
        <x:v>Accumuli e flessibilità; Mercato e prezzi; Geografia e connessioni</x:v>
      </x:c>
      <x:c r="K290" s="83" t="str">
        <x:v>P1 - input diretto/parametro</x:v>
      </x:c>
      <x:c r="L290" s="83" t="str">
        <x:v>Figura o mappa; lettura etichette / eventuale digitalizzazione</x:v>
      </x:c>
      <x:c r="M290" s="83" t="str">
        <x:v>Medio</x:v>
      </x:c>
      <x:c r="N290" s="83" t="str">
        <x:v>Da verificare in Fase 3</x:v>
      </x:c>
    </x:row>
    <x:row r="291">
      <x:c r="A291" s="83" t="str">
        <x:v>S04-FIG-20-31</x:v>
      </x:c>
      <x:c r="B291" s="83" t="str">
        <x:v>S04</x:v>
      </x:c>
      <x:c r="C291" s="83" t="str">
        <x:v>Programmazione territoriale efficiente e interventi di connessione</x:v>
      </x:c>
      <x:c r="D291" s="83" t="str">
        <x:v>Figura</x:v>
      </x:c>
      <x:c r="E291" s="83" t="str">
        <x:v>20</x:v>
      </x:c>
      <x:c r="F291" s="83" t="n">
        <x:v>31</x:v>
      </x:c>
      <x:c r="G291" s="83" t="n">
        <x:v>29</x:v>
      </x:c>
      <x:c r="H291" s="83" t="str">
        <x:v>1. Richieste di connessione</x:v>
      </x:c>
      <x:c r="I291" s="83" t="str">
        <x:v>Figura 20 Trend delle richieste di connessione di pompaggi in termini di potenza</x:v>
      </x:c>
      <x:c r="J291" s="83" t="str">
        <x:v>Accumuli e flessibilità; Geografia e connessioni</x:v>
      </x:c>
      <x:c r="K291" s="83" t="str">
        <x:v>P1 - input diretto/parametro</x:v>
      </x:c>
      <x:c r="L291" s="83" t="str">
        <x:v>Figura o mappa; lettura etichette / eventuale digitalizzazione</x:v>
      </x:c>
      <x:c r="M291" s="83" t="str">
        <x:v>Medio</x:v>
      </x:c>
      <x:c r="N291" s="83" t="str">
        <x:v>Da verificare in Fase 3</x:v>
      </x:c>
    </x:row>
    <x:row r="292">
      <x:c r="A292" s="83" t="str">
        <x:v>S04-FIG-21-32</x:v>
      </x:c>
      <x:c r="B292" s="83" t="str">
        <x:v>S04</x:v>
      </x:c>
      <x:c r="C292" s="83" t="str">
        <x:v>Programmazione territoriale efficiente e interventi di connessione</x:v>
      </x:c>
      <x:c r="D292" s="83" t="str">
        <x:v>Figura</x:v>
      </x:c>
      <x:c r="E292" s="83" t="str">
        <x:v>21</x:v>
      </x:c>
      <x:c r="F292" s="83" t="n">
        <x:v>32</x:v>
      </x:c>
      <x:c r="G292" s="83" t="n">
        <x:v>30</x:v>
      </x:c>
      <x:c r="H292" s="83" t="str">
        <x:v>1. Richieste di connessione</x:v>
      </x:c>
      <x:c r="I292" s="83" t="str">
        <x:v>Figura 21 Capacità energetica degli accumuli per</x:v>
      </x:c>
      <x:c r="J292" s="83" t="str">
        <x:v>Accumuli e flessibilità</x:v>
      </x:c>
      <x:c r="K292" s="83" t="str">
        <x:v>P1 - input diretto/parametro</x:v>
      </x:c>
      <x:c r="L292" s="83" t="str">
        <x:v>Figura o mappa; lettura etichette / eventuale digitalizzazione</x:v>
      </x:c>
      <x:c r="M292" s="83" t="str">
        <x:v>Medio</x:v>
      </x:c>
      <x:c r="N292" s="83" t="str">
        <x:v>Da verificare in Fase 3</x:v>
      </x:c>
    </x:row>
    <x:row r="293">
      <x:c r="A293" s="83" t="str">
        <x:v>S04-FIG-22-34</x:v>
      </x:c>
      <x:c r="B293" s="83" t="str">
        <x:v>S04</x:v>
      </x:c>
      <x:c r="C293" s="83" t="str">
        <x:v>Programmazione territoriale efficiente e interventi di connessione</x:v>
      </x:c>
      <x:c r="D293" s="83" t="str">
        <x:v>Figura</x:v>
      </x:c>
      <x:c r="E293" s="83" t="str">
        <x:v>22</x:v>
      </x:c>
      <x:c r="F293" s="83" t="n">
        <x:v>34</x:v>
      </x:c>
      <x:c r="G293" s="83" t="n">
        <x:v>32</x:v>
      </x:c>
      <x:c r="H293" s="83" t="str">
        <x:v>1. Richieste di connessione</x:v>
      </x:c>
      <x:c r="I293" s="83" t="str">
        <x:v>Figura 22 Capacità energetica accumuli utility scale al 2030</x:v>
      </x:c>
      <x:c r="J293" s="83" t="str">
        <x:v>Accumuli e flessibilità</x:v>
      </x:c>
      <x:c r="K293" s="83" t="str">
        <x:v>P1 - input diretto/parametro</x:v>
      </x:c>
      <x:c r="L293" s="83" t="str">
        <x:v>Figura o mappa; lettura etichette / eventuale digitalizzazione</x:v>
      </x:c>
      <x:c r="M293" s="83" t="str">
        <x:v>Medio</x:v>
      </x:c>
      <x:c r="N293" s="83" t="str">
        <x:v>Da verificare in Fase 3</x:v>
      </x:c>
    </x:row>
    <x:row r="294">
      <x:c r="A294" s="83" t="str">
        <x:v>S04-FIG-23-35</x:v>
      </x:c>
      <x:c r="B294" s="83" t="str">
        <x:v>S04</x:v>
      </x:c>
      <x:c r="C294" s="83" t="str">
        <x:v>Programmazione territoriale efficiente e interventi di connessione</x:v>
      </x:c>
      <x:c r="D294" s="83" t="str">
        <x:v>Figura</x:v>
      </x:c>
      <x:c r="E294" s="83" t="str">
        <x:v>23</x:v>
      </x:c>
      <x:c r="F294" s="83" t="n">
        <x:v>35</x:v>
      </x:c>
      <x:c r="G294" s="83" t="n">
        <x:v>33</x:v>
      </x:c>
      <x:c r="H294" s="83" t="str">
        <x:v>1. Richieste di connessione</x:v>
      </x:c>
      <x:c r="I294" s="83" t="str">
        <x:v>Figura 23 Trend storico dell’ammontare delle richieste di connessione attive alla RTN per utenti in prelievo [GW]</x:v>
      </x:c>
      <x:c r="J294" s="83" t="str">
        <x:v>Trasmissione e interconnessioni; Geografia e connessioni</x:v>
      </x:c>
      <x:c r="K294" s="83" t="str">
        <x:v>P2 - contesto/validazione</x:v>
      </x:c>
      <x:c r="L294" s="83" t="str">
        <x:v>Figura o mappa; lettura etichette / eventuale digitalizzazione</x:v>
      </x:c>
      <x:c r="M294" s="83" t="str">
        <x:v>Medio</x:v>
      </x:c>
      <x:c r="N294" s="83" t="str">
        <x:v>Da verificare in Fase 3</x:v>
      </x:c>
    </x:row>
    <x:row r="295">
      <x:c r="A295" s="83" t="str">
        <x:v>S04-FIG-24-36</x:v>
      </x:c>
      <x:c r="B295" s="83" t="str">
        <x:v>S04</x:v>
      </x:c>
      <x:c r="C295" s="83" t="str">
        <x:v>Programmazione territoriale efficiente e interventi di connessione</x:v>
      </x:c>
      <x:c r="D295" s="83" t="str">
        <x:v>Figura</x:v>
      </x:c>
      <x:c r="E295" s="83" t="str">
        <x:v>24</x:v>
      </x:c>
      <x:c r="F295" s="83" t="n">
        <x:v>36</x:v>
      </x:c>
      <x:c r="G295" s="83" t="n">
        <x:v>34</x:v>
      </x:c>
      <x:c r="H295" s="83" t="str">
        <x:v>1. Richieste di connessione</x:v>
      </x:c>
      <x:c r="I295" s="83" t="str">
        <x:v>Figura 24 Trend delle richieste di connessione per impianti Data Center a partire da dicembre 2021</x:v>
      </x:c>
      <x:c r="J295" s="83" t="str">
        <x:v>Domanda e consumi; Geografia e connessioni</x:v>
      </x:c>
      <x:c r="K295" s="83" t="str">
        <x:v>P2 - contesto/validazione</x:v>
      </x:c>
      <x:c r="L295" s="83" t="str">
        <x:v>Figura o mappa; lettura etichette / eventuale digitalizzazione</x:v>
      </x:c>
      <x:c r="M295" s="83" t="str">
        <x:v>Medio</x:v>
      </x:c>
      <x:c r="N295" s="83" t="str">
        <x:v>Da verificare in Fase 3</x:v>
      </x:c>
    </x:row>
    <x:row r="296">
      <x:c r="A296" s="83" t="str">
        <x:v>S04-TAB-9-37</x:v>
      </x:c>
      <x:c r="B296" s="83" t="str">
        <x:v>S04</x:v>
      </x:c>
      <x:c r="C296" s="83" t="str">
        <x:v>Programmazione territoriale efficiente e interventi di connessione</x:v>
      </x:c>
      <x:c r="D296" s="83" t="str">
        <x:v>Tabella</x:v>
      </x:c>
      <x:c r="E296" s="83" t="str">
        <x:v>9</x:v>
      </x:c>
      <x:c r="F296" s="83" t="n">
        <x:v>37</x:v>
      </x:c>
      <x:c r="G296" s="83" t="n">
        <x:v>35</x:v>
      </x:c>
      <x:c r="H296" s="83" t="str">
        <x:v>1. Richieste di connessione</x:v>
      </x:c>
      <x:c r="I296" s="83" t="str">
        <x:v>Tabella 9 Richieste di connessione impianti Data Center suddivise per zona di mercato</x:v>
      </x:c>
      <x:c r="J296" s="83" t="str">
        <x:v>Domanda e consumi; Mercato e prezzi; Geografia e connessioni</x:v>
      </x:c>
      <x:c r="K296" s="83" t="str">
        <x:v>P2 - contesto/validazione</x:v>
      </x:c>
      <x:c r="L296" s="83" t="str">
        <x:v>Tabella testuale/PDF</x:v>
      </x:c>
      <x:c r="M296" s="83" t="str">
        <x:v>Basso</x:v>
      </x:c>
      <x:c r="N296" s="83" t="str">
        <x:v>Da verificare in Fase 3</x:v>
      </x:c>
    </x:row>
    <x:row r="297">
      <x:c r="A297" s="83" t="str">
        <x:v>S04-FIG-25-37</x:v>
      </x:c>
      <x:c r="B297" s="83" t="str">
        <x:v>S04</x:v>
      </x:c>
      <x:c r="C297" s="83" t="str">
        <x:v>Programmazione territoriale efficiente e interventi di connessione</x:v>
      </x:c>
      <x:c r="D297" s="83" t="str">
        <x:v>Figura</x:v>
      </x:c>
      <x:c r="E297" s="83" t="str">
        <x:v>25</x:v>
      </x:c>
      <x:c r="F297" s="83" t="n">
        <x:v>37</x:v>
      </x:c>
      <x:c r="G297" s="83" t="n">
        <x:v>35</x:v>
      </x:c>
      <x:c r="H297" s="83" t="str">
        <x:v>1. Richieste di connessione</x:v>
      </x:c>
      <x:c r="I297" s="83" t="str">
        <x:v>Figura 25 Clusterizzazione delle richieste di connessione per gli impianti Data Center in funzione della</x:v>
      </x:c>
      <x:c r="J297" s="83" t="str">
        <x:v>Domanda e consumi; Geografia e connessioni</x:v>
      </x:c>
      <x:c r="K297" s="83" t="str">
        <x:v>P2 - contesto/validazione</x:v>
      </x:c>
      <x:c r="L297" s="83" t="str">
        <x:v>Figura o mappa; lettura etichette / eventuale digitalizzazione</x:v>
      </x:c>
      <x:c r="M297" s="83" t="str">
        <x:v>Medio</x:v>
      </x:c>
      <x:c r="N297" s="83" t="str">
        <x:v>Da verificare in Fase 3</x:v>
      </x:c>
    </x:row>
    <x:row r="298">
      <x:c r="A298" s="83" t="str">
        <x:v>S04-FIG-26-38</x:v>
      </x:c>
      <x:c r="B298" s="83" t="str">
        <x:v>S04</x:v>
      </x:c>
      <x:c r="C298" s="83" t="str">
        <x:v>Programmazione territoriale efficiente e interventi di connessione</x:v>
      </x:c>
      <x:c r="D298" s="83" t="str">
        <x:v>Figura</x:v>
      </x:c>
      <x:c r="E298" s="83" t="str">
        <x:v>26</x:v>
      </x:c>
      <x:c r="F298" s="83" t="n">
        <x:v>38</x:v>
      </x:c>
      <x:c r="G298" s="83" t="n">
        <x:v>36</x:v>
      </x:c>
      <x:c r="H298" s="83" t="str">
        <x:v>1. Richieste di connessione</x:v>
      </x:c>
      <x:c r="I298" s="83" t="str">
        <x:v>Figura 26 Distribuzione delle iniziative di impianti Data Center al 31.12.2024 (GW)</x:v>
      </x:c>
      <x:c r="J298" s="83" t="str">
        <x:v>Domanda e consumi</x:v>
      </x:c>
      <x:c r="K298" s="83" t="str">
        <x:v>P2 - contesto/validazione</x:v>
      </x:c>
      <x:c r="L298" s="83" t="str">
        <x:v>Figura o mappa; lettura etichette / eventuale digitalizzazione</x:v>
      </x:c>
      <x:c r="M298" s="83" t="str">
        <x:v>Medio</x:v>
      </x:c>
      <x:c r="N298" s="83" t="str">
        <x:v>Da verificare in Fase 3</x:v>
      </x:c>
    </x:row>
    <x:row r="299">
      <x:c r="A299" s="83" t="str">
        <x:v>S04-FIG-27-38</x:v>
      </x:c>
      <x:c r="B299" s="83" t="str">
        <x:v>S04</x:v>
      </x:c>
      <x:c r="C299" s="83" t="str">
        <x:v>Programmazione territoriale efficiente e interventi di connessione</x:v>
      </x:c>
      <x:c r="D299" s="83" t="str">
        <x:v>Figura</x:v>
      </x:c>
      <x:c r="E299" s="83" t="str">
        <x:v>27</x:v>
      </x:c>
      <x:c r="F299" s="83" t="n">
        <x:v>38</x:v>
      </x:c>
      <x:c r="G299" s="83" t="n">
        <x:v>36</x:v>
      </x:c>
      <x:c r="H299" s="83" t="str">
        <x:v>1. Richieste di connessione</x:v>
      </x:c>
      <x:c r="I299" s="83" t="str">
        <x:v>Figura 27 Distribuzione delle iniziative di impianti Data Center al 31.12.2024 (GW)</x:v>
      </x:c>
      <x:c r="J299" s="83" t="str">
        <x:v>Domanda e consumi</x:v>
      </x:c>
      <x:c r="K299" s="83" t="str">
        <x:v>P2 - contesto/validazione</x:v>
      </x:c>
      <x:c r="L299" s="83" t="str">
        <x:v>Figura o mappa; lettura etichette / eventuale digitalizzazione</x:v>
      </x:c>
      <x:c r="M299" s="83" t="str">
        <x:v>Medio</x:v>
      </x:c>
      <x:c r="N299" s="83" t="str">
        <x:v>Da verificare in Fase 3</x:v>
      </x:c>
    </x:row>
    <x:row r="300">
      <x:c r="A300" s="83" t="str">
        <x:v>S04-FIG-28-39</x:v>
      </x:c>
      <x:c r="B300" s="83" t="str">
        <x:v>S04</x:v>
      </x:c>
      <x:c r="C300" s="83" t="str">
        <x:v>Programmazione territoriale efficiente e interventi di connessione</x:v>
      </x:c>
      <x:c r="D300" s="83" t="str">
        <x:v>Figura</x:v>
      </x:c>
      <x:c r="E300" s="83" t="str">
        <x:v>28</x:v>
      </x:c>
      <x:c r="F300" s="83" t="n">
        <x:v>39</x:v>
      </x:c>
      <x:c r="G300" s="83" t="n">
        <x:v>37</x:v>
      </x:c>
      <x:c r="H300" s="83" t="str">
        <x:v>1. Richieste di connessione</x:v>
      </x:c>
      <x:c r="I300" s="83" t="str">
        <x:v>Figura 28 Andamento cumulato annuale delle richieste di connessione per trazione ferroviaria. La potenza è</x:v>
      </x:c>
      <x:c r="J300" s="83" t="str">
        <x:v>Capacità e generazione; Geografia e connessioni</x:v>
      </x:c>
      <x:c r="K300" s="83" t="str">
        <x:v>P2 - contesto/validazione</x:v>
      </x:c>
      <x:c r="L300" s="83" t="str">
        <x:v>Figura o mappa; lettura etichette / eventuale digitalizzazione</x:v>
      </x:c>
      <x:c r="M300" s="83" t="str">
        <x:v>Medio</x:v>
      </x:c>
      <x:c r="N300" s="83" t="str">
        <x:v>Da verificare in Fase 3</x:v>
      </x:c>
    </x:row>
    <x:row r="301">
      <x:c r="A301" s="83" t="str">
        <x:v>S04-FIG-29-40</x:v>
      </x:c>
      <x:c r="B301" s="83" t="str">
        <x:v>S04</x:v>
      </x:c>
      <x:c r="C301" s="83" t="str">
        <x:v>Programmazione territoriale efficiente e interventi di connessione</x:v>
      </x:c>
      <x:c r="D301" s="83" t="str">
        <x:v>Figura</x:v>
      </x:c>
      <x:c r="E301" s="83" t="str">
        <x:v>29</x:v>
      </x:c>
      <x:c r="F301" s="83" t="n">
        <x:v>40</x:v>
      </x:c>
      <x:c r="G301" s="83" t="n">
        <x:v>38</x:v>
      </x:c>
      <x:c r="H301" s="83" t="str">
        <x:v>1. Richieste di connessione</x:v>
      </x:c>
      <x:c r="I301" s="83" t="str">
        <x:v>Figura 29 Distribuzione delle potenze in prelievo per trazione ferroviaria, suddivise per zona di mercato.</x:v>
      </x:c>
      <x:c r="J301" s="83" t="str">
        <x:v>Capacità e generazione; Mercato e prezzi</x:v>
      </x:c>
      <x:c r="K301" s="83" t="str">
        <x:v>P2 - contesto/validazione</x:v>
      </x:c>
      <x:c r="L301" s="83" t="str">
        <x:v>Figura o mappa; lettura etichette / eventuale digitalizzazione</x:v>
      </x:c>
      <x:c r="M301" s="83" t="str">
        <x:v>Medio</x:v>
      </x:c>
      <x:c r="N301" s="83" t="str">
        <x:v>Da verificare in Fase 3</x:v>
      </x:c>
    </x:row>
    <x:row r="302">
      <x:c r="A302" s="83" t="str">
        <x:v>S04-FIG-30-41</x:v>
      </x:c>
      <x:c r="B302" s="83" t="str">
        <x:v>S04</x:v>
      </x:c>
      <x:c r="C302" s="83" t="str">
        <x:v>Programmazione territoriale efficiente e interventi di connessione</x:v>
      </x:c>
      <x:c r="D302" s="83" t="str">
        <x:v>Figura</x:v>
      </x:c>
      <x:c r="E302" s="83" t="str">
        <x:v>30</x:v>
      </x:c>
      <x:c r="F302" s="83" t="n">
        <x:v>41</x:v>
      </x:c>
      <x:c r="G302" s="83" t="n">
        <x:v>39</x:v>
      </x:c>
      <x:c r="H302" s="83" t="str">
        <x:v>1. Richieste di connessione</x:v>
      </x:c>
      <x:c r="I302" s="83" t="str">
        <x:v>Figura 30 Distribuzione geografica delle richieste di connessione relative al Cold Ironing</x:v>
      </x:c>
      <x:c r="J302" s="83" t="str">
        <x:v>Domanda e consumi; Geografia e connessioni</x:v>
      </x:c>
      <x:c r="K302" s="83" t="str">
        <x:v>P2 - contesto/validazione</x:v>
      </x:c>
      <x:c r="L302" s="83" t="str">
        <x:v>Figura o mappa; lettura etichette / eventuale digitalizzazione</x:v>
      </x:c>
      <x:c r="M302" s="83" t="str">
        <x:v>Medio</x:v>
      </x:c>
      <x:c r="N302" s="83" t="str">
        <x:v>Da verificare in Fase 3</x:v>
      </x:c>
    </x:row>
    <x:row r="303">
      <x:c r="A303" s="83" t="str">
        <x:v>S04-FIG-31-42</x:v>
      </x:c>
      <x:c r="B303" s="83" t="str">
        <x:v>S04</x:v>
      </x:c>
      <x:c r="C303" s="83" t="str">
        <x:v>Programmazione territoriale efficiente e interventi di connessione</x:v>
      </x:c>
      <x:c r="D303" s="83" t="str">
        <x:v>Figura</x:v>
      </x:c>
      <x:c r="E303" s="83" t="str">
        <x:v>31</x:v>
      </x:c>
      <x:c r="F303" s="83" t="n">
        <x:v>42</x:v>
      </x:c>
      <x:c r="G303" s="83" t="n">
        <x:v>40</x:v>
      </x:c>
      <x:c r="H303" s="83" t="str">
        <x:v>1. Richieste di connessione</x:v>
      </x:c>
      <x:c r="I303" s="83" t="str">
        <x:v>Figura 31 Andamento cumulato annuale delle richieste di connessione per cabine primarie. La potenza è</x:v>
      </x:c>
      <x:c r="J303" s="83" t="str">
        <x:v>Geografia e connessioni</x:v>
      </x:c>
      <x:c r="K303" s="83" t="str">
        <x:v>P2 - contesto/validazione</x:v>
      </x:c>
      <x:c r="L303" s="83" t="str">
        <x:v>Figura o mappa; lettura etichette / eventuale digitalizzazione</x:v>
      </x:c>
      <x:c r="M303" s="83" t="str">
        <x:v>Medio</x:v>
      </x:c>
      <x:c r="N303" s="83" t="str">
        <x:v>Da verificare in Fase 3</x:v>
      </x:c>
    </x:row>
    <x:row r="304">
      <x:c r="A304" s="83" t="str">
        <x:v>S04-FIG-32-44</x:v>
      </x:c>
      <x:c r="B304" s="83" t="str">
        <x:v>S04</x:v>
      </x:c>
      <x:c r="C304" s="83" t="str">
        <x:v>Programmazione territoriale efficiente e interventi di connessione</x:v>
      </x:c>
      <x:c r="D304" s="83" t="str">
        <x:v>Figura</x:v>
      </x:c>
      <x:c r="E304" s="83" t="str">
        <x:v>32</x:v>
      </x:c>
      <x:c r="F304" s="83" t="n">
        <x:v>44</x:v>
      </x:c>
      <x:c r="G304" s="83" t="n">
        <x:v>42</x:v>
      </x:c>
      <x:c r="H304" s="83" t="str">
        <x:v>1. Richieste di connessione</x:v>
      </x:c>
      <x:c r="I304" s="83" t="str">
        <x:v>Figura 32 Distribuzione delle potenze in immissione/prelievo delle cabine primarie candidate a PNRR,</x:v>
      </x:c>
      <x:c r="J304" s="83" t="str">
        <x:v>Contesto / metodologia</x:v>
      </x:c>
      <x:c r="K304" s="83" t="str">
        <x:v>P2 - contesto/validazione</x:v>
      </x:c>
      <x:c r="L304" s="83" t="str">
        <x:v>Figura o mappa; lettura etichette / eventuale digitalizzazione</x:v>
      </x:c>
      <x:c r="M304" s="83" t="str">
        <x:v>Medio</x:v>
      </x:c>
      <x:c r="N304" s="83" t="str">
        <x:v>Da verificare in Fase 3</x:v>
      </x:c>
    </x:row>
    <x:row r="305">
      <x:c r="A305" s="83" t="str">
        <x:v>S04-TAB-10-45</x:v>
      </x:c>
      <x:c r="B305" s="83" t="str">
        <x:v>S04</x:v>
      </x:c>
      <x:c r="C305" s="83" t="str">
        <x:v>Programmazione territoriale efficiente e interventi di connessione</x:v>
      </x:c>
      <x:c r="D305" s="83" t="str">
        <x:v>Tabella</x:v>
      </x:c>
      <x:c r="E305" s="83" t="str">
        <x:v>10</x:v>
      </x:c>
      <x:c r="F305" s="83" t="n">
        <x:v>45</x:v>
      </x:c>
      <x:c r="G305" s="83" t="n">
        <x:v>43</x:v>
      </x:c>
      <x:c r="H305" s="83" t="str">
        <x:v>2. Gestione richieste e programmazione territoriale</x:v>
      </x:c>
      <x:c r="I305" s="83" t="str">
        <x:v>Tabella 10 Distribuzione geografica delle richieste di connessione suddivise per zona di mercato (GW)</x:v>
      </x:c>
      <x:c r="J305" s="83" t="str">
        <x:v>Mercato e prezzi; Geografia e connessioni</x:v>
      </x:c>
      <x:c r="K305" s="83" t="str">
        <x:v>P2 - contesto/validazione</x:v>
      </x:c>
      <x:c r="L305" s="83" t="str">
        <x:v>Tabella testuale/PDF</x:v>
      </x:c>
      <x:c r="M305" s="83" t="str">
        <x:v>Basso</x:v>
      </x:c>
      <x:c r="N305" s="83" t="str">
        <x:v>Da verificare in Fase 3</x:v>
      </x:c>
    </x:row>
    <x:row r="306">
      <x:c r="A306" s="83" t="str">
        <x:v>S04-FIG-33-48</x:v>
      </x:c>
      <x:c r="B306" s="83" t="str">
        <x:v>S04</x:v>
      </x:c>
      <x:c r="C306" s="83" t="str">
        <x:v>Programmazione territoriale efficiente e interventi di connessione</x:v>
      </x:c>
      <x:c r="D306" s="83" t="str">
        <x:v>Figura</x:v>
      </x:c>
      <x:c r="E306" s="83" t="str">
        <x:v>33</x:v>
      </x:c>
      <x:c r="F306" s="83" t="n">
        <x:v>48</x:v>
      </x:c>
      <x:c r="G306" s="83" t="n">
        <x:v>46</x:v>
      </x:c>
      <x:c r="H306" s="83" t="str">
        <x:v>2. Gestione richieste e programmazione territoriale</x:v>
      </x:c>
      <x:c r="I306" s="83" t="str">
        <x:v>Figura 33 Impatto delle richieste di connessione sulla gestione e programmazione del SEN</x:v>
      </x:c>
      <x:c r="J306" s="83" t="str">
        <x:v>Geografia e connessioni</x:v>
      </x:c>
      <x:c r="K306" s="83" t="str">
        <x:v>P2 - contesto/validazione</x:v>
      </x:c>
      <x:c r="L306" s="83" t="str">
        <x:v>Figura o mappa; lettura etichette / eventuale digitalizzazione</x:v>
      </x:c>
      <x:c r="M306" s="83" t="str">
        <x:v>Medio</x:v>
      </x:c>
      <x:c r="N306" s="83" t="str">
        <x:v>Da verificare in Fase 3</x:v>
      </x:c>
    </x:row>
    <x:row r="307">
      <x:c r="A307" s="83" t="str">
        <x:v>S04-FIG-34-53</x:v>
      </x:c>
      <x:c r="B307" s="83" t="str">
        <x:v>S04</x:v>
      </x:c>
      <x:c r="C307" s="83" t="str">
        <x:v>Programmazione territoriale efficiente e interventi di connessione</x:v>
      </x:c>
      <x:c r="D307" s="83" t="str">
        <x:v>Figura</x:v>
      </x:c>
      <x:c r="E307" s="83" t="str">
        <x:v>34</x:v>
      </x:c>
      <x:c r="F307" s="83" t="n">
        <x:v>53</x:v>
      </x:c>
      <x:c r="G307" s="83" t="n">
        <x:v>51</x:v>
      </x:c>
      <x:c r="H307" s="83" t="str">
        <x:v>2. Gestione richieste e programmazione territoriale</x:v>
      </x:c>
      <x:c r="I307" s="83" t="str">
        <x:v>Figura 34 Vista «Esplora i dati» del Portale TE.R.R.A.</x:v>
      </x:c>
      <x:c r="J307" s="83" t="str">
        <x:v>Contesto / metodologia</x:v>
      </x:c>
      <x:c r="K307" s="83" t="str">
        <x:v>P2 - contesto/validazione</x:v>
      </x:c>
      <x:c r="L307" s="83" t="str">
        <x:v>Figura o mappa; lettura etichette / eventuale digitalizzazione</x:v>
      </x:c>
      <x:c r="M307" s="83" t="str">
        <x:v>Medio</x:v>
      </x:c>
      <x:c r="N307" s="83" t="str">
        <x:v>Da verificare in Fase 3</x:v>
      </x:c>
    </x:row>
    <x:row r="308">
      <x:c r="A308" s="83" t="str">
        <x:v>S04-FIG-35-53</x:v>
      </x:c>
      <x:c r="B308" s="83" t="str">
        <x:v>S04</x:v>
      </x:c>
      <x:c r="C308" s="83" t="str">
        <x:v>Programmazione territoriale efficiente e interventi di connessione</x:v>
      </x:c>
      <x:c r="D308" s="83" t="str">
        <x:v>Figura</x:v>
      </x:c>
      <x:c r="E308" s="83" t="str">
        <x:v>35</x:v>
      </x:c>
      <x:c r="F308" s="83" t="n">
        <x:v>53</x:v>
      </x:c>
      <x:c r="G308" s="83" t="n">
        <x:v>51</x:v>
      </x:c>
      <x:c r="H308" s="83" t="str">
        <x:v>2. Gestione richieste e programmazione territoriale</x:v>
      </x:c>
      <x:c r="I308" s="83" t="str">
        <x:v>Figura 35 Vista «Naviga la Rete» del Portale TE.R.R.A.</x:v>
      </x:c>
      <x:c r="J308" s="83" t="str">
        <x:v>Contesto / metodologia</x:v>
      </x:c>
      <x:c r="K308" s="83" t="str">
        <x:v>P2 - contesto/validazione</x:v>
      </x:c>
      <x:c r="L308" s="83" t="str">
        <x:v>Figura o mappa; lettura etichette / eventuale digitalizzazione</x:v>
      </x:c>
      <x:c r="M308" s="83" t="str">
        <x:v>Medio</x:v>
      </x:c>
      <x:c r="N308" s="83" t="str">
        <x:v>Da verificare in Fase 3</x:v>
      </x:c>
    </x:row>
    <x:row r="309">
      <x:c r="A309" s="83" t="str">
        <x:v>S04-FIG-36-54</x:v>
      </x:c>
      <x:c r="B309" s="83" t="str">
        <x:v>S04</x:v>
      </x:c>
      <x:c r="C309" s="83" t="str">
        <x:v>Programmazione territoriale efficiente e interventi di connessione</x:v>
      </x:c>
      <x:c r="D309" s="83" t="str">
        <x:v>Figura</x:v>
      </x:c>
      <x:c r="E309" s="83" t="str">
        <x:v>36</x:v>
      </x:c>
      <x:c r="F309" s="83" t="n">
        <x:v>54</x:v>
      </x:c>
      <x:c r="G309" s="83" t="n">
        <x:v>52</x:v>
      </x:c>
      <x:c r="H309" s="83" t="str">
        <x:v>2. Gestione richieste e programmazione territoriale</x:v>
      </x:c>
      <x:c r="I309" s="83" t="str">
        <x:v>Figura 36 Numero di microzone identificate per Regione</x:v>
      </x:c>
      <x:c r="J309" s="83" t="str">
        <x:v>Geografia e connessioni</x:v>
      </x:c>
      <x:c r="K309" s="83" t="str">
        <x:v>P2 - contesto/validazione</x:v>
      </x:c>
      <x:c r="L309" s="83" t="str">
        <x:v>Figura o mappa; lettura etichette / eventuale digitalizzazione</x:v>
      </x:c>
      <x:c r="M309" s="83" t="str">
        <x:v>Medio</x:v>
      </x:c>
      <x:c r="N309" s="83" t="str">
        <x:v>Da verificare in Fase 3</x:v>
      </x:c>
    </x:row>
    <x:row r="310">
      <x:c r="A310" s="83" t="str">
        <x:v>S04-FIG-37-55</x:v>
      </x:c>
      <x:c r="B310" s="83" t="str">
        <x:v>S04</x:v>
      </x:c>
      <x:c r="C310" s="83" t="str">
        <x:v>Programmazione territoriale efficiente e interventi di connessione</x:v>
      </x:c>
      <x:c r="D310" s="83" t="str">
        <x:v>Figura</x:v>
      </x:c>
      <x:c r="E310" s="83" t="str">
        <x:v>37</x:v>
      </x:c>
      <x:c r="F310" s="83" t="n">
        <x:v>55</x:v>
      </x:c>
      <x:c r="G310" s="83" t="n">
        <x:v>53</x:v>
      </x:c>
      <x:c r="H310" s="83" t="str">
        <x:v>2. Gestione richieste e programmazione territoriale</x:v>
      </x:c>
      <x:c r="I310" s="83" t="str">
        <x:v>Figura 37 Approccio gerarchico di analisi microzonale</x:v>
      </x:c>
      <x:c r="J310" s="83" t="str">
        <x:v>Geografia e connessioni</x:v>
      </x:c>
      <x:c r="K310" s="83" t="str">
        <x:v>P2 - contesto/validazione</x:v>
      </x:c>
      <x:c r="L310" s="83" t="str">
        <x:v>Figura o mappa; lettura etichette / eventuale digitalizzazione</x:v>
      </x:c>
      <x:c r="M310" s="83" t="str">
        <x:v>Medio</x:v>
      </x:c>
      <x:c r="N310" s="83" t="str">
        <x:v>Da verificare in Fase 3</x:v>
      </x:c>
    </x:row>
    <x:row r="311">
      <x:c r="A311" s="83" t="str">
        <x:v>S04-FIG-38-56</x:v>
      </x:c>
      <x:c r="B311" s="83" t="str">
        <x:v>S04</x:v>
      </x:c>
      <x:c r="C311" s="83" t="str">
        <x:v>Programmazione territoriale efficiente e interventi di connessione</x:v>
      </x:c>
      <x:c r="D311" s="83" t="str">
        <x:v>Figura</x:v>
      </x:c>
      <x:c r="E311" s="83" t="str">
        <x:v>38</x:v>
      </x:c>
      <x:c r="F311" s="83" t="n">
        <x:v>56</x:v>
      </x:c>
      <x:c r="G311" s="83" t="n">
        <x:v>54</x:v>
      </x:c>
      <x:c r="H311" s="83" t="str">
        <x:v>2. Gestione richieste e programmazione territoriale</x:v>
      </x:c>
      <x:c r="I311" s="83" t="str">
        <x:v>Figura 38 Esemplificativo del perimetro informativo disponibile</x:v>
      </x:c>
      <x:c r="J311" s="83" t="str">
        <x:v>Contesto / metodologia</x:v>
      </x:c>
      <x:c r="K311" s="83" t="str">
        <x:v>P2 - contesto/validazione</x:v>
      </x:c>
      <x:c r="L311" s="83" t="str">
        <x:v>Figura o mappa; lettura etichette / eventuale digitalizzazione</x:v>
      </x:c>
      <x:c r="M311" s="83" t="str">
        <x:v>Medio</x:v>
      </x:c>
      <x:c r="N311" s="83" t="str">
        <x:v>Da verificare in Fase 3</x:v>
      </x:c>
    </x:row>
    <x:row r="312">
      <x:c r="A312" s="83" t="str">
        <x:v>S04-FIG-39-63</x:v>
      </x:c>
      <x:c r="B312" s="83" t="str">
        <x:v>S04</x:v>
      </x:c>
      <x:c r="C312" s="83" t="str">
        <x:v>Programmazione territoriale efficiente e interventi di connessione</x:v>
      </x:c>
      <x:c r="D312" s="83" t="str">
        <x:v>Figura</x:v>
      </x:c>
      <x:c r="E312" s="83" t="str">
        <x:v>39</x:v>
      </x:c>
      <x:c r="F312" s="83" t="n">
        <x:v>63</x:v>
      </x:c>
      <x:c r="G312" s="83" t="n">
        <x:v>61</x:v>
      </x:c>
      <x:c r="H312" s="83" t="str">
        <x:v>Appendice 1 - Accesso alla RTN</x:v>
      </x:c>
      <x:c r="I312" s="83" t="str">
        <x:v>Figura 39 Processo di connessione alla rete di trasmissione elettrica</x:v>
      </x:c>
      <x:c r="J312" s="83" t="str">
        <x:v>Contesto / metodologia</x:v>
      </x:c>
      <x:c r="K312" s="83" t="str">
        <x:v>P2 - contesto/validazione</x:v>
      </x:c>
      <x:c r="L312" s="83" t="str">
        <x:v>Figura o mappa; lettura etichette / eventuale digitalizzazione</x:v>
      </x:c>
      <x:c r="M312" s="83" t="str">
        <x:v>Medio</x:v>
      </x:c>
      <x:c r="N312" s="83" t="str">
        <x:v>Da verificare in Fase 3</x:v>
      </x:c>
    </x:row>
    <x:row r="313">
      <x:c r="A313" s="83" t="str">
        <x:v>S04-FIG-40-65</x:v>
      </x:c>
      <x:c r="B313" s="83" t="str">
        <x:v>S04</x:v>
      </x:c>
      <x:c r="C313" s="83" t="str">
        <x:v>Programmazione territoriale efficiente e interventi di connessione</x:v>
      </x:c>
      <x:c r="D313" s="83" t="str">
        <x:v>Figura</x:v>
      </x:c>
      <x:c r="E313" s="83" t="str">
        <x:v>40</x:v>
      </x:c>
      <x:c r="F313" s="83" t="n">
        <x:v>65</x:v>
      </x:c>
      <x:c r="G313" s="83" t="n">
        <x:v>63</x:v>
      </x:c>
      <x:c r="H313" s="83" t="str">
        <x:v>Appendice 2 - Interventi di connessione</x:v>
      </x:c>
      <x:c r="I313" s="83" t="str">
        <x:v>Figura 40 Processo di attivazione impianti</x:v>
      </x:c>
      <x:c r="J313" s="83" t="str">
        <x:v>Contesto / metodologia</x:v>
      </x:c>
      <x:c r="K313" s="83" t="str">
        <x:v>P2 - contesto/validazione</x:v>
      </x:c>
      <x:c r="L313" s="83" t="str">
        <x:v>Figura o mappa; lettura etichette / eventuale digitalizzazione</x:v>
      </x:c>
      <x:c r="M313" s="83" t="str">
        <x:v>Medio</x:v>
      </x:c>
      <x:c r="N313" s="83" t="str">
        <x:v>Da verificare in Fase 3</x:v>
      </x:c>
    </x:row>
    <x:row r="314">
      <x:c r="A314" s="83" t="str">
        <x:v>S04-TAB-1-68</x:v>
      </x:c>
      <x:c r="B314" s="83" t="str">
        <x:v>S04</x:v>
      </x:c>
      <x:c r="C314" s="83" t="str">
        <x:v>Programmazione territoriale efficiente e interventi di connessione</x:v>
      </x:c>
      <x:c r="D314" s="83" t="str">
        <x:v>Tabella</x:v>
      </x:c>
      <x:c r="E314" s="83" t="str">
        <x:v>1</x:v>
      </x:c>
      <x:c r="F314" s="83" t="n">
        <x:v>68</x:v>
      </x:c>
      <x:c r="G314" s="83" t="n">
        <x:v>66</x:v>
      </x:c>
      <x:c r="H314" s="83" t="str">
        <x:v>Appendice 2 - Interventi di connessione</x:v>
      </x:c>
      <x:c r="I314" s="83" t="str">
        <x:v>Tabella 1 Connessioni di Centrali Elettriche</x:v>
      </x:c>
      <x:c r="J314" s="83" t="str">
        <x:v>Contesto / metodologia</x:v>
      </x:c>
      <x:c r="K314" s="83" t="str">
        <x:v>P2 - contesto/validazione</x:v>
      </x:c>
      <x:c r="L314" s="83" t="str">
        <x:v>Tabella testuale/PDF</x:v>
      </x:c>
      <x:c r="M314" s="83" t="str">
        <x:v>Basso</x:v>
      </x:c>
      <x:c r="N314" s="83" t="str">
        <x:v>Da verificare in Fase 3</x:v>
      </x:c>
    </x:row>
    <x:row r="315">
      <x:c r="A315" s="83" t="str">
        <x:v>S04-TAB-2-74</x:v>
      </x:c>
      <x:c r="B315" s="83" t="str">
        <x:v>S04</x:v>
      </x:c>
      <x:c r="C315" s="83" t="str">
        <x:v>Programmazione territoriale efficiente e interventi di connessione</x:v>
      </x:c>
      <x:c r="D315" s="83" t="str">
        <x:v>Tabella</x:v>
      </x:c>
      <x:c r="E315" s="83" t="str">
        <x:v>2</x:v>
      </x:c>
      <x:c r="F315" s="83" t="n">
        <x:v>74</x:v>
      </x:c>
      <x:c r="G315" s="83" t="n">
        <x:v>72</x:v>
      </x:c>
      <x:c r="H315" s="83" t="str">
        <x:v>Appendice 2 - Interventi di connessione</x:v>
      </x:c>
      <x:c r="I315" s="83" t="str">
        <x:v>Tabella 2 Connessioni di Centrali Elettriche su altro Gestore che prevedono interventi su RTN</x:v>
      </x:c>
      <x:c r="J315" s="83" t="str">
        <x:v>Trasmissione e interconnessioni</x:v>
      </x:c>
      <x:c r="K315" s="83" t="str">
        <x:v>P2 - contesto/validazione</x:v>
      </x:c>
      <x:c r="L315" s="83" t="str">
        <x:v>Tabella testuale/PDF</x:v>
      </x:c>
      <x:c r="M315" s="83" t="str">
        <x:v>Basso</x:v>
      </x:c>
      <x:c r="N315" s="83" t="str">
        <x:v>Da verificare in Fase 3</x:v>
      </x:c>
    </x:row>
    <x:row r="316">
      <x:c r="A316" s="83" t="str">
        <x:v>S04-TAB-3-74</x:v>
      </x:c>
      <x:c r="B316" s="83" t="str">
        <x:v>S04</x:v>
      </x:c>
      <x:c r="C316" s="83" t="str">
        <x:v>Programmazione territoriale efficiente e interventi di connessione</x:v>
      </x:c>
      <x:c r="D316" s="83" t="str">
        <x:v>Tabella</x:v>
      </x:c>
      <x:c r="E316" s="83" t="str">
        <x:v>3</x:v>
      </x:c>
      <x:c r="F316" s="83" t="n">
        <x:v>74</x:v>
      </x:c>
      <x:c r="G316" s="83" t="n">
        <x:v>72</x:v>
      </x:c>
      <x:c r="H316" s="83" t="str">
        <x:v>Appendice 2 - Interventi di connessione</x:v>
      </x:c>
      <x:c r="I316" s="83" t="str">
        <x:v>Tabella 3 Connessioni di nuove Cabine Primarie (CP) miste di distribuzione</x:v>
      </x:c>
      <x:c r="J316" s="83" t="str">
        <x:v>Contesto / metodologia</x:v>
      </x:c>
      <x:c r="K316" s="83" t="str">
        <x:v>P2 - contesto/validazione</x:v>
      </x:c>
      <x:c r="L316" s="83" t="str">
        <x:v>Tabella testuale/PDF</x:v>
      </x:c>
      <x:c r="M316" s="83" t="str">
        <x:v>Basso</x:v>
      </x:c>
      <x:c r="N316" s="83" t="str">
        <x:v>Da verificare in Fase 3</x:v>
      </x:c>
    </x:row>
    <x:row r="317">
      <x:c r="A317" s="83" t="str">
        <x:v>S04-TAB-4-74</x:v>
      </x:c>
      <x:c r="B317" s="83" t="str">
        <x:v>S04</x:v>
      </x:c>
      <x:c r="C317" s="83" t="str">
        <x:v>Programmazione territoriale efficiente e interventi di connessione</x:v>
      </x:c>
      <x:c r="D317" s="83" t="str">
        <x:v>Tabella</x:v>
      </x:c>
      <x:c r="E317" s="83" t="str">
        <x:v>4</x:v>
      </x:c>
      <x:c r="F317" s="83" t="n">
        <x:v>74</x:v>
      </x:c>
      <x:c r="G317" s="83" t="n">
        <x:v>72</x:v>
      </x:c>
      <x:c r="H317" s="83" t="str">
        <x:v>Appendice 2 - Interventi di connessione</x:v>
      </x:c>
      <x:c r="I317" s="83" t="str">
        <x:v>Tabella 4 Connessioni di Cabine Primarie (CP) di distribuzione</x:v>
      </x:c>
      <x:c r="J317" s="83" t="str">
        <x:v>Contesto / metodologia</x:v>
      </x:c>
      <x:c r="K317" s="83" t="str">
        <x:v>P2 - contesto/validazione</x:v>
      </x:c>
      <x:c r="L317" s="83" t="str">
        <x:v>Tabella testuale/PDF</x:v>
      </x:c>
      <x:c r="M317" s="83" t="str">
        <x:v>Basso</x:v>
      </x:c>
      <x:c r="N317" s="83" t="str">
        <x:v>Da verificare in Fase 3</x:v>
      </x:c>
    </x:row>
    <x:row r="318">
      <x:c r="A318" s="83" t="str">
        <x:v>S04-TAB-5-93</x:v>
      </x:c>
      <x:c r="B318" s="83" t="str">
        <x:v>S04</x:v>
      </x:c>
      <x:c r="C318" s="83" t="str">
        <x:v>Programmazione territoriale efficiente e interventi di connessione</x:v>
      </x:c>
      <x:c r="D318" s="83" t="str">
        <x:v>Tabella</x:v>
      </x:c>
      <x:c r="E318" s="83" t="str">
        <x:v>5</x:v>
      </x:c>
      <x:c r="F318" s="83" t="n">
        <x:v>93</x:v>
      </x:c>
      <x:c r="G318" s="83" t="n">
        <x:v>91</x:v>
      </x:c>
      <x:c r="H318" s="83" t="str">
        <x:v>Appendice 2 - Interventi di connessione</x:v>
      </x:c>
      <x:c r="I318" s="83" t="str">
        <x:v>Tabella 5 Connessioni di Utenti di consumo</x:v>
      </x:c>
      <x:c r="J318" s="83" t="str">
        <x:v>Contesto / metodologia</x:v>
      </x:c>
      <x:c r="K318" s="83" t="str">
        <x:v>P2 - contesto/validazione</x:v>
      </x:c>
      <x:c r="L318" s="83" t="str">
        <x:v>Tabella testuale/PDF</x:v>
      </x:c>
      <x:c r="M318" s="83" t="str">
        <x:v>Basso</x:v>
      </x:c>
      <x:c r="N318" s="83" t="str">
        <x:v>Da verificare in Fase 3</x:v>
      </x:c>
    </x:row>
    <x:row r="319">
      <x:c r="A319" s="83" t="str">
        <x:v>S04-TAB-6-103</x:v>
      </x:c>
      <x:c r="B319" s="83" t="str">
        <x:v>S04</x:v>
      </x:c>
      <x:c r="C319" s="83" t="str">
        <x:v>Programmazione territoriale efficiente e interventi di connessione</x:v>
      </x:c>
      <x:c r="D319" s="83" t="str">
        <x:v>Tabella</x:v>
      </x:c>
      <x:c r="E319" s="83" t="str">
        <x:v>6</x:v>
      </x:c>
      <x:c r="F319" s="83" t="n">
        <x:v>103</x:v>
      </x:c>
      <x:c r="G319" s="83" t="n">
        <x:v>101</x:v>
      </x:c>
      <x:c r="H319" s="83" t="str">
        <x:v>Appendice 2 - Interventi di connessione</x:v>
      </x:c>
      <x:c r="I319" s="83" t="str">
        <x:v>Tabella 6 Principali opere di sviluppo ultimate per le connessioni di impianti di produzione nel biennio 2023-2024</x:v>
      </x:c>
      <x:c r="J319" s="83" t="str">
        <x:v>Contesto / metodologia</x:v>
      </x:c>
      <x:c r="K319" s="83" t="str">
        <x:v>P2 - contesto/validazione</x:v>
      </x:c>
      <x:c r="L319" s="83" t="str">
        <x:v>Tabella testuale/PDF</x:v>
      </x:c>
      <x:c r="M319" s="83" t="str">
        <x:v>Basso</x:v>
      </x:c>
      <x:c r="N319" s="83" t="str">
        <x:v>Da verificare in Fase 3</x:v>
      </x:c>
    </x:row>
    <x:row r="320">
      <x:c r="A320" s="83" t="str">
        <x:v>S04-TAB-7-105</x:v>
      </x:c>
      <x:c r="B320" s="83" t="str">
        <x:v>S04</x:v>
      </x:c>
      <x:c r="C320" s="83" t="str">
        <x:v>Programmazione territoriale efficiente e interventi di connessione</x:v>
      </x:c>
      <x:c r="D320" s="83" t="str">
        <x:v>Tabella</x:v>
      </x:c>
      <x:c r="E320" s="83" t="str">
        <x:v>7</x:v>
      </x:c>
      <x:c r="F320" s="83" t="n">
        <x:v>105</x:v>
      </x:c>
      <x:c r="G320" s="83" t="n">
        <x:v>103</x:v>
      </x:c>
      <x:c r="H320" s="83" t="str">
        <x:v>Appendice 2 - Interventi di connessione</x:v>
      </x:c>
      <x:c r="I320" s="83" t="str">
        <x:v>Tabella 7 Principali opere di sviluppo ultimate per le connessioni di impianti di distribuzione (CP) e unità di</x:v>
      </x:c>
      <x:c r="J320" s="83" t="str">
        <x:v>Contesto / metodologia</x:v>
      </x:c>
      <x:c r="K320" s="83" t="str">
        <x:v>P2 - contesto/validazione</x:v>
      </x:c>
      <x:c r="L320" s="83" t="str">
        <x:v>Tabella testuale/PDF</x:v>
      </x:c>
      <x:c r="M320" s="83" t="str">
        <x:v>Basso</x:v>
      </x:c>
      <x:c r="N320" s="83" t="str">
        <x:v>Da verificare in Fase 3</x:v>
      </x:c>
    </x:row>
    <x:row r="321">
      <x:c r="A321" s="83" t="str">
        <x:v>S01-FIG-1-14</x:v>
      </x:c>
      <x:c r="B321" s="83" t="str">
        <x:v>S01</x:v>
      </x:c>
      <x:c r="C321" s="83" t="str">
        <x:v>Stato del sistema elettrico e scenari energetici</x:v>
      </x:c>
      <x:c r="D321" s="83" t="str">
        <x:v>Figura</x:v>
      </x:c>
      <x:c r="E321" s="83" t="str">
        <x:v>1</x:v>
      </x:c>
      <x:c r="F321" s="83" t="n">
        <x:v>14</x:v>
      </x:c>
      <x:c r="G321" s="83" t="n">
        <x:v>12</x:v>
      </x:c>
      <x:c r="H321" s="83" t="str">
        <x:v>1. La Rete di Trasmissione Nazionale</x:v>
      </x:c>
      <x:c r="I321" s="83" t="str">
        <x:v>Figura 1 Le infrastrutture di Terna</x:v>
      </x:c>
      <x:c r="J321" s="83" t="str">
        <x:v>Contesto / metodologia</x:v>
      </x:c>
      <x:c r="K321" s="83" t="str">
        <x:v>P2 - contesto/validazione</x:v>
      </x:c>
      <x:c r="L321" s="83" t="str">
        <x:v>Figura o mappa; lettura etichette / eventuale digitalizzazione</x:v>
      </x:c>
      <x:c r="M321" s="83" t="str">
        <x:v>Medio</x:v>
      </x:c>
      <x:c r="N321" s="83" t="str">
        <x:v>Da verificare in Fase 3</x:v>
      </x:c>
    </x:row>
    <x:row r="322">
      <x:c r="A322" s="83" t="str">
        <x:v>S01-TAB-1-15</x:v>
      </x:c>
      <x:c r="B322" s="83" t="str">
        <x:v>S01</x:v>
      </x:c>
      <x:c r="C322" s="83" t="str">
        <x:v>Stato del sistema elettrico e scenari energetici</x:v>
      </x:c>
      <x:c r="D322" s="83" t="str">
        <x:v>Tabella</x:v>
      </x:c>
      <x:c r="E322" s="83" t="str">
        <x:v>1</x:v>
      </x:c>
      <x:c r="F322" s="83" t="n">
        <x:v>15</x:v>
      </x:c>
      <x:c r="G322" s="83" t="n">
        <x:v>13</x:v>
      </x:c>
      <x:c r="H322" s="83" t="str">
        <x:v>1. La Rete di Trasmissione Nazionale</x:v>
      </x:c>
      <x:c r="I322" s="83" t="str">
        <x:v>Tabella 1 Dettaglio Linee</x:v>
      </x:c>
      <x:c r="J322" s="83" t="str">
        <x:v>Contesto / metodologia</x:v>
      </x:c>
      <x:c r="K322" s="83" t="str">
        <x:v>P2 - contesto/validazione</x:v>
      </x:c>
      <x:c r="L322" s="83" t="str">
        <x:v>Tabella testuale/PDF</x:v>
      </x:c>
      <x:c r="M322" s="83" t="str">
        <x:v>Basso</x:v>
      </x:c>
      <x:c r="N322" s="83" t="str">
        <x:v>Da verificare in Fase 3</x:v>
      </x:c>
    </x:row>
    <x:row r="323">
      <x:c r="A323" s="83" t="str">
        <x:v>S01-TAB-2-15</x:v>
      </x:c>
      <x:c r="B323" s="83" t="str">
        <x:v>S01</x:v>
      </x:c>
      <x:c r="C323" s="83" t="str">
        <x:v>Stato del sistema elettrico e scenari energetici</x:v>
      </x:c>
      <x:c r="D323" s="83" t="str">
        <x:v>Tabella</x:v>
      </x:c>
      <x:c r="E323" s="83" t="str">
        <x:v>2</x:v>
      </x:c>
      <x:c r="F323" s="83" t="n">
        <x:v>15</x:v>
      </x:c>
      <x:c r="G323" s="83" t="n">
        <x:v>13</x:v>
      </x:c>
      <x:c r="H323" s="83" t="str">
        <x:v>1. La Rete di Trasmissione Nazionale</x:v>
      </x:c>
      <x:c r="I323" s="83" t="str">
        <x:v>Tabella 2 Dettaglio Stazioni</x:v>
      </x:c>
      <x:c r="J323" s="83" t="str">
        <x:v>Contesto / metodologia</x:v>
      </x:c>
      <x:c r="K323" s="83" t="str">
        <x:v>P2 - contesto/validazione</x:v>
      </x:c>
      <x:c r="L323" s="83" t="str">
        <x:v>Tabella testuale/PDF</x:v>
      </x:c>
      <x:c r="M323" s="83" t="str">
        <x:v>Basso</x:v>
      </x:c>
      <x:c r="N323" s="83" t="str">
        <x:v>Da verificare in Fase 3</x:v>
      </x:c>
    </x:row>
    <x:row r="324">
      <x:c r="A324" s="83" t="str">
        <x:v>S01-TAB-3-16</x:v>
      </x:c>
      <x:c r="B324" s="83" t="str">
        <x:v>S01</x:v>
      </x:c>
      <x:c r="C324" s="83" t="str">
        <x:v>Stato del sistema elettrico e scenari energetici</x:v>
      </x:c>
      <x:c r="D324" s="83" t="str">
        <x:v>Tabella</x:v>
      </x:c>
      <x:c r="E324" s="83" t="str">
        <x:v>3</x:v>
      </x:c>
      <x:c r="F324" s="83" t="n">
        <x:v>16</x:v>
      </x:c>
      <x:c r="G324" s="83" t="n">
        <x:v>14</x:v>
      </x:c>
      <x:c r="H324" s="83" t="str">
        <x:v>1. La Rete di Trasmissione Nazionale</x:v>
      </x:c>
      <x:c r="I324" s="83" t="str">
        <x:v>Tabella 3 Proposte di ampliamento dell’ambito RTN</x:v>
      </x:c>
      <x:c r="J324" s="83" t="str">
        <x:v>Trasmissione e interconnessioni</x:v>
      </x:c>
      <x:c r="K324" s="83" t="str">
        <x:v>P2 - contesto/validazione</x:v>
      </x:c>
      <x:c r="L324" s="83" t="str">
        <x:v>Tabella testuale/PDF</x:v>
      </x:c>
      <x:c r="M324" s="83" t="str">
        <x:v>Basso</x:v>
      </x:c>
      <x:c r="N324" s="83" t="str">
        <x:v>Da verificare in Fase 3</x:v>
      </x:c>
    </x:row>
    <x:row r="325">
      <x:c r="A325" s="83" t="str">
        <x:v>S01-TAB-4-17</x:v>
      </x:c>
      <x:c r="B325" s="83" t="str">
        <x:v>S01</x:v>
      </x:c>
      <x:c r="C325" s="83" t="str">
        <x:v>Stato del sistema elettrico e scenari energetici</x:v>
      </x:c>
      <x:c r="D325" s="83" t="str">
        <x:v>Tabella</x:v>
      </x:c>
      <x:c r="E325" s="83" t="str">
        <x:v>4</x:v>
      </x:c>
      <x:c r="F325" s="83" t="n">
        <x:v>17</x:v>
      </x:c>
      <x:c r="G325" s="83" t="n">
        <x:v>15</x:v>
      </x:c>
      <x:c r="H325" s="83" t="str">
        <x:v>1. La Rete di Trasmissione Nazionale</x:v>
      </x:c>
      <x:c r="I325" s="83" t="str">
        <x:v>Tabella 4 Proposte di dismissione dall’ambito RTN</x:v>
      </x:c>
      <x:c r="J325" s="83" t="str">
        <x:v>Trasmissione e interconnessioni</x:v>
      </x:c>
      <x:c r="K325" s="83" t="str">
        <x:v>P2 - contesto/validazione</x:v>
      </x:c>
      <x:c r="L325" s="83" t="str">
        <x:v>Tabella testuale/PDF</x:v>
      </x:c>
      <x:c r="M325" s="83" t="str">
        <x:v>Basso</x:v>
      </x:c>
      <x:c r="N325" s="83" t="str">
        <x:v>Da verificare in Fase 3</x:v>
      </x:c>
    </x:row>
    <x:row r="326">
      <x:c r="A326" s="83" t="str">
        <x:v>S01-FIG-2-18</x:v>
      </x:c>
      <x:c r="B326" s="83" t="str">
        <x:v>S01</x:v>
      </x:c>
      <x:c r="C326" s="83" t="str">
        <x:v>Stato del sistema elettrico e scenari energetici</x:v>
      </x:c>
      <x:c r="D326" s="83" t="str">
        <x:v>Figura</x:v>
      </x:c>
      <x:c r="E326" s="83" t="str">
        <x:v>2</x:v>
      </x:c>
      <x:c r="F326" s="83" t="n">
        <x:v>18</x:v>
      </x:c>
      <x:c r="G326" s="83" t="n">
        <x:v>16</x:v>
      </x:c>
      <x:c r="H326" s="83" t="str">
        <x:v>1. La Rete di Trasmissione Nazionale</x:v>
      </x:c>
      <x:c r="I326" s="83" t="str">
        <x:v>Figura 2 Collegamento elettrico in cavo sottomarino Elba-Continente</x:v>
      </x:c>
      <x:c r="J326" s="83" t="str">
        <x:v>Contesto / metodologia</x:v>
      </x:c>
      <x:c r="K326" s="83" t="str">
        <x:v>P2 - contesto/validazione</x:v>
      </x:c>
      <x:c r="L326" s="83" t="str">
        <x:v>Figura o mappa; lettura etichette / eventuale digitalizzazione</x:v>
      </x:c>
      <x:c r="M326" s="83" t="str">
        <x:v>Medio</x:v>
      </x:c>
      <x:c r="N326" s="83" t="str">
        <x:v>Da verificare in Fase 3</x:v>
      </x:c>
    </x:row>
    <x:row r="327">
      <x:c r="A327" s="83" t="str">
        <x:v>S01-FIG-3-19</x:v>
      </x:c>
      <x:c r="B327" s="83" t="str">
        <x:v>S01</x:v>
      </x:c>
      <x:c r="C327" s="83" t="str">
        <x:v>Stato del sistema elettrico e scenari energetici</x:v>
      </x:c>
      <x:c r="D327" s="83" t="str">
        <x:v>Figura</x:v>
      </x:c>
      <x:c r="E327" s="83" t="str">
        <x:v>3</x:v>
      </x:c>
      <x:c r="F327" s="83" t="n">
        <x:v>19</x:v>
      </x:c>
      <x:c r="G327" s="83" t="n">
        <x:v>17</x:v>
      </x:c>
      <x:c r="H327" s="83" t="str">
        <x:v>2. Il sistema elettrico</x:v>
      </x:c>
      <x:c r="I327" s="83" t="str">
        <x:v>Figura 3 Elettrodotto 220 kV Italia Austria</x:v>
      </x:c>
      <x:c r="J327" s="83" t="str">
        <x:v>Contesto / metodologia</x:v>
      </x:c>
      <x:c r="K327" s="83" t="str">
        <x:v>P2 - contesto/validazione</x:v>
      </x:c>
      <x:c r="L327" s="83" t="str">
        <x:v>Figura o mappa; lettura etichette / eventuale digitalizzazione</x:v>
      </x:c>
      <x:c r="M327" s="83" t="str">
        <x:v>Medio</x:v>
      </x:c>
      <x:c r="N327" s="83" t="str">
        <x:v>Da verificare in Fase 3</x:v>
      </x:c>
    </x:row>
    <x:row r="328">
      <x:c r="A328" s="83" t="str">
        <x:v>S01-FIG-4-22</x:v>
      </x:c>
      <x:c r="B328" s="83" t="str">
        <x:v>S01</x:v>
      </x:c>
      <x:c r="C328" s="83" t="str">
        <x:v>Stato del sistema elettrico e scenari energetici</x:v>
      </x:c>
      <x:c r="D328" s="83" t="str">
        <x:v>Figura</x:v>
      </x:c>
      <x:c r="E328" s="83" t="str">
        <x:v>4</x:v>
      </x:c>
      <x:c r="F328" s="83" t="n">
        <x:v>22</x:v>
      </x:c>
      <x:c r="G328" s="83" t="n">
        <x:v>20</x:v>
      </x:c>
      <x:c r="H328" s="83" t="str">
        <x:v>2. Il sistema elettrico</x:v>
      </x:c>
      <x:c r="I328" s="83" t="str">
        <x:v>Figura 4 La filiera del sistema elettrico</x:v>
      </x:c>
      <x:c r="J328" s="83" t="str">
        <x:v>Contesto / metodologia</x:v>
      </x:c>
      <x:c r="K328" s="83" t="str">
        <x:v>P2 - contesto/validazione</x:v>
      </x:c>
      <x:c r="L328" s="83" t="str">
        <x:v>Figura o mappa; lettura etichette / eventuale digitalizzazione</x:v>
      </x:c>
      <x:c r="M328" s="83" t="str">
        <x:v>Medio</x:v>
      </x:c>
      <x:c r="N328" s="83" t="str">
        <x:v>Da verificare in Fase 3</x:v>
      </x:c>
    </x:row>
    <x:row r="329">
      <x:c r="A329" s="83" t="str">
        <x:v>S01-FIG-5-23</x:v>
      </x:c>
      <x:c r="B329" s="83" t="str">
        <x:v>S01</x:v>
      </x:c>
      <x:c r="C329" s="83" t="str">
        <x:v>Stato del sistema elettrico e scenari energetici</x:v>
      </x:c>
      <x:c r="D329" s="83" t="str">
        <x:v>Figura</x:v>
      </x:c>
      <x:c r="E329" s="83" t="str">
        <x:v>5</x:v>
      </x:c>
      <x:c r="F329" s="83" t="n">
        <x:v>23</x:v>
      </x:c>
      <x:c r="G329" s="83" t="n">
        <x:v>21</x:v>
      </x:c>
      <x:c r="H329" s="83" t="str">
        <x:v>2. Il sistema elettrico</x:v>
      </x:c>
      <x:c r="I329" s="83" t="str">
        <x:v>Figura 5 Bilancio Energia Italia 2023 - 2024</x:v>
      </x:c>
      <x:c r="J329" s="83" t="str">
        <x:v>Contesto / metodologia</x:v>
      </x:c>
      <x:c r="K329" s="83" t="str">
        <x:v>P2 - contesto/validazione</x:v>
      </x:c>
      <x:c r="L329" s="83" t="str">
        <x:v>Figura o mappa; lettura etichette / eventuale digitalizzazione</x:v>
      </x:c>
      <x:c r="M329" s="83" t="str">
        <x:v>Medio</x:v>
      </x:c>
      <x:c r="N329" s="83" t="str">
        <x:v>Da verificare in Fase 3</x:v>
      </x:c>
    </x:row>
    <x:row r="330">
      <x:c r="A330" s="83" t="str">
        <x:v>S01-FIG-6-24</x:v>
      </x:c>
      <x:c r="B330" s="83" t="str">
        <x:v>S01</x:v>
      </x:c>
      <x:c r="C330" s="83" t="str">
        <x:v>Stato del sistema elettrico e scenari energetici</x:v>
      </x:c>
      <x:c r="D330" s="83" t="str">
        <x:v>Figura</x:v>
      </x:c>
      <x:c r="E330" s="83" t="str">
        <x:v>6</x:v>
      </x:c>
      <x:c r="F330" s="83" t="n">
        <x:v>24</x:v>
      </x:c>
      <x:c r="G330" s="83" t="n">
        <x:v>22</x:v>
      </x:c>
      <x:c r="H330" s="83" t="str">
        <x:v>2. Il sistema elettrico</x:v>
      </x:c>
      <x:c r="I330" s="83" t="str">
        <x:v>Figura 6 Prezzo medio annuo 2024 dell’energia elettrica [€/MWh] e capacità di interconnessione 2024 [GW]</x:v>
      </x:c>
      <x:c r="J330" s="83" t="str">
        <x:v>Trasmissione e interconnessioni; Mercato e prezzi</x:v>
      </x:c>
      <x:c r="K330" s="83" t="str">
        <x:v>P2 - contesto/validazione</x:v>
      </x:c>
      <x:c r="L330" s="83" t="str">
        <x:v>Figura o mappa; lettura etichette / eventuale digitalizzazione</x:v>
      </x:c>
      <x:c r="M330" s="83" t="str">
        <x:v>Medio</x:v>
      </x:c>
      <x:c r="N330" s="83" t="str">
        <x:v>Da verificare in Fase 3</x:v>
      </x:c>
    </x:row>
    <x:row r="331">
      <x:c r="A331" s="83" t="str">
        <x:v>S01-FIG-7-25</x:v>
      </x:c>
      <x:c r="B331" s="83" t="str">
        <x:v>S01</x:v>
      </x:c>
      <x:c r="C331" s="83" t="str">
        <x:v>Stato del sistema elettrico e scenari energetici</x:v>
      </x:c>
      <x:c r="D331" s="83" t="str">
        <x:v>Figura</x:v>
      </x:c>
      <x:c r="E331" s="83" t="str">
        <x:v>7</x:v>
      </x:c>
      <x:c r="F331" s="83" t="n">
        <x:v>25</x:v>
      </x:c>
      <x:c r="G331" s="83" t="n">
        <x:v>23</x:v>
      </x:c>
      <x:c r="H331" s="83" t="str">
        <x:v>2. Il sistema elettrico</x:v>
      </x:c>
      <x:c r="I331" s="83" t="str">
        <x:v>Figura 7 Evoluzione della Domanda Storica (TWh)</x:v>
      </x:c>
      <x:c r="J331" s="83" t="str">
        <x:v>Domanda e consumi</x:v>
      </x:c>
      <x:c r="K331" s="83" t="str">
        <x:v>P2 - contesto/validazione</x:v>
      </x:c>
      <x:c r="L331" s="83" t="str">
        <x:v>Figura o mappa; lettura etichette / eventuale digitalizzazione</x:v>
      </x:c>
      <x:c r="M331" s="83" t="str">
        <x:v>Medio</x:v>
      </x:c>
      <x:c r="N331" s="83" t="str">
        <x:v>Da verificare in Fase 3</x:v>
      </x:c>
    </x:row>
    <x:row r="332">
      <x:c r="A332" s="83" t="str">
        <x:v>S01-FIG-8-26</x:v>
      </x:c>
      <x:c r="B332" s="83" t="str">
        <x:v>S01</x:v>
      </x:c>
      <x:c r="C332" s="83" t="str">
        <x:v>Stato del sistema elettrico e scenari energetici</x:v>
      </x:c>
      <x:c r="D332" s="83" t="str">
        <x:v>Figura</x:v>
      </x:c>
      <x:c r="E332" s="83" t="str">
        <x:v>8</x:v>
      </x:c>
      <x:c r="F332" s="83" t="n">
        <x:v>26</x:v>
      </x:c>
      <x:c r="G332" s="83" t="n">
        <x:v>24</x:v>
      </x:c>
      <x:c r="H332" s="83" t="str">
        <x:v>2. Il sistema elettrico</x:v>
      </x:c>
      <x:c r="I332" s="83" t="str">
        <x:v>Figura 8 Evoluzione produzione netta nazionale per fonte (TWh)</x:v>
      </x:c>
      <x:c r="J332" s="83" t="str">
        <x:v>Contesto / metodologia</x:v>
      </x:c>
      <x:c r="K332" s="83" t="str">
        <x:v>P2 - contesto/validazione</x:v>
      </x:c>
      <x:c r="L332" s="83" t="str">
        <x:v>Figura o mappa; lettura etichette / eventuale digitalizzazione</x:v>
      </x:c>
      <x:c r="M332" s="83" t="str">
        <x:v>Medio</x:v>
      </x:c>
      <x:c r="N332" s="83" t="str">
        <x:v>Da verificare in Fase 3</x:v>
      </x:c>
    </x:row>
    <x:row r="333">
      <x:c r="A333" s="83" t="str">
        <x:v>S01-FIG-9-27</x:v>
      </x:c>
      <x:c r="B333" s="83" t="str">
        <x:v>S01</x:v>
      </x:c>
      <x:c r="C333" s="83" t="str">
        <x:v>Stato del sistema elettrico e scenari energetici</x:v>
      </x:c>
      <x:c r="D333" s="83" t="str">
        <x:v>Figura</x:v>
      </x:c>
      <x:c r="E333" s="83" t="str">
        <x:v>9</x:v>
      </x:c>
      <x:c r="F333" s="83" t="n">
        <x:v>27</x:v>
      </x:c>
      <x:c r="G333" s="83" t="n">
        <x:v>25</x:v>
      </x:c>
      <x:c r="H333" s="83" t="str">
        <x:v>2. Il sistema elettrico</x:v>
      </x:c>
      <x:c r="I333" s="83" t="str">
        <x:v>Figura 9 Evoluzione installato da fonti rinnovabili (GW)</x:v>
      </x:c>
      <x:c r="J333" s="83" t="str">
        <x:v>Contesto / metodologia</x:v>
      </x:c>
      <x:c r="K333" s="83" t="str">
        <x:v>P2 - contesto/validazione</x:v>
      </x:c>
      <x:c r="L333" s="83" t="str">
        <x:v>Figura o mappa; lettura etichette / eventuale digitalizzazione</x:v>
      </x:c>
      <x:c r="M333" s="83" t="str">
        <x:v>Medio</x:v>
      </x:c>
      <x:c r="N333" s="83" t="str">
        <x:v>Da verificare in Fase 3</x:v>
      </x:c>
    </x:row>
    <x:row r="334">
      <x:c r="A334" s="83" t="str">
        <x:v>S01-FIG-10-27</x:v>
      </x:c>
      <x:c r="B334" s="83" t="str">
        <x:v>S01</x:v>
      </x:c>
      <x:c r="C334" s="83" t="str">
        <x:v>Stato del sistema elettrico e scenari energetici</x:v>
      </x:c>
      <x:c r="D334" s="83" t="str">
        <x:v>Figura</x:v>
      </x:c>
      <x:c r="E334" s="83" t="str">
        <x:v>10</x:v>
      </x:c>
      <x:c r="F334" s="83" t="n">
        <x:v>27</x:v>
      </x:c>
      <x:c r="G334" s="83" t="n">
        <x:v>25</x:v>
      </x:c>
      <x:c r="H334" s="83" t="str">
        <x:v>2. Il sistema elettrico</x:v>
      </x:c>
      <x:c r="I334" s="83" t="str">
        <x:v>Figura 10 Andamento Potenza Solare e Eolico nel 2023 (MW)</x:v>
      </x:c>
      <x:c r="J334" s="83" t="str">
        <x:v>Capacità e generazione</x:v>
      </x:c>
      <x:c r="K334" s="83" t="str">
        <x:v>P2 - contesto/validazione</x:v>
      </x:c>
      <x:c r="L334" s="83" t="str">
        <x:v>Figura o mappa; lettura etichette / eventuale digitalizzazione</x:v>
      </x:c>
      <x:c r="M334" s="83" t="str">
        <x:v>Medio</x:v>
      </x:c>
      <x:c r="N334" s="83" t="str">
        <x:v>Da verificare in Fase 3</x:v>
      </x:c>
    </x:row>
    <x:row r="335">
      <x:c r="A335" s="83" t="str">
        <x:v>S01-FIG-11-27</x:v>
      </x:c>
      <x:c r="B335" s="83" t="str">
        <x:v>S01</x:v>
      </x:c>
      <x:c r="C335" s="83" t="str">
        <x:v>Stato del sistema elettrico e scenari energetici</x:v>
      </x:c>
      <x:c r="D335" s="83" t="str">
        <x:v>Figura</x:v>
      </x:c>
      <x:c r="E335" s="83" t="str">
        <x:v>11</x:v>
      </x:c>
      <x:c r="F335" s="83" t="n">
        <x:v>27</x:v>
      </x:c>
      <x:c r="G335" s="83" t="n">
        <x:v>25</x:v>
      </x:c>
      <x:c r="H335" s="83" t="str">
        <x:v>2. Il sistema elettrico</x:v>
      </x:c>
      <x:c r="I335" s="83" t="str">
        <x:v>Figura 11 Andamento Potenza Solare e Eolico nel 2024 (MW)</x:v>
      </x:c>
      <x:c r="J335" s="83" t="str">
        <x:v>Capacità e generazione</x:v>
      </x:c>
      <x:c r="K335" s="83" t="str">
        <x:v>P2 - contesto/validazione</x:v>
      </x:c>
      <x:c r="L335" s="83" t="str">
        <x:v>Figura o mappa; lettura etichette / eventuale digitalizzazione</x:v>
      </x:c>
      <x:c r="M335" s="83" t="str">
        <x:v>Medio</x:v>
      </x:c>
      <x:c r="N335" s="83" t="str">
        <x:v>Da verificare in Fase 3</x:v>
      </x:c>
    </x:row>
    <x:row r="336">
      <x:c r="A336" s="83" t="str">
        <x:v>S01-FIG-12-28</x:v>
      </x:c>
      <x:c r="B336" s="83" t="str">
        <x:v>S01</x:v>
      </x:c>
      <x:c r="C336" s="83" t="str">
        <x:v>Stato del sistema elettrico e scenari energetici</x:v>
      </x:c>
      <x:c r="D336" s="83" t="str">
        <x:v>Figura</x:v>
      </x:c>
      <x:c r="E336" s="83" t="str">
        <x:v>12</x:v>
      </x:c>
      <x:c r="F336" s="83" t="n">
        <x:v>28</x:v>
      </x:c>
      <x:c r="G336" s="83" t="n">
        <x:v>26</x:v>
      </x:c>
      <x:c r="H336" s="83" t="str">
        <x:v>2. Il sistema elettrico</x:v>
      </x:c>
      <x:c r="I336" s="83" t="str">
        <x:v>Figura 12 Andamento Capacità di Accumulo nel 2023 (MWh)</x:v>
      </x:c>
      <x:c r="J336" s="83" t="str">
        <x:v>Accumuli e flessibilità</x:v>
      </x:c>
      <x:c r="K336" s="83" t="str">
        <x:v>P1 - input diretto/parametro</x:v>
      </x:c>
      <x:c r="L336" s="83" t="str">
        <x:v>Figura o mappa; lettura etichette / eventuale digitalizzazione</x:v>
      </x:c>
      <x:c r="M336" s="83" t="str">
        <x:v>Medio</x:v>
      </x:c>
      <x:c r="N336" s="83" t="str">
        <x:v>Da verificare in Fase 3</x:v>
      </x:c>
    </x:row>
    <x:row r="337">
      <x:c r="A337" s="83" t="str">
        <x:v>S01-FIG-13-28</x:v>
      </x:c>
      <x:c r="B337" s="83" t="str">
        <x:v>S01</x:v>
      </x:c>
      <x:c r="C337" s="83" t="str">
        <x:v>Stato del sistema elettrico e scenari energetici</x:v>
      </x:c>
      <x:c r="D337" s="83" t="str">
        <x:v>Figura</x:v>
      </x:c>
      <x:c r="E337" s="83" t="str">
        <x:v>13</x:v>
      </x:c>
      <x:c r="F337" s="83" t="n">
        <x:v>28</x:v>
      </x:c>
      <x:c r="G337" s="83" t="n">
        <x:v>26</x:v>
      </x:c>
      <x:c r="H337" s="83" t="str">
        <x:v>2. Il sistema elettrico</x:v>
      </x:c>
      <x:c r="I337" s="83" t="str">
        <x:v>Figura 13 Andamento Potenza Accumuli nel 2023 (MW)</x:v>
      </x:c>
      <x:c r="J337" s="83" t="str">
        <x:v>Accumuli e flessibilità</x:v>
      </x:c>
      <x:c r="K337" s="83" t="str">
        <x:v>P1 - input diretto/parametro</x:v>
      </x:c>
      <x:c r="L337" s="83" t="str">
        <x:v>Figura o mappa; lettura etichette / eventuale digitalizzazione</x:v>
      </x:c>
      <x:c r="M337" s="83" t="str">
        <x:v>Medio</x:v>
      </x:c>
      <x:c r="N337" s="83" t="str">
        <x:v>Da verificare in Fase 3</x:v>
      </x:c>
    </x:row>
    <x:row r="338">
      <x:c r="A338" s="83" t="str">
        <x:v>S01-FIG-14-28</x:v>
      </x:c>
      <x:c r="B338" s="83" t="str">
        <x:v>S01</x:v>
      </x:c>
      <x:c r="C338" s="83" t="str">
        <x:v>Stato del sistema elettrico e scenari energetici</x:v>
      </x:c>
      <x:c r="D338" s="83" t="str">
        <x:v>Figura</x:v>
      </x:c>
      <x:c r="E338" s="83" t="str">
        <x:v>14</x:v>
      </x:c>
      <x:c r="F338" s="83" t="n">
        <x:v>28</x:v>
      </x:c>
      <x:c r="G338" s="83" t="n">
        <x:v>26</x:v>
      </x:c>
      <x:c r="H338" s="83" t="str">
        <x:v>2. Il sistema elettrico</x:v>
      </x:c>
      <x:c r="I338" s="83" t="str">
        <x:v>Figura 14 Andamento potenza accumuli nel 2023 e nel 2024 - Nuove attivazioni</x:v>
      </x:c>
      <x:c r="J338" s="83" t="str">
        <x:v>Accumuli e flessibilità</x:v>
      </x:c>
      <x:c r="K338" s="83" t="str">
        <x:v>P1 - input diretto/parametro</x:v>
      </x:c>
      <x:c r="L338" s="83" t="str">
        <x:v>Figura o mappa; lettura etichette / eventuale digitalizzazione</x:v>
      </x:c>
      <x:c r="M338" s="83" t="str">
        <x:v>Medio</x:v>
      </x:c>
      <x:c r="N338" s="83" t="str">
        <x:v>Da verificare in Fase 3</x:v>
      </x:c>
    </x:row>
    <x:row r="339">
      <x:c r="A339" s="83" t="str">
        <x:v>S01-FIG-15-29</x:v>
      </x:c>
      <x:c r="B339" s="83" t="str">
        <x:v>S01</x:v>
      </x:c>
      <x:c r="C339" s="83" t="str">
        <x:v>Stato del sistema elettrico e scenari energetici</x:v>
      </x:c>
      <x:c r="D339" s="83" t="str">
        <x:v>Figura</x:v>
      </x:c>
      <x:c r="E339" s="83" t="str">
        <x:v>15</x:v>
      </x:c>
      <x:c r="F339" s="83" t="n">
        <x:v>29</x:v>
      </x:c>
      <x:c r="G339" s="83" t="n">
        <x:v>27</x:v>
      </x:c>
      <x:c r="H339" s="83" t="str">
        <x:v>2. Il sistema elettrico</x:v>
      </x:c>
      <x:c r="I339" s="83" t="str">
        <x:v>Figura 15 Produzione nuove rinnovabili, fonti eolica e solare (TWh)</x:v>
      </x:c>
      <x:c r="J339" s="83" t="str">
        <x:v>Capacità e generazione</x:v>
      </x:c>
      <x:c r="K339" s="83" t="str">
        <x:v>P2 - contesto/validazione</x:v>
      </x:c>
      <x:c r="L339" s="83" t="str">
        <x:v>Figura o mappa; lettura etichette / eventuale digitalizzazione</x:v>
      </x:c>
      <x:c r="M339" s="83" t="str">
        <x:v>Medio</x:v>
      </x:c>
      <x:c r="N339" s="83" t="str">
        <x:v>Da verificare in Fase 3</x:v>
      </x:c>
    </x:row>
    <x:row r="340">
      <x:c r="A340" s="83" t="str">
        <x:v>S01-FIG-16-29</x:v>
      </x:c>
      <x:c r="B340" s="83" t="str">
        <x:v>S01</x:v>
      </x:c>
      <x:c r="C340" s="83" t="str">
        <x:v>Stato del sistema elettrico e scenari energetici</x:v>
      </x:c>
      <x:c r="D340" s="83" t="str">
        <x:v>Figura</x:v>
      </x:c>
      <x:c r="E340" s="83" t="str">
        <x:v>16</x:v>
      </x:c>
      <x:c r="F340" s="83" t="n">
        <x:v>29</x:v>
      </x:c>
      <x:c r="G340" s="83" t="n">
        <x:v>27</x:v>
      </x:c>
      <x:c r="H340" s="83" t="str">
        <x:v>2. Il sistema elettrico</x:v>
      </x:c>
      <x:c r="I340" s="83" t="str">
        <x:v>Figura 16 Produzione idrica rinnovabile (TWh)</x:v>
      </x:c>
      <x:c r="J340" s="83" t="str">
        <x:v>Contesto / metodologia</x:v>
      </x:c>
      <x:c r="K340" s="83" t="str">
        <x:v>P2 - contesto/validazione</x:v>
      </x:c>
      <x:c r="L340" s="83" t="str">
        <x:v>Figura o mappa; lettura etichette / eventuale digitalizzazione</x:v>
      </x:c>
      <x:c r="M340" s="83" t="str">
        <x:v>Medio</x:v>
      </x:c>
      <x:c r="N340" s="83" t="str">
        <x:v>Da verificare in Fase 3</x:v>
      </x:c>
    </x:row>
    <x:row r="341">
      <x:c r="A341" s="83" t="str">
        <x:v>S01-FIG-17-29</x:v>
      </x:c>
      <x:c r="B341" s="83" t="str">
        <x:v>S01</x:v>
      </x:c>
      <x:c r="C341" s="83" t="str">
        <x:v>Stato del sistema elettrico e scenari energetici</x:v>
      </x:c>
      <x:c r="D341" s="83" t="str">
        <x:v>Figura</x:v>
      </x:c>
      <x:c r="E341" s="83" t="str">
        <x:v>17</x:v>
      </x:c>
      <x:c r="F341" s="83" t="n">
        <x:v>29</x:v>
      </x:c>
      <x:c r="G341" s="83" t="n">
        <x:v>27</x:v>
      </x:c>
      <x:c r="H341" s="83" t="str">
        <x:v>2. Il sistema elettrico</x:v>
      </x:c>
      <x:c r="I341" s="83" t="str">
        <x:v>Figura 17 Copertura del fabbisogno da tutte le fonti rinnovabili e da sole fonti solare e eolica</x:v>
      </x:c>
      <x:c r="J341" s="83" t="str">
        <x:v>Domanda e consumi; Capacità e generazione</x:v>
      </x:c>
      <x:c r="K341" s="83" t="str">
        <x:v>P1 - input diretto/parametro</x:v>
      </x:c>
      <x:c r="L341" s="83" t="str">
        <x:v>Figura o mappa; lettura etichette / eventuale digitalizzazione</x:v>
      </x:c>
      <x:c r="M341" s="83" t="str">
        <x:v>Medio</x:v>
      </x:c>
      <x:c r="N341" s="83" t="str">
        <x:v>Da verificare in Fase 3</x:v>
      </x:c>
    </x:row>
    <x:row r="342">
      <x:c r="A342" s="83" t="str">
        <x:v>S01-FIG-18-30</x:v>
      </x:c>
      <x:c r="B342" s="83" t="str">
        <x:v>S01</x:v>
      </x:c>
      <x:c r="C342" s="83" t="str">
        <x:v>Stato del sistema elettrico e scenari energetici</x:v>
      </x:c>
      <x:c r="D342" s="83" t="str">
        <x:v>Figura</x:v>
      </x:c>
      <x:c r="E342" s="83" t="str">
        <x:v>18</x:v>
      </x:c>
      <x:c r="F342" s="83" t="n">
        <x:v>30</x:v>
      </x:c>
      <x:c r="G342" s="83" t="n">
        <x:v>28</x:v>
      </x:c>
      <x:c r="H342" s="83" t="str">
        <x:v>2. Il sistema elettrico</x:v>
      </x:c>
      <x:c r="I342" s="83" t="str">
        <x:v>Figura 18 Inversione dei flussi su sezioni AT/MT</x:v>
      </x:c>
      <x:c r="J342" s="83" t="str">
        <x:v>Contesto / metodologia</x:v>
      </x:c>
      <x:c r="K342" s="83" t="str">
        <x:v>P2 - contesto/validazione</x:v>
      </x:c>
      <x:c r="L342" s="83" t="str">
        <x:v>Figura o mappa; lettura etichette / eventuale digitalizzazione</x:v>
      </x:c>
      <x:c r="M342" s="83" t="str">
        <x:v>Medio</x:v>
      </x:c>
      <x:c r="N342" s="83" t="str">
        <x:v>Da verificare in Fase 3</x:v>
      </x:c>
    </x:row>
    <x:row r="343">
      <x:c r="A343" s="83" t="str">
        <x:v>S01-FIG-19-31</x:v>
      </x:c>
      <x:c r="B343" s="83" t="str">
        <x:v>S01</x:v>
      </x:c>
      <x:c r="C343" s="83" t="str">
        <x:v>Stato del sistema elettrico e scenari energetici</x:v>
      </x:c>
      <x:c r="D343" s="83" t="str">
        <x:v>Figura</x:v>
      </x:c>
      <x:c r="E343" s="83" t="str">
        <x:v>19</x:v>
      </x:c>
      <x:c r="F343" s="83" t="n">
        <x:v>31</x:v>
      </x:c>
      <x:c r="G343" s="83" t="n">
        <x:v>29</x:v>
      </x:c>
      <x:c r="H343" s="83" t="str">
        <x:v>2. Il sistema elettrico</x:v>
      </x:c>
      <x:c r="I343" s="83" t="str">
        <x:v>Figura 19 Energia e potenza massima in risalita da CP (2021-2023)</x:v>
      </x:c>
      <x:c r="J343" s="83" t="str">
        <x:v>Contesto / metodologia</x:v>
      </x:c>
      <x:c r="K343" s="83" t="str">
        <x:v>P2 - contesto/validazione</x:v>
      </x:c>
      <x:c r="L343" s="83" t="str">
        <x:v>Figura o mappa; lettura etichette / eventuale digitalizzazione</x:v>
      </x:c>
      <x:c r="M343" s="83" t="str">
        <x:v>Medio</x:v>
      </x:c>
      <x:c r="N343" s="83" t="str">
        <x:v>Da verificare in Fase 3</x:v>
      </x:c>
    </x:row>
    <x:row r="344">
      <x:c r="A344" s="83" t="str">
        <x:v>S01-FIG-20-31</x:v>
      </x:c>
      <x:c r="B344" s="83" t="str">
        <x:v>S01</x:v>
      </x:c>
      <x:c r="C344" s="83" t="str">
        <x:v>Stato del sistema elettrico e scenari energetici</x:v>
      </x:c>
      <x:c r="D344" s="83" t="str">
        <x:v>Figura</x:v>
      </x:c>
      <x:c r="E344" s="83" t="str">
        <x:v>20</x:v>
      </x:c>
      <x:c r="F344" s="83" t="n">
        <x:v>31</x:v>
      </x:c>
      <x:c r="G344" s="83" t="n">
        <x:v>29</x:v>
      </x:c>
      <x:c r="H344" s="83" t="str">
        <x:v>2. Il sistema elettrico</x:v>
      </x:c>
      <x:c r="I344" s="83" t="str">
        <x:v>Figura 20 Energia in risalita, distribuzione per regione (2021-2023)</x:v>
      </x:c>
      <x:c r="J344" s="83" t="str">
        <x:v>Geografia e connessioni</x:v>
      </x:c>
      <x:c r="K344" s="83" t="str">
        <x:v>P2 - contesto/validazione</x:v>
      </x:c>
      <x:c r="L344" s="83" t="str">
        <x:v>Figura o mappa; lettura etichette / eventuale digitalizzazione</x:v>
      </x:c>
      <x:c r="M344" s="83" t="str">
        <x:v>Medio</x:v>
      </x:c>
      <x:c r="N344" s="83" t="str">
        <x:v>Da verificare in Fase 3</x:v>
      </x:c>
    </x:row>
    <x:row r="345">
      <x:c r="A345" s="83" t="str">
        <x:v>S01-FIG-21-33</x:v>
      </x:c>
      <x:c r="B345" s="83" t="str">
        <x:v>S01</x:v>
      </x:c>
      <x:c r="C345" s="83" t="str">
        <x:v>Stato del sistema elettrico e scenari energetici</x:v>
      </x:c>
      <x:c r="D345" s="83" t="str">
        <x:v>Figura</x:v>
      </x:c>
      <x:c r="E345" s="83" t="str">
        <x:v>21</x:v>
      </x:c>
      <x:c r="F345" s="83" t="n">
        <x:v>33</x:v>
      </x:c>
      <x:c r="G345" s="83" t="n">
        <x:v>31</x:v>
      </x:c>
      <x:c r="H345" s="83" t="str">
        <x:v>3. Analisi del mercato elettrico</x:v>
      </x:c>
      <x:c r="I345" s="83" t="str">
        <x:v>Figura 21 Curve del fabbisogno giornaliero, della produzione rinnovabile e del carico residuo (GW)</x:v>
      </x:c>
      <x:c r="J345" s="83" t="str">
        <x:v>Domanda e consumi; Accumuli e flessibilità</x:v>
      </x:c>
      <x:c r="K345" s="83" t="str">
        <x:v>P1 - input diretto/parametro</x:v>
      </x:c>
      <x:c r="L345" s="83" t="str">
        <x:v>Figura o mappa; lettura etichette / eventuale digitalizzazione</x:v>
      </x:c>
      <x:c r="M345" s="83" t="str">
        <x:v>Medio</x:v>
      </x:c>
      <x:c r="N345" s="83" t="str">
        <x:v>Da verificare in Fase 3</x:v>
      </x:c>
    </x:row>
    <x:row r="346">
      <x:c r="A346" s="83" t="str">
        <x:v>S01-FIG-22-38</x:v>
      </x:c>
      <x:c r="B346" s="83" t="str">
        <x:v>S01</x:v>
      </x:c>
      <x:c r="C346" s="83" t="str">
        <x:v>Stato del sistema elettrico e scenari energetici</x:v>
      </x:c>
      <x:c r="D346" s="83" t="str">
        <x:v>Figura</x:v>
      </x:c>
      <x:c r="E346" s="83" t="str">
        <x:v>22</x:v>
      </x:c>
      <x:c r="F346" s="83" t="n">
        <x:v>38</x:v>
      </x:c>
      <x:c r="G346" s="83" t="n">
        <x:v>36</x:v>
      </x:c>
      <x:c r="H346" s="83" t="str">
        <x:v>3. Analisi del mercato elettrico</x:v>
      </x:c>
      <x:c r="I346" s="83" t="str">
        <x:v>Figura 22 Le zone di mercato in Italia</x:v>
      </x:c>
      <x:c r="J346" s="83" t="str">
        <x:v>Mercato e prezzi; Geografia e connessioni</x:v>
      </x:c>
      <x:c r="K346" s="83" t="str">
        <x:v>P1 - input diretto/parametro</x:v>
      </x:c>
      <x:c r="L346" s="83" t="str">
        <x:v>Figura o mappa; lettura etichette / eventuale digitalizzazione</x:v>
      </x:c>
      <x:c r="M346" s="83" t="str">
        <x:v>Medio</x:v>
      </x:c>
      <x:c r="N346" s="83" t="str">
        <x:v>Da verificare in Fase 3</x:v>
      </x:c>
    </x:row>
    <x:row r="347">
      <x:c r="A347" s="83" t="str">
        <x:v>S01-FIG-23-40</x:v>
      </x:c>
      <x:c r="B347" s="83" t="str">
        <x:v>S01</x:v>
      </x:c>
      <x:c r="C347" s="83" t="str">
        <x:v>Stato del sistema elettrico e scenari energetici</x:v>
      </x:c>
      <x:c r="D347" s="83" t="str">
        <x:v>Figura</x:v>
      </x:c>
      <x:c r="E347" s="83" t="str">
        <x:v>23</x:v>
      </x:c>
      <x:c r="F347" s="83" t="n">
        <x:v>40</x:v>
      </x:c>
      <x:c r="G347" s="83" t="n">
        <x:v>38</x:v>
      </x:c>
      <x:c r="H347" s="83" t="str">
        <x:v>3. Analisi del mercato elettrico</x:v>
      </x:c>
      <x:c r="I347" s="83" t="str">
        <x:v>Figura 23 Limiti di transito zonali 2024 - caso invernale</x:v>
      </x:c>
      <x:c r="J347" s="83" t="str">
        <x:v>Trasmissione e interconnessioni</x:v>
      </x:c>
      <x:c r="K347" s="83" t="str">
        <x:v>P1 - input diretto/parametro</x:v>
      </x:c>
      <x:c r="L347" s="83" t="str">
        <x:v>Figura o mappa; lettura etichette / eventuale digitalizzazione</x:v>
      </x:c>
      <x:c r="M347" s="83" t="str">
        <x:v>Medio</x:v>
      </x:c>
      <x:c r="N347" s="83" t="str">
        <x:v>Da verificare in Fase 3</x:v>
      </x:c>
    </x:row>
    <x:row r="348">
      <x:c r="A348" s="83" t="str">
        <x:v>S01-FIG-24-41</x:v>
      </x:c>
      <x:c r="B348" s="83" t="str">
        <x:v>S01</x:v>
      </x:c>
      <x:c r="C348" s="83" t="str">
        <x:v>Stato del sistema elettrico e scenari energetici</x:v>
      </x:c>
      <x:c r="D348" s="83" t="str">
        <x:v>Figura</x:v>
      </x:c>
      <x:c r="E348" s="83" t="str">
        <x:v>24</x:v>
      </x:c>
      <x:c r="F348" s="83" t="n">
        <x:v>41</x:v>
      </x:c>
      <x:c r="G348" s="83" t="n">
        <x:v>39</x:v>
      </x:c>
      <x:c r="H348" s="83" t="str">
        <x:v>3. Analisi del mercato elettrico</x:v>
      </x:c>
      <x:c r="I348" s="83" t="str">
        <x:v>Figura 24 Limiti di transito zonali 2024 - caso estivo</x:v>
      </x:c>
      <x:c r="J348" s="83" t="str">
        <x:v>Trasmissione e interconnessioni</x:v>
      </x:c>
      <x:c r="K348" s="83" t="str">
        <x:v>P1 - input diretto/parametro</x:v>
      </x:c>
      <x:c r="L348" s="83" t="str">
        <x:v>Figura o mappa; lettura etichette / eventuale digitalizzazione</x:v>
      </x:c>
      <x:c r="M348" s="83" t="str">
        <x:v>Medio</x:v>
      </x:c>
      <x:c r="N348" s="83" t="str">
        <x:v>Da verificare in Fase 3</x:v>
      </x:c>
    </x:row>
    <x:row r="349">
      <x:c r="A349" s="83" t="str">
        <x:v>S01-FIG-25-42</x:v>
      </x:c>
      <x:c r="B349" s="83" t="str">
        <x:v>S01</x:v>
      </x:c>
      <x:c r="C349" s="83" t="str">
        <x:v>Stato del sistema elettrico e scenari energetici</x:v>
      </x:c>
      <x:c r="D349" s="83" t="str">
        <x:v>Figura</x:v>
      </x:c>
      <x:c r="E349" s="83" t="str">
        <x:v>25</x:v>
      </x:c>
      <x:c r="F349" s="83" t="n">
        <x:v>42</x:v>
      </x:c>
      <x:c r="G349" s="83" t="n">
        <x:v>40</x:v>
      </x:c>
      <x:c r="H349" s="83" t="str">
        <x:v>3. Analisi del mercato elettrico</x:v>
      </x:c>
      <x:c r="I349" s="83" t="str">
        <x:v>Figura 25 Andamento del Prezzo Unico Nazionale (€/MWh)</x:v>
      </x:c>
      <x:c r="J349" s="83" t="str">
        <x:v>Mercato e prezzi</x:v>
      </x:c>
      <x:c r="K349" s="83" t="str">
        <x:v>P1 - input diretto/parametro</x:v>
      </x:c>
      <x:c r="L349" s="83" t="str">
        <x:v>Figura o mappa; lettura etichette / eventuale digitalizzazione</x:v>
      </x:c>
      <x:c r="M349" s="83" t="str">
        <x:v>Medio</x:v>
      </x:c>
      <x:c r="N349" s="83" t="str">
        <x:v>Da verificare in Fase 3</x:v>
      </x:c>
    </x:row>
    <x:row r="350">
      <x:c r="A350" s="83" t="str">
        <x:v>S01-FIG-26-42</x:v>
      </x:c>
      <x:c r="B350" s="83" t="str">
        <x:v>S01</x:v>
      </x:c>
      <x:c r="C350" s="83" t="str">
        <x:v>Stato del sistema elettrico e scenari energetici</x:v>
      </x:c>
      <x:c r="D350" s="83" t="str">
        <x:v>Figura</x:v>
      </x:c>
      <x:c r="E350" s="83" t="str">
        <x:v>26</x:v>
      </x:c>
      <x:c r="F350" s="83" t="n">
        <x:v>42</x:v>
      </x:c>
      <x:c r="G350" s="83" t="n">
        <x:v>40</x:v>
      </x:c>
      <x:c r="H350" s="83" t="str">
        <x:v>3. Analisi del mercato elettrico</x:v>
      </x:c>
      <x:c r="I350" s="83" t="str">
        <x:v>Figura 26 Andamento mensile del Prezzo Unico Nazionale (€/MWh)</x:v>
      </x:c>
      <x:c r="J350" s="83" t="str">
        <x:v>Mercato e prezzi</x:v>
      </x:c>
      <x:c r="K350" s="83" t="str">
        <x:v>P1 - input diretto/parametro</x:v>
      </x:c>
      <x:c r="L350" s="83" t="str">
        <x:v>Figura o mappa; lettura etichette / eventuale digitalizzazione</x:v>
      </x:c>
      <x:c r="M350" s="83" t="str">
        <x:v>Medio</x:v>
      </x:c>
      <x:c r="N350" s="83" t="str">
        <x:v>Da verificare in Fase 3</x:v>
      </x:c>
    </x:row>
    <x:row r="351">
      <x:c r="A351" s="83" t="str">
        <x:v>S01-FIG-27-43</x:v>
      </x:c>
      <x:c r="B351" s="83" t="str">
        <x:v>S01</x:v>
      </x:c>
      <x:c r="C351" s="83" t="str">
        <x:v>Stato del sistema elettrico e scenari energetici</x:v>
      </x:c>
      <x:c r="D351" s="83" t="str">
        <x:v>Figura</x:v>
      </x:c>
      <x:c r="E351" s="83" t="str">
        <x:v>27</x:v>
      </x:c>
      <x:c r="F351" s="83" t="n">
        <x:v>43</x:v>
      </x:c>
      <x:c r="G351" s="83" t="n">
        <x:v>41</x:v>
      </x:c>
      <x:c r="H351" s="83" t="str">
        <x:v>3. Analisi del mercato elettrico</x:v>
      </x:c>
      <x:c r="I351" s="83" t="str">
        <x:v>Figura 27 Prezzo delle commodities 2023-2024*</x:v>
      </x:c>
      <x:c r="J351" s="83" t="str">
        <x:v>Mercato e prezzi</x:v>
      </x:c>
      <x:c r="K351" s="83" t="str">
        <x:v>P2 - contesto/validazione</x:v>
      </x:c>
      <x:c r="L351" s="83" t="str">
        <x:v>Figura o mappa; lettura etichette / eventuale digitalizzazione</x:v>
      </x:c>
      <x:c r="M351" s="83" t="str">
        <x:v>Medio</x:v>
      </x:c>
      <x:c r="N351" s="83" t="str">
        <x:v>Da verificare in Fase 3</x:v>
      </x:c>
    </x:row>
    <x:row r="352">
      <x:c r="A352" s="83" t="str">
        <x:v>S01-FIG-28-44</x:v>
      </x:c>
      <x:c r="B352" s="83" t="str">
        <x:v>S01</x:v>
      </x:c>
      <x:c r="C352" s="83" t="str">
        <x:v>Stato del sistema elettrico e scenari energetici</x:v>
      </x:c>
      <x:c r="D352" s="83" t="str">
        <x:v>Figura</x:v>
      </x:c>
      <x:c r="E352" s="83" t="str">
        <x:v>28</x:v>
      </x:c>
      <x:c r="F352" s="83" t="n">
        <x:v>44</x:v>
      </x:c>
      <x:c r="G352" s="83" t="n">
        <x:v>42</x:v>
      </x:c>
      <x:c r="H352" s="83" t="str">
        <x:v>3. Analisi del mercato elettrico</x:v>
      </x:c>
      <x:c r="I352" s="83" t="str">
        <x:v>Figura 28 Prezzi zonali</x:v>
      </x:c>
      <x:c r="J352" s="83" t="str">
        <x:v>Contesto / metodologia</x:v>
      </x:c>
      <x:c r="K352" s="83" t="str">
        <x:v>P2 - contesto/validazione</x:v>
      </x:c>
      <x:c r="L352" s="83" t="str">
        <x:v>Figura o mappa; lettura etichette / eventuale digitalizzazione</x:v>
      </x:c>
      <x:c r="M352" s="83" t="str">
        <x:v>Medio</x:v>
      </x:c>
      <x:c r="N352" s="83" t="str">
        <x:v>Da verificare in Fase 3</x:v>
      </x:c>
    </x:row>
    <x:row r="353">
      <x:c r="A353" s="83" t="str">
        <x:v>S01-FIG-29-44</x:v>
      </x:c>
      <x:c r="B353" s="83" t="str">
        <x:v>S01</x:v>
      </x:c>
      <x:c r="C353" s="83" t="str">
        <x:v>Stato del sistema elettrico e scenari energetici</x:v>
      </x:c>
      <x:c r="D353" s="83" t="str">
        <x:v>Figura</x:v>
      </x:c>
      <x:c r="E353" s="83" t="str">
        <x:v>29</x:v>
      </x:c>
      <x:c r="F353" s="83" t="n">
        <x:v>44</x:v>
      </x:c>
      <x:c r="G353" s="83" t="n">
        <x:v>42</x:v>
      </x:c>
      <x:c r="H353" s="83" t="str">
        <x:v>3. Analisi del mercato elettrico</x:v>
      </x:c>
      <x:c r="I353" s="83" t="str">
        <x:v>Figura 29 Differenziali zonali rispetto al PUN</x:v>
      </x:c>
      <x:c r="J353" s="83" t="str">
        <x:v>Capacità e generazione; Mercato e prezzi</x:v>
      </x:c>
      <x:c r="K353" s="83" t="str">
        <x:v>P1 - input diretto/parametro</x:v>
      </x:c>
      <x:c r="L353" s="83" t="str">
        <x:v>Figura o mappa; lettura etichette / eventuale digitalizzazione</x:v>
      </x:c>
      <x:c r="M353" s="83" t="str">
        <x:v>Medio</x:v>
      </x:c>
      <x:c r="N353" s="83" t="str">
        <x:v>Da verificare in Fase 3</x:v>
      </x:c>
    </x:row>
    <x:row r="354">
      <x:c r="A354" s="83" t="str">
        <x:v>S01-FIG-30-45</x:v>
      </x:c>
      <x:c r="B354" s="83" t="str">
        <x:v>S01</x:v>
      </x:c>
      <x:c r="C354" s="83" t="str">
        <x:v>Stato del sistema elettrico e scenari energetici</x:v>
      </x:c>
      <x:c r="D354" s="83" t="str">
        <x:v>Figura</x:v>
      </x:c>
      <x:c r="E354" s="83" t="str">
        <x:v>30</x:v>
      </x:c>
      <x:c r="F354" s="83" t="n">
        <x:v>45</x:v>
      </x:c>
      <x:c r="G354" s="83" t="n">
        <x:v>43</x:v>
      </x:c>
      <x:c r="H354" s="83" t="str">
        <x:v>3. Analisi del mercato elettrico</x:v>
      </x:c>
      <x:c r="I354" s="83" t="str">
        <x:v>Figura 30 Volumi selezionati per macro-servizio MBR</x:v>
      </x:c>
      <x:c r="J354" s="83" t="str">
        <x:v>Contesto / metodologia</x:v>
      </x:c>
      <x:c r="K354" s="83" t="str">
        <x:v>P2 - contesto/validazione</x:v>
      </x:c>
      <x:c r="L354" s="83" t="str">
        <x:v>Figura o mappa; lettura etichette / eventuale digitalizzazione</x:v>
      </x:c>
      <x:c r="M354" s="83" t="str">
        <x:v>Medio</x:v>
      </x:c>
      <x:c r="N354" s="83" t="str">
        <x:v>Da verificare in Fase 3</x:v>
      </x:c>
    </x:row>
    <x:row r="355">
      <x:c r="A355" s="83" t="str">
        <x:v>S01-FIG-31-46</x:v>
      </x:c>
      <x:c r="B355" s="83" t="str">
        <x:v>S01</x:v>
      </x:c>
      <x:c r="C355" s="83" t="str">
        <x:v>Stato del sistema elettrico e scenari energetici</x:v>
      </x:c>
      <x:c r="D355" s="83" t="str">
        <x:v>Figura</x:v>
      </x:c>
      <x:c r="E355" s="83" t="str">
        <x:v>31</x:v>
      </x:c>
      <x:c r="F355" s="83" t="n">
        <x:v>46</x:v>
      </x:c>
      <x:c r="G355" s="83" t="n">
        <x:v>44</x:v>
      </x:c>
      <x:c r="H355" s="83" t="str">
        <x:v>3. Analisi del mercato elettrico</x:v>
      </x:c>
      <x:c r="I355" s="83" t="str">
        <x:v>Figura 31 Volumi selezionati MBR totali</x:v>
      </x:c>
      <x:c r="J355" s="83" t="str">
        <x:v>Contesto / metodologia</x:v>
      </x:c>
      <x:c r="K355" s="83" t="str">
        <x:v>P2 - contesto/validazione</x:v>
      </x:c>
      <x:c r="L355" s="83" t="str">
        <x:v>Figura o mappa; lettura etichette / eventuale digitalizzazione</x:v>
      </x:c>
      <x:c r="M355" s="83" t="str">
        <x:v>Medio</x:v>
      </x:c>
      <x:c r="N355" s="83" t="str">
        <x:v>Da verificare in Fase 3</x:v>
      </x:c>
    </x:row>
    <x:row r="356">
      <x:c r="A356" s="83" t="str">
        <x:v>S01-FIG-32-46</x:v>
      </x:c>
      <x:c r="B356" s="83" t="str">
        <x:v>S01</x:v>
      </x:c>
      <x:c r="C356" s="83" t="str">
        <x:v>Stato del sistema elettrico e scenari energetici</x:v>
      </x:c>
      <x:c r="D356" s="83" t="str">
        <x:v>Figura</x:v>
      </x:c>
      <x:c r="E356" s="83" t="str">
        <x:v>32</x:v>
      </x:c>
      <x:c r="F356" s="83" t="n">
        <x:v>46</x:v>
      </x:c>
      <x:c r="G356" s="83" t="n">
        <x:v>44</x:v>
      </x:c>
      <x:c r="H356" s="83" t="str">
        <x:v>3. Analisi del mercato elettrico</x:v>
      </x:c>
      <x:c r="I356" s="83" t="str">
        <x:v>Figura 32 Prezzi annuali MBR e PUN (€/MWh)</x:v>
      </x:c>
      <x:c r="J356" s="83" t="str">
        <x:v>Mercato e prezzi</x:v>
      </x:c>
      <x:c r="K356" s="83" t="str">
        <x:v>P1 - input diretto/parametro</x:v>
      </x:c>
      <x:c r="L356" s="83" t="str">
        <x:v>Figura o mappa; lettura etichette / eventuale digitalizzazione</x:v>
      </x:c>
      <x:c r="M356" s="83" t="str">
        <x:v>Medio</x:v>
      </x:c>
      <x:c r="N356" s="83" t="str">
        <x:v>Da verificare in Fase 3</x:v>
      </x:c>
    </x:row>
    <x:row r="357">
      <x:c r="A357" s="83" t="str">
        <x:v>S01-FIG-33-47</x:v>
      </x:c>
      <x:c r="B357" s="83" t="str">
        <x:v>S01</x:v>
      </x:c>
      <x:c r="C357" s="83" t="str">
        <x:v>Stato del sistema elettrico e scenari energetici</x:v>
      </x:c>
      <x:c r="D357" s="83" t="str">
        <x:v>Figura</x:v>
      </x:c>
      <x:c r="E357" s="83" t="str">
        <x:v>33</x:v>
      </x:c>
      <x:c r="F357" s="83" t="n">
        <x:v>47</x:v>
      </x:c>
      <x:c r="G357" s="83" t="n">
        <x:v>45</x:v>
      </x:c>
      <x:c r="H357" s="83" t="str">
        <x:v>3. Analisi del mercato elettrico</x:v>
      </x:c>
      <x:c r="I357" s="83" t="str">
        <x:v>Figura 33 Prezzi mensili 2024* MBR (€/MWh)</x:v>
      </x:c>
      <x:c r="J357" s="83" t="str">
        <x:v>Contesto / metodologia</x:v>
      </x:c>
      <x:c r="K357" s="83" t="str">
        <x:v>P2 - contesto/validazione</x:v>
      </x:c>
      <x:c r="L357" s="83" t="str">
        <x:v>Figura o mappa; lettura etichette / eventuale digitalizzazione</x:v>
      </x:c>
      <x:c r="M357" s="83" t="str">
        <x:v>Medio</x:v>
      </x:c>
      <x:c r="N357" s="83" t="str">
        <x:v>Da verificare in Fase 3</x:v>
      </x:c>
    </x:row>
    <x:row r="358">
      <x:c r="A358" s="83" t="str">
        <x:v>S01-FIG-34-47</x:v>
      </x:c>
      <x:c r="B358" s="83" t="str">
        <x:v>S01</x:v>
      </x:c>
      <x:c r="C358" s="83" t="str">
        <x:v>Stato del sistema elettrico e scenari energetici</x:v>
      </x:c>
      <x:c r="D358" s="83" t="str">
        <x:v>Figura</x:v>
      </x:c>
      <x:c r="E358" s="83" t="str">
        <x:v>34</x:v>
      </x:c>
      <x:c r="F358" s="83" t="n">
        <x:v>47</x:v>
      </x:c>
      <x:c r="G358" s="83" t="n">
        <x:v>45</x:v>
      </x:c>
      <x:c r="H358" s="83" t="str">
        <x:v>3. Analisi del mercato elettrico</x:v>
      </x:c>
      <x:c r="I358" s="83" t="str">
        <x:v>Figura 34 Costi totali MBR (Mln €)3</x:v>
      </x:c>
      <x:c r="J358" s="83" t="str">
        <x:v>Contesto / metodologia</x:v>
      </x:c>
      <x:c r="K358" s="83" t="str">
        <x:v>P2 - contesto/validazione</x:v>
      </x:c>
      <x:c r="L358" s="83" t="str">
        <x:v>Figura o mappa; lettura etichette / eventuale digitalizzazione</x:v>
      </x:c>
      <x:c r="M358" s="83" t="str">
        <x:v>Medio</x:v>
      </x:c>
      <x:c r="N358" s="83" t="str">
        <x:v>Da verificare in Fase 3</x:v>
      </x:c>
    </x:row>
    <x:row r="359">
      <x:c r="A359" s="83" t="str">
        <x:v>S01-FIG-35-52</x:v>
      </x:c>
      <x:c r="B359" s="83" t="str">
        <x:v>S01</x:v>
      </x:c>
      <x:c r="C359" s="83" t="str">
        <x:v>Stato del sistema elettrico e scenari energetici</x:v>
      </x:c>
      <x:c r="D359" s="83" t="str">
        <x:v>Figura</x:v>
      </x:c>
      <x:c r="E359" s="83" t="str">
        <x:v>35</x:v>
      </x:c>
      <x:c r="F359" s="83" t="n">
        <x:v>52</x:v>
      </x:c>
      <x:c r="G359" s="83" t="n">
        <x:v>50</x:v>
      </x:c>
      <x:c r="H359" s="83" t="str">
        <x:v>3. Analisi del mercato elettrico</x:v>
      </x:c>
      <x:c r="I359" s="83" t="str">
        <x:v>Figura 35 Rappresentazione della capacità delle differenti risorse di rete di fornire dall’alto in basso, servizi</x:v>
      </x:c>
      <x:c r="J359" s="83" t="str">
        <x:v>Capacità e generazione</x:v>
      </x:c>
      <x:c r="K359" s="83" t="str">
        <x:v>P2 - contesto/validazione</x:v>
      </x:c>
      <x:c r="L359" s="83" t="str">
        <x:v>Figura o mappa; lettura etichette / eventuale digitalizzazione</x:v>
      </x:c>
      <x:c r="M359" s="83" t="str">
        <x:v>Medio</x:v>
      </x:c>
      <x:c r="N359" s="83" t="str">
        <x:v>Da verificare in Fase 3</x:v>
      </x:c>
    </x:row>
    <x:row r="360">
      <x:c r="A360" s="83" t="str">
        <x:v>S01-TAB-5-55</x:v>
      </x:c>
      <x:c r="B360" s="83" t="str">
        <x:v>S01</x:v>
      </x:c>
      <x:c r="C360" s="83" t="str">
        <x:v>Stato del sistema elettrico e scenari energetici</x:v>
      </x:c>
      <x:c r="D360" s="83" t="str">
        <x:v>Tabella</x:v>
      </x:c>
      <x:c r="E360" s="83" t="str">
        <x:v>5</x:v>
      </x:c>
      <x:c r="F360" s="83" t="n">
        <x:v>55</x:v>
      </x:c>
      <x:c r="G360" s="83" t="n">
        <x:v>53</x:v>
      </x:c>
      <x:c r="H360" s="83" t="str">
        <x:v>3. Analisi del mercato elettrico</x:v>
      </x:c>
      <x:c r="I360" s="83" t="str">
        <x:v>Tabella 5 Impianti Essenziali per la sicurezza del sistema elettrico (Anno 2025)</x:v>
      </x:c>
      <x:c r="J360" s="83" t="str">
        <x:v>Contesto / metodologia</x:v>
      </x:c>
      <x:c r="K360" s="83" t="str">
        <x:v>P2 - contesto/validazione</x:v>
      </x:c>
      <x:c r="L360" s="83" t="str">
        <x:v>Tabella testuale/PDF</x:v>
      </x:c>
      <x:c r="M360" s="83" t="str">
        <x:v>Basso</x:v>
      </x:c>
      <x:c r="N360" s="83" t="str">
        <x:v>Da verificare in Fase 3</x:v>
      </x:c>
    </x:row>
    <x:row r="361">
      <x:c r="A361" s="83" t="str">
        <x:v>S01-FIG-36-57</x:v>
      </x:c>
      <x:c r="B361" s="83" t="str">
        <x:v>S01</x:v>
      </x:c>
      <x:c r="C361" s="83" t="str">
        <x:v>Stato del sistema elettrico e scenari energetici</x:v>
      </x:c>
      <x:c r="D361" s="83" t="str">
        <x:v>Figura</x:v>
      </x:c>
      <x:c r="E361" s="83" t="str">
        <x:v>36</x:v>
      </x:c>
      <x:c r="F361" s="83" t="n">
        <x:v>57</x:v>
      </x:c>
      <x:c r="G361" s="83" t="n">
        <x:v>55</x:v>
      </x:c>
      <x:c r="H361" s="83" t="str">
        <x:v>3. Analisi del mercato elettrico</x:v>
      </x:c>
      <x:c r="I361" s="83" t="str">
        <x:v>Figura 36 Installazione Impianti di pompaggio</x:v>
      </x:c>
      <x:c r="J361" s="83" t="str">
        <x:v>Accumuli e flessibilità</x:v>
      </x:c>
      <x:c r="K361" s="83" t="str">
        <x:v>P1 - input diretto/parametro</x:v>
      </x:c>
      <x:c r="L361" s="83" t="str">
        <x:v>Figura o mappa; lettura etichette / eventuale digitalizzazione</x:v>
      </x:c>
      <x:c r="M361" s="83" t="str">
        <x:v>Medio</x:v>
      </x:c>
      <x:c r="N361" s="83" t="str">
        <x:v>Da verificare in Fase 3</x:v>
      </x:c>
    </x:row>
    <x:row r="362">
      <x:c r="A362" s="83" t="str">
        <x:v>S01-FIG-37-63</x:v>
      </x:c>
      <x:c r="B362" s="83" t="str">
        <x:v>S01</x:v>
      </x:c>
      <x:c r="C362" s="83" t="str">
        <x:v>Stato del sistema elettrico e scenari energetici</x:v>
      </x:c>
      <x:c r="D362" s="83" t="str">
        <x:v>Figura</x:v>
      </x:c>
      <x:c r="E362" s="83" t="str">
        <x:v>37</x:v>
      </x:c>
      <x:c r="F362" s="83" t="n">
        <x:v>63</x:v>
      </x:c>
      <x:c r="G362" s="83" t="n">
        <x:v>61</x:v>
      </x:c>
      <x:c r="H362" s="83" t="str">
        <x:v>4. Impatti sul sistema elettrico</x:v>
      </x:c>
      <x:c r="I362" s="83" t="str">
        <x:v>Figura 37 Impatti rinnovabili sul sistema elettrico</x:v>
      </x:c>
      <x:c r="J362" s="83" t="str">
        <x:v>Contesto / metodologia</x:v>
      </x:c>
      <x:c r="K362" s="83" t="str">
        <x:v>P2 - contesto/validazione</x:v>
      </x:c>
      <x:c r="L362" s="83" t="str">
        <x:v>Figura o mappa; lettura etichette / eventuale digitalizzazione</x:v>
      </x:c>
      <x:c r="M362" s="83" t="str">
        <x:v>Medio</x:v>
      </x:c>
      <x:c r="N362" s="83" t="str">
        <x:v>Da verificare in Fase 3</x:v>
      </x:c>
    </x:row>
    <x:row r="363">
      <x:c r="A363" s="83" t="str">
        <x:v>S01-FIG-38-64</x:v>
      </x:c>
      <x:c r="B363" s="83" t="str">
        <x:v>S01</x:v>
      </x:c>
      <x:c r="C363" s="83" t="str">
        <x:v>Stato del sistema elettrico e scenari energetici</x:v>
      </x:c>
      <x:c r="D363" s="83" t="str">
        <x:v>Figura</x:v>
      </x:c>
      <x:c r="E363" s="83" t="str">
        <x:v>38</x:v>
      </x:c>
      <x:c r="F363" s="83" t="n">
        <x:v>64</x:v>
      </x:c>
      <x:c r="G363" s="83" t="n">
        <x:v>62</x:v>
      </x:c>
      <x:c r="H363" s="83" t="str">
        <x:v>4. Impatti sul sistema elettrico</x:v>
      </x:c>
      <x:c r="I363" s="83" t="str">
        <x:v>Figura 38 Evoluzione MPE (GWh)</x:v>
      </x:c>
      <x:c r="J363" s="83" t="str">
        <x:v>Contesto / metodologia</x:v>
      </x:c>
      <x:c r="K363" s="83" t="str">
        <x:v>P2 - contesto/validazione</x:v>
      </x:c>
      <x:c r="L363" s="83" t="str">
        <x:v>Figura o mappa; lettura etichette / eventuale digitalizzazione</x:v>
      </x:c>
      <x:c r="M363" s="83" t="str">
        <x:v>Medio</x:v>
      </x:c>
      <x:c r="N363" s="83" t="str">
        <x:v>Da verificare in Fase 3</x:v>
      </x:c>
    </x:row>
    <x:row r="364">
      <x:c r="A364" s="83" t="str">
        <x:v>S01-FIG-39-65</x:v>
      </x:c>
      <x:c r="B364" s="83" t="str">
        <x:v>S01</x:v>
      </x:c>
      <x:c r="C364" s="83" t="str">
        <x:v>Stato del sistema elettrico e scenari energetici</x:v>
      </x:c>
      <x:c r="D364" s="83" t="str">
        <x:v>Figura</x:v>
      </x:c>
      <x:c r="E364" s="83" t="str">
        <x:v>39</x:v>
      </x:c>
      <x:c r="F364" s="83" t="n">
        <x:v>65</x:v>
      </x:c>
      <x:c r="G364" s="83" t="n">
        <x:v>63</x:v>
      </x:c>
      <x:c r="H364" s="83" t="str">
        <x:v>4. Impatti sul sistema elettrico</x:v>
      </x:c>
      <x:c r="I364" s="83" t="str">
        <x:v>Figura 39 Confronto dati MPE 2023 vs 2024</x:v>
      </x:c>
      <x:c r="J364" s="83" t="str">
        <x:v>Contesto / metodologia</x:v>
      </x:c>
      <x:c r="K364" s="83" t="str">
        <x:v>P2 - contesto/validazione</x:v>
      </x:c>
      <x:c r="L364" s="83" t="str">
        <x:v>Figura o mappa; lettura etichette / eventuale digitalizzazione</x:v>
      </x:c>
      <x:c r="M364" s="83" t="str">
        <x:v>Medio</x:v>
      </x:c>
      <x:c r="N364" s="83" t="str">
        <x:v>Da verificare in Fase 3</x:v>
      </x:c>
    </x:row>
    <x:row r="365">
      <x:c r="A365" s="83" t="str">
        <x:v>S01-FIG-40-66</x:v>
      </x:c>
      <x:c r="B365" s="83" t="str">
        <x:v>S01</x:v>
      </x:c>
      <x:c r="C365" s="83" t="str">
        <x:v>Stato del sistema elettrico e scenari energetici</x:v>
      </x:c>
      <x:c r="D365" s="83" t="str">
        <x:v>Figura</x:v>
      </x:c>
      <x:c r="E365" s="83" t="str">
        <x:v>40</x:v>
      </x:c>
      <x:c r="F365" s="83" t="n">
        <x:v>66</x:v>
      </x:c>
      <x:c r="G365" s="83" t="n">
        <x:v>64</x:v>
      </x:c>
      <x:c r="H365" s="83" t="str">
        <x:v>4. Impatti sul sistema elettrico</x:v>
      </x:c>
      <x:c r="I365" s="83" t="str">
        <x:v>Figura 40 Continuità del servizio di alimentazione – Disalimentazioni su reti AAT/AT</x:v>
      </x:c>
      <x:c r="J365" s="83" t="str">
        <x:v>Contesto / metodologia</x:v>
      </x:c>
      <x:c r="K365" s="83" t="str">
        <x:v>P2 - contesto/validazione</x:v>
      </x:c>
      <x:c r="L365" s="83" t="str">
        <x:v>Figura o mappa; lettura etichette / eventuale digitalizzazione</x:v>
      </x:c>
      <x:c r="M365" s="83" t="str">
        <x:v>Medio</x:v>
      </x:c>
      <x:c r="N365" s="83" t="str">
        <x:v>Da verificare in Fase 3</x:v>
      </x:c>
    </x:row>
    <x:row r="366">
      <x:c r="A366" s="83" t="str">
        <x:v>S01-FIG-41-67</x:v>
      </x:c>
      <x:c r="B366" s="83" t="str">
        <x:v>S01</x:v>
      </x:c>
      <x:c r="C366" s="83" t="str">
        <x:v>Stato del sistema elettrico e scenari energetici</x:v>
      </x:c>
      <x:c r="D366" s="83" t="str">
        <x:v>Figura</x:v>
      </x:c>
      <x:c r="E366" s="83" t="str">
        <x:v>41</x:v>
      </x:c>
      <x:c r="F366" s="83" t="n">
        <x:v>67</x:v>
      </x:c>
      <x:c r="G366" s="83" t="n">
        <x:v>65</x:v>
      </x:c>
      <x:c r="H366" s="83" t="str">
        <x:v>4. Impatti sul sistema elettrico</x:v>
      </x:c>
      <x:c r="I366" s="83" t="str">
        <x:v>Figura 41 Range di variazione del livello di tensione</x:v>
      </x:c>
      <x:c r="J366" s="83" t="str">
        <x:v>Contesto / metodologia</x:v>
      </x:c>
      <x:c r="K366" s="83" t="str">
        <x:v>P2 - contesto/validazione</x:v>
      </x:c>
      <x:c r="L366" s="83" t="str">
        <x:v>Figura o mappa; lettura etichette / eventuale digitalizzazione</x:v>
      </x:c>
      <x:c r="M366" s="83" t="str">
        <x:v>Medio</x:v>
      </x:c>
      <x:c r="N366" s="83" t="str">
        <x:v>Da verificare in Fase 3</x:v>
      </x:c>
    </x:row>
    <x:row r="367">
      <x:c r="A367" s="83" t="str">
        <x:v>S01-FIG-44-68</x:v>
      </x:c>
      <x:c r="B367" s="83" t="str">
        <x:v>S01</x:v>
      </x:c>
      <x:c r="C367" s="83" t="str">
        <x:v>Stato del sistema elettrico e scenari energetici</x:v>
      </x:c>
      <x:c r="D367" s="83" t="str">
        <x:v>Figura</x:v>
      </x:c>
      <x:c r="E367" s="83" t="str">
        <x:v>44</x:v>
      </x:c>
      <x:c r="F367" s="83" t="n">
        <x:v>68</x:v>
      </x:c>
      <x:c r="G367" s="83" t="n">
        <x:v>66</x:v>
      </x:c>
      <x:c r="H367" s="83" t="str">
        <x:v>4. Impatti sul sistema elettrico</x:v>
      </x:c>
      <x:c r="I367" s="83" t="str">
        <x:v>Figura 44 Andamento della tensione ai nodi critici – sovratensioni (Luglio 2023 – Giugno 2024)</x:v>
      </x:c>
      <x:c r="J367" s="83" t="str">
        <x:v>Contesto / metodologia</x:v>
      </x:c>
      <x:c r="K367" s="83" t="str">
        <x:v>P2 - contesto/validazione</x:v>
      </x:c>
      <x:c r="L367" s="83" t="str">
        <x:v>Figura o mappa; lettura etichette / eventuale digitalizzazione</x:v>
      </x:c>
      <x:c r="M367" s="83" t="str">
        <x:v>Medio</x:v>
      </x:c>
      <x:c r="N367" s="83" t="str">
        <x:v>Da verificare in Fase 3</x:v>
      </x:c>
    </x:row>
    <x:row r="368">
      <x:c r="A368" s="83" t="str">
        <x:v>S01-FIG-45-68</x:v>
      </x:c>
      <x:c r="B368" s="83" t="str">
        <x:v>S01</x:v>
      </x:c>
      <x:c r="C368" s="83" t="str">
        <x:v>Stato del sistema elettrico e scenari energetici</x:v>
      </x:c>
      <x:c r="D368" s="83" t="str">
        <x:v>Figura</x:v>
      </x:c>
      <x:c r="E368" s="83" t="str">
        <x:v>45</x:v>
      </x:c>
      <x:c r="F368" s="83" t="n">
        <x:v>68</x:v>
      </x:c>
      <x:c r="G368" s="83" t="n">
        <x:v>66</x:v>
      </x:c>
      <x:c r="H368" s="83" t="str">
        <x:v>4. Impatti sul sistema elettrico</x:v>
      </x:c>
      <x:c r="I368" s="83" t="str">
        <x:v>Figura 45 Andamento della tensione ai nodi critici – sottotensioni (Luglio 2023 – Giugno 2024)</x:v>
      </x:c>
      <x:c r="J368" s="83" t="str">
        <x:v>Contesto / metodologia</x:v>
      </x:c>
      <x:c r="K368" s="83" t="str">
        <x:v>P2 - contesto/validazione</x:v>
      </x:c>
      <x:c r="L368" s="83" t="str">
        <x:v>Figura o mappa; lettura etichette / eventuale digitalizzazione</x:v>
      </x:c>
      <x:c r="M368" s="83" t="str">
        <x:v>Medio</x:v>
      </x:c>
      <x:c r="N368" s="83" t="str">
        <x:v>Da verificare in Fase 3</x:v>
      </x:c>
    </x:row>
    <x:row r="369">
      <x:c r="A369" s="83" t="str">
        <x:v>S01-FIG-42-68</x:v>
      </x:c>
      <x:c r="B369" s="83" t="str">
        <x:v>S01</x:v>
      </x:c>
      <x:c r="C369" s="83" t="str">
        <x:v>Stato del sistema elettrico e scenari energetici</x:v>
      </x:c>
      <x:c r="D369" s="83" t="str">
        <x:v>Figura</x:v>
      </x:c>
      <x:c r="E369" s="83" t="str">
        <x:v>42</x:v>
      </x:c>
      <x:c r="F369" s="83" t="n">
        <x:v>68</x:v>
      </x:c>
      <x:c r="G369" s="83" t="n">
        <x:v>66</x:v>
      </x:c>
      <x:c r="H369" s="83" t="str">
        <x:v>4. Impatti sul sistema elettrico</x:v>
      </x:c>
      <x:c r="I369" s="83" t="str">
        <x:v>Figura 42 Distribuzione territoriale delle tensioni 400 kV</x:v>
      </x:c>
      <x:c r="J369" s="83" t="str">
        <x:v>Contesto / metodologia</x:v>
      </x:c>
      <x:c r="K369" s="83" t="str">
        <x:v>P2 - contesto/validazione</x:v>
      </x:c>
      <x:c r="L369" s="83" t="str">
        <x:v>Figura o mappa; lettura etichette / eventuale digitalizzazione</x:v>
      </x:c>
      <x:c r="M369" s="83" t="str">
        <x:v>Medio</x:v>
      </x:c>
      <x:c r="N369" s="83" t="str">
        <x:v>Da verificare in Fase 3</x:v>
      </x:c>
    </x:row>
    <x:row r="370">
      <x:c r="A370" s="83" t="str">
        <x:v>S01-FIG-43-68</x:v>
      </x:c>
      <x:c r="B370" s="83" t="str">
        <x:v>S01</x:v>
      </x:c>
      <x:c r="C370" s="83" t="str">
        <x:v>Stato del sistema elettrico e scenari energetici</x:v>
      </x:c>
      <x:c r="D370" s="83" t="str">
        <x:v>Figura</x:v>
      </x:c>
      <x:c r="E370" s="83" t="str">
        <x:v>43</x:v>
      </x:c>
      <x:c r="F370" s="83" t="n">
        <x:v>68</x:v>
      </x:c>
      <x:c r="G370" s="83" t="n">
        <x:v>66</x:v>
      </x:c>
      <x:c r="H370" s="83" t="str">
        <x:v>4. Impatti sul sistema elettrico</x:v>
      </x:c>
      <x:c r="I370" s="83" t="str">
        <x:v>Figura 43 Distribuzione delle tensioni sui nodi</x:v>
      </x:c>
      <x:c r="J370" s="83" t="str">
        <x:v>Contesto / metodologia</x:v>
      </x:c>
      <x:c r="K370" s="83" t="str">
        <x:v>P2 - contesto/validazione</x:v>
      </x:c>
      <x:c r="L370" s="83" t="str">
        <x:v>Figura o mappa; lettura etichette / eventuale digitalizzazione</x:v>
      </x:c>
      <x:c r="M370" s="83" t="str">
        <x:v>Medio</x:v>
      </x:c>
      <x:c r="N370" s="83" t="str">
        <x:v>Da verificare in Fase 3</x:v>
      </x:c>
    </x:row>
    <x:row r="371">
      <x:c r="A371" s="83" t="str">
        <x:v>S01-FIG-46-70</x:v>
      </x:c>
      <x:c r="B371" s="83" t="str">
        <x:v>S01</x:v>
      </x:c>
      <x:c r="C371" s="83" t="str">
        <x:v>Stato del sistema elettrico e scenari energetici</x:v>
      </x:c>
      <x:c r="D371" s="83" t="str">
        <x:v>Figura</x:v>
      </x:c>
      <x:c r="E371" s="83" t="str">
        <x:v>46</x:v>
      </x:c>
      <x:c r="F371" s="83" t="n">
        <x:v>70</x:v>
      </x:c>
      <x:c r="G371" s="83" t="n">
        <x:v>68</x:v>
      </x:c>
      <x:c r="H371" s="83" t="str">
        <x:v>4. Impatti sul sistema elettrico</x:v>
      </x:c>
      <x:c r="I371" s="83" t="str">
        <x:v>Figura 46 Piano Installazioni Piano Sicurezza</x:v>
      </x:c>
      <x:c r="J371" s="83" t="str">
        <x:v>Contesto / metodologia</x:v>
      </x:c>
      <x:c r="K371" s="83" t="str">
        <x:v>P2 - contesto/validazione</x:v>
      </x:c>
      <x:c r="L371" s="83" t="str">
        <x:v>Figura o mappa; lettura etichette / eventuale digitalizzazione</x:v>
      </x:c>
      <x:c r="M371" s="83" t="str">
        <x:v>Medio</x:v>
      </x:c>
      <x:c r="N371" s="83" t="str">
        <x:v>Da verificare in Fase 3</x:v>
      </x:c>
    </x:row>
    <x:row r="372">
      <x:c r="A372" s="83" t="str">
        <x:v>S01-TAB-6-71</x:v>
      </x:c>
      <x:c r="B372" s="83" t="str">
        <x:v>S01</x:v>
      </x:c>
      <x:c r="C372" s="83" t="str">
        <x:v>Stato del sistema elettrico e scenari energetici</x:v>
      </x:c>
      <x:c r="D372" s="83" t="str">
        <x:v>Tabella</x:v>
      </x:c>
      <x:c r="E372" s="83" t="str">
        <x:v>6</x:v>
      </x:c>
      <x:c r="F372" s="83" t="n">
        <x:v>71</x:v>
      </x:c>
      <x:c r="G372" s="83" t="n">
        <x:v>69</x:v>
      </x:c>
      <x:c r="H372" s="83" t="str">
        <x:v>4. Impatti sul sistema elettrico</x:v>
      </x:c>
      <x:c r="I372" s="83" t="str">
        <x:v>Tabella 6 Interventi Piano Sicurezza 2024</x:v>
      </x:c>
      <x:c r="J372" s="83" t="str">
        <x:v>Contesto / metodologia</x:v>
      </x:c>
      <x:c r="K372" s="83" t="str">
        <x:v>P2 - contesto/validazione</x:v>
      </x:c>
      <x:c r="L372" s="83" t="str">
        <x:v>Tabella testuale/PDF</x:v>
      </x:c>
      <x:c r="M372" s="83" t="str">
        <x:v>Basso</x:v>
      </x:c>
      <x:c r="N372" s="83" t="str">
        <x:v>Da verificare in Fase 3</x:v>
      </x:c>
    </x:row>
    <x:row r="373">
      <x:c r="A373" s="83" t="str">
        <x:v>S01-FIG-47-73</x:v>
      </x:c>
      <x:c r="B373" s="83" t="str">
        <x:v>S01</x:v>
      </x:c>
      <x:c r="C373" s="83" t="str">
        <x:v>Stato del sistema elettrico e scenari energetici</x:v>
      </x:c>
      <x:c r="D373" s="83" t="str">
        <x:v>Figura</x:v>
      </x:c>
      <x:c r="E373" s="83" t="str">
        <x:v>47</x:v>
      </x:c>
      <x:c r="F373" s="83" t="n">
        <x:v>73</x:v>
      </x:c>
      <x:c r="G373" s="83" t="n">
        <x:v>71</x:v>
      </x:c>
      <x:c r="H373" s="83" t="str">
        <x:v>4. Impatti sul sistema elettrico</x:v>
      </x:c>
      <x:c r="I373" s="83" t="str">
        <x:v>Figura 47 Metodologia Resilienza</x:v>
      </x:c>
      <x:c r="J373" s="83" t="str">
        <x:v>Contesto / metodologia</x:v>
      </x:c>
      <x:c r="K373" s="83" t="str">
        <x:v>P2 - contesto/validazione</x:v>
      </x:c>
      <x:c r="L373" s="83" t="str">
        <x:v>Figura o mappa; lettura etichette / eventuale digitalizzazione</x:v>
      </x:c>
      <x:c r="M373" s="83" t="str">
        <x:v>Medio</x:v>
      </x:c>
      <x:c r="N373" s="83" t="str">
        <x:v>Da verificare in Fase 3</x:v>
      </x:c>
    </x:row>
    <x:row r="374">
      <x:c r="A374" s="83" t="str">
        <x:v>S01-TAB-7-81</x:v>
      </x:c>
      <x:c r="B374" s="83" t="str">
        <x:v>S01</x:v>
      </x:c>
      <x:c r="C374" s="83" t="str">
        <x:v>Stato del sistema elettrico e scenari energetici</x:v>
      </x:c>
      <x:c r="D374" s="83" t="str">
        <x:v>Tabella</x:v>
      </x:c>
      <x:c r="E374" s="83" t="str">
        <x:v>7</x:v>
      </x:c>
      <x:c r="F374" s="83" t="n">
        <x:v>81</x:v>
      </x:c>
      <x:c r="G374" s="83" t="n">
        <x:v>79</x:v>
      </x:c>
      <x:c r="H374" s="83" t="str">
        <x:v>4. Impatti sul sistema elettrico</x:v>
      </x:c>
      <x:c r="I374" s="83" t="str">
        <x:v>Tabella 7 Dispositivi Organi di manovra su palo (OMP)</x:v>
      </x:c>
      <x:c r="J374" s="83" t="str">
        <x:v>Contesto / metodologia</x:v>
      </x:c>
      <x:c r="K374" s="83" t="str">
        <x:v>P2 - contesto/validazione</x:v>
      </x:c>
      <x:c r="L374" s="83" t="str">
        <x:v>Tabella testuale/PDF</x:v>
      </x:c>
      <x:c r="M374" s="83" t="str">
        <x:v>Basso</x:v>
      </x:c>
      <x:c r="N374" s="83" t="str">
        <x:v>Da verificare in Fase 3</x:v>
      </x:c>
    </x:row>
    <x:row r="375">
      <x:c r="A375" s="83" t="str">
        <x:v>S01-TAB-8-81</x:v>
      </x:c>
      <x:c r="B375" s="83" t="str">
        <x:v>S01</x:v>
      </x:c>
      <x:c r="C375" s="83" t="str">
        <x:v>Stato del sistema elettrico e scenari energetici</x:v>
      </x:c>
      <x:c r="D375" s="83" t="str">
        <x:v>Tabella</x:v>
      </x:c>
      <x:c r="E375" s="83" t="str">
        <x:v>8</x:v>
      </x:c>
      <x:c r="F375" s="83" t="n">
        <x:v>81</x:v>
      </x:c>
      <x:c r="G375" s="83" t="n">
        <x:v>79</x:v>
      </x:c>
      <x:c r="H375" s="83" t="str">
        <x:v>4. Impatti sul sistema elettrico</x:v>
      </x:c>
      <x:c r="I375" s="83" t="str">
        <x:v>Tabella 8 Sezionatori telecondotti</x:v>
      </x:c>
      <x:c r="J375" s="83" t="str">
        <x:v>Contesto / metodologia</x:v>
      </x:c>
      <x:c r="K375" s="83" t="str">
        <x:v>P2 - contesto/validazione</x:v>
      </x:c>
      <x:c r="L375" s="83" t="str">
        <x:v>Tabella testuale/PDF</x:v>
      </x:c>
      <x:c r="M375" s="83" t="str">
        <x:v>Basso</x:v>
      </x:c>
      <x:c r="N375" s="83" t="str">
        <x:v>Da verificare in Fase 3</x:v>
      </x:c>
    </x:row>
    <x:row r="376">
      <x:c r="A376" s="83" t="str">
        <x:v>S01-TAB-9-82</x:v>
      </x:c>
      <x:c r="B376" s="83" t="str">
        <x:v>S01</x:v>
      </x:c>
      <x:c r="C376" s="83" t="str">
        <x:v>Stato del sistema elettrico e scenari energetici</x:v>
      </x:c>
      <x:c r="D376" s="83" t="str">
        <x:v>Tabella</x:v>
      </x:c>
      <x:c r="E376" s="83" t="str">
        <x:v>9</x:v>
      </x:c>
      <x:c r="F376" s="83" t="n">
        <x:v>82</x:v>
      </x:c>
      <x:c r="G376" s="83" t="n">
        <x:v>80</x:v>
      </x:c>
      <x:c r="H376" s="83" t="str">
        <x:v>4. Impatti sul sistema elettrico</x:v>
      </x:c>
      <x:c r="I376" s="83" t="str">
        <x:v>Tabella 9 Installazione batterie di condensatori</x:v>
      </x:c>
      <x:c r="J376" s="83" t="str">
        <x:v>Accumuli e flessibilità</x:v>
      </x:c>
      <x:c r="K376" s="83" t="str">
        <x:v>P1 - input diretto/parametro</x:v>
      </x:c>
      <x:c r="L376" s="83" t="str">
        <x:v>Tabella testuale/PDF</x:v>
      </x:c>
      <x:c r="M376" s="83" t="str">
        <x:v>Basso</x:v>
      </x:c>
      <x:c r="N376" s="83" t="str">
        <x:v>Da verificare in Fase 3</x:v>
      </x:c>
    </x:row>
    <x:row r="377">
      <x:c r="A377" s="83" t="str">
        <x:v>S01-TAB-10-82</x:v>
      </x:c>
      <x:c r="B377" s="83" t="str">
        <x:v>S01</x:v>
      </x:c>
      <x:c r="C377" s="83" t="str">
        <x:v>Stato del sistema elettrico e scenari energetici</x:v>
      </x:c>
      <x:c r="D377" s="83" t="str">
        <x:v>Tabella</x:v>
      </x:c>
      <x:c r="E377" s="83" t="str">
        <x:v>10</x:v>
      </x:c>
      <x:c r="F377" s="83" t="n">
        <x:v>82</x:v>
      </x:c>
      <x:c r="G377" s="83" t="n">
        <x:v>80</x:v>
      </x:c>
      <x:c r="H377" s="83" t="str">
        <x:v>4. Impatti sul sistema elettrico</x:v>
      </x:c>
      <x:c r="I377" s="83" t="str">
        <x:v>Tabella 10 Installazione di reattori</x:v>
      </x:c>
      <x:c r="J377" s="83" t="str">
        <x:v>Contesto / metodologia</x:v>
      </x:c>
      <x:c r="K377" s="83" t="str">
        <x:v>P2 - contesto/validazione</x:v>
      </x:c>
      <x:c r="L377" s="83" t="str">
        <x:v>Tabella testuale/PDF</x:v>
      </x:c>
      <x:c r="M377" s="83" t="str">
        <x:v>Basso</x:v>
      </x:c>
      <x:c r="N377" s="83" t="str">
        <x:v>Da verificare in Fase 3</x:v>
      </x:c>
    </x:row>
    <x:row r="378">
      <x:c r="A378" s="83" t="str">
        <x:v>S01-TAB-11-83</x:v>
      </x:c>
      <x:c r="B378" s="83" t="str">
        <x:v>S01</x:v>
      </x:c>
      <x:c r="C378" s="83" t="str">
        <x:v>Stato del sistema elettrico e scenari energetici</x:v>
      </x:c>
      <x:c r="D378" s="83" t="str">
        <x:v>Tabella</x:v>
      </x:c>
      <x:c r="E378" s="83" t="str">
        <x:v>11</x:v>
      </x:c>
      <x:c r="F378" s="83" t="n">
        <x:v>83</x:v>
      </x:c>
      <x:c r="G378" s="83" t="n">
        <x:v>81</x:v>
      </x:c>
      <x:c r="H378" s="83" t="str">
        <x:v>5. Gli scenari energetici</x:v>
      </x:c>
      <x:c r="I378" s="83" t="str">
        <x:v>Tabella 11 Interventi Piano Sicurezza*</x:v>
      </x:c>
      <x:c r="J378" s="83" t="str">
        <x:v>Contesto / metodologia</x:v>
      </x:c>
      <x:c r="K378" s="83" t="str">
        <x:v>P2 - contesto/validazione</x:v>
      </x:c>
      <x:c r="L378" s="83" t="str">
        <x:v>Tabella testuale/PDF</x:v>
      </x:c>
      <x:c r="M378" s="83" t="str">
        <x:v>Basso</x:v>
      </x:c>
      <x:c r="N378" s="83" t="str">
        <x:v>Da verificare in Fase 3</x:v>
      </x:c>
    </x:row>
    <x:row r="379">
      <x:c r="A379" s="83" t="str">
        <x:v>S01-FIG-48-87</x:v>
      </x:c>
      <x:c r="B379" s="83" t="str">
        <x:v>S01</x:v>
      </x:c>
      <x:c r="C379" s="83" t="str">
        <x:v>Stato del sistema elettrico e scenari energetici</x:v>
      </x:c>
      <x:c r="D379" s="83" t="str">
        <x:v>Figura</x:v>
      </x:c>
      <x:c r="E379" s="83" t="str">
        <x:v>48</x:v>
      </x:c>
      <x:c r="F379" s="83" t="n">
        <x:v>87</x:v>
      </x:c>
      <x:c r="G379" s="83" t="n">
        <x:v>85</x:v>
      </x:c>
      <x:c r="H379" s="83" t="str">
        <x:v>5. Gli scenari energetici</x:v>
      </x:c>
      <x:c r="I379" s="83" t="str">
        <x:v>Figura 48 Catena modellistica del processo di costruzione degli scenari</x:v>
      </x:c>
      <x:c r="J379" s="83" t="str">
        <x:v>Scenario e metodologia</x:v>
      </x:c>
      <x:c r="K379" s="83" t="str">
        <x:v>P2 - contesto/validazione</x:v>
      </x:c>
      <x:c r="L379" s="83" t="str">
        <x:v>Figura o mappa; lettura etichette / eventuale digitalizzazione</x:v>
      </x:c>
      <x:c r="M379" s="83" t="str">
        <x:v>Medio</x:v>
      </x:c>
      <x:c r="N379" s="83" t="str">
        <x:v>Da verificare in Fase 3</x:v>
      </x:c>
    </x:row>
    <x:row r="380">
      <x:c r="A380" s="83" t="str">
        <x:v>S01-TAB-12-88</x:v>
      </x:c>
      <x:c r="B380" s="83" t="str">
        <x:v>S01</x:v>
      </x:c>
      <x:c r="C380" s="83" t="str">
        <x:v>Stato del sistema elettrico e scenari energetici</x:v>
      </x:c>
      <x:c r="D380" s="83" t="str">
        <x:v>Tabella</x:v>
      </x:c>
      <x:c r="E380" s="83" t="str">
        <x:v>12</x:v>
      </x:c>
      <x:c r="F380" s="83" t="n">
        <x:v>88</x:v>
      </x:c>
      <x:c r="G380" s="83" t="n">
        <x:v>86</x:v>
      </x:c>
      <x:c r="H380" s="83" t="str">
        <x:v>5. Gli scenari energetici</x:v>
      </x:c>
      <x:c r="I380" s="83" t="str">
        <x:v>Tabella 12 Ipotesi macroeconomiche e demografiche</x:v>
      </x:c>
      <x:c r="J380" s="83" t="str">
        <x:v>Contesto / metodologia</x:v>
      </x:c>
      <x:c r="K380" s="83" t="str">
        <x:v>P2 - contesto/validazione</x:v>
      </x:c>
      <x:c r="L380" s="83" t="str">
        <x:v>Tabella testuale/PDF</x:v>
      </x:c>
      <x:c r="M380" s="83" t="str">
        <x:v>Basso</x:v>
      </x:c>
      <x:c r="N380" s="83" t="str">
        <x:v>Da verificare in Fase 3</x:v>
      </x:c>
    </x:row>
    <x:row r="381">
      <x:c r="A381" s="83" t="str">
        <x:v>S01-TAB-13-88</x:v>
      </x:c>
      <x:c r="B381" s="83" t="str">
        <x:v>S01</x:v>
      </x:c>
      <x:c r="C381" s="83" t="str">
        <x:v>Stato del sistema elettrico e scenari energetici</x:v>
      </x:c>
      <x:c r="D381" s="83" t="str">
        <x:v>Tabella</x:v>
      </x:c>
      <x:c r="E381" s="83" t="str">
        <x:v>13</x:v>
      </x:c>
      <x:c r="F381" s="83" t="n">
        <x:v>88</x:v>
      </x:c>
      <x:c r="G381" s="83" t="n">
        <x:v>86</x:v>
      </x:c>
      <x:c r="H381" s="83" t="str">
        <x:v>5. Gli scenari energetici</x:v>
      </x:c>
      <x:c r="I381" s="83" t="str">
        <x:v>Tabella 13 Tasso medio di crescita del PIL</x:v>
      </x:c>
      <x:c r="J381" s="83" t="str">
        <x:v>Contesto / metodologia</x:v>
      </x:c>
      <x:c r="K381" s="83" t="str">
        <x:v>P2 - contesto/validazione</x:v>
      </x:c>
      <x:c r="L381" s="83" t="str">
        <x:v>Tabella testuale/PDF</x:v>
      </x:c>
      <x:c r="M381" s="83" t="str">
        <x:v>Basso</x:v>
      </x:c>
      <x:c r="N381" s="83" t="str">
        <x:v>Da verificare in Fase 3</x:v>
      </x:c>
    </x:row>
    <x:row r="382">
      <x:c r="A382" s="83" t="str">
        <x:v>S01-TAB-14-88</x:v>
      </x:c>
      <x:c r="B382" s="83" t="str">
        <x:v>S01</x:v>
      </x:c>
      <x:c r="C382" s="83" t="str">
        <x:v>Stato del sistema elettrico e scenari energetici</x:v>
      </x:c>
      <x:c r="D382" s="83" t="str">
        <x:v>Tabella</x:v>
      </x:c>
      <x:c r="E382" s="83" t="str">
        <x:v>14</x:v>
      </x:c>
      <x:c r="F382" s="83" t="n">
        <x:v>88</x:v>
      </x:c>
      <x:c r="G382" s="83" t="n">
        <x:v>86</x:v>
      </x:c>
      <x:c r="H382" s="83" t="str">
        <x:v>5. Gli scenari energetici</x:v>
      </x:c>
      <x:c r="I382" s="83" t="str">
        <x:v>Tabella 14 Prezzi delle commodity</x:v>
      </x:c>
      <x:c r="J382" s="83" t="str">
        <x:v>Mercato e prezzi</x:v>
      </x:c>
      <x:c r="K382" s="83" t="str">
        <x:v>P1 - input diretto/parametro</x:v>
      </x:c>
      <x:c r="L382" s="83" t="str">
        <x:v>Tabella testuale/PDF</x:v>
      </x:c>
      <x:c r="M382" s="83" t="str">
        <x:v>Basso</x:v>
      </x:c>
      <x:c r="N382" s="83" t="str">
        <x:v>Da verificare in Fase 3</x:v>
      </x:c>
    </x:row>
    <x:row r="383">
      <x:c r="A383" s="83" t="str">
        <x:v>S01-FIG-49-89</x:v>
      </x:c>
      <x:c r="B383" s="83" t="str">
        <x:v>S01</x:v>
      </x:c>
      <x:c r="C383" s="83" t="str">
        <x:v>Stato del sistema elettrico e scenari energetici</x:v>
      </x:c>
      <x:c r="D383" s="83" t="str">
        <x:v>Figura</x:v>
      </x:c>
      <x:c r="E383" s="83" t="str">
        <x:v>49</x:v>
      </x:c>
      <x:c r="F383" s="83" t="n">
        <x:v>89</x:v>
      </x:c>
      <x:c r="G383" s="83" t="n">
        <x:v>87</x:v>
      </x:c>
      <x:c r="H383" s="83" t="str">
        <x:v>5. Gli scenari energetici</x:v>
      </x:c>
      <x:c r="I383" s="83" t="str">
        <x:v>Figura 49 Scenari ENTSOs</x:v>
      </x:c>
      <x:c r="J383" s="83" t="str">
        <x:v>Contesto / metodologia</x:v>
      </x:c>
      <x:c r="K383" s="83" t="str">
        <x:v>P2 - contesto/validazione</x:v>
      </x:c>
      <x:c r="L383" s="83" t="str">
        <x:v>Figura o mappa; lettura etichette / eventuale digitalizzazione</x:v>
      </x:c>
      <x:c r="M383" s="83" t="str">
        <x:v>Medio</x:v>
      </x:c>
      <x:c r="N383" s="83" t="str">
        <x:v>Da verificare in Fase 3</x:v>
      </x:c>
    </x:row>
    <x:row r="384">
      <x:c r="A384" s="83" t="str">
        <x:v>S01-FIG-50-90</x:v>
      </x:c>
      <x:c r="B384" s="83" t="str">
        <x:v>S01</x:v>
      </x:c>
      <x:c r="C384" s="83" t="str">
        <x:v>Stato del sistema elettrico e scenari energetici</x:v>
      </x:c>
      <x:c r="D384" s="83" t="str">
        <x:v>Figura</x:v>
      </x:c>
      <x:c r="E384" s="83" t="str">
        <x:v>50</x:v>
      </x:c>
      <x:c r="F384" s="83" t="n">
        <x:v>90</x:v>
      </x:c>
      <x:c r="G384" s="83" t="n">
        <x:v>88</x:v>
      </x:c>
      <x:c r="H384" s="83" t="str">
        <x:v>5. Gli scenari energetici</x:v>
      </x:c>
      <x:c r="I384" s="83" t="str">
        <x:v>Figura 50 Scenari DDS 2024</x:v>
      </x:c>
      <x:c r="J384" s="83" t="str">
        <x:v>Scenario e metodologia</x:v>
      </x:c>
      <x:c r="K384" s="83" t="str">
        <x:v>P2 - contesto/validazione</x:v>
      </x:c>
      <x:c r="L384" s="83" t="str">
        <x:v>Figura o mappa; lettura etichette / eventuale digitalizzazione</x:v>
      </x:c>
      <x:c r="M384" s="83" t="str">
        <x:v>Medio</x:v>
      </x:c>
      <x:c r="N384" s="83" t="str">
        <x:v>Da verificare in Fase 3</x:v>
      </x:c>
    </x:row>
    <x:row r="385">
      <x:c r="A385" s="83" t="str">
        <x:v>S01-FIG-51-91</x:v>
      </x:c>
      <x:c r="B385" s="83" t="str">
        <x:v>S01</x:v>
      </x:c>
      <x:c r="C385" s="83" t="str">
        <x:v>Stato del sistema elettrico e scenari energetici</x:v>
      </x:c>
      <x:c r="D385" s="83" t="str">
        <x:v>Figura</x:v>
      </x:c>
      <x:c r="E385" s="83" t="str">
        <x:v>51</x:v>
      </x:c>
      <x:c r="F385" s="83" t="n">
        <x:v>91</x:v>
      </x:c>
      <x:c r="G385" s="83" t="n">
        <x:v>89</x:v>
      </x:c>
      <x:c r="H385" s="83" t="str">
        <x:v>5. Gli scenari energetici</x:v>
      </x:c>
      <x:c r="I385" s="83" t="str">
        <x:v>Figura 51 Evoluzione storica e prospettica del fabbisogno elettrico italiano (TWh)</x:v>
      </x:c>
      <x:c r="J385" s="83" t="str">
        <x:v>Domanda e consumi</x:v>
      </x:c>
      <x:c r="K385" s="83" t="str">
        <x:v>P1 - input diretto/parametro</x:v>
      </x:c>
      <x:c r="L385" s="83" t="str">
        <x:v>Figura o mappa; lettura etichette / eventuale digitalizzazione</x:v>
      </x:c>
      <x:c r="M385" s="83" t="str">
        <x:v>Medio</x:v>
      </x:c>
      <x:c r="N385" s="83" t="str">
        <x:v>Da verificare in Fase 3</x:v>
      </x:c>
    </x:row>
    <x:row r="386">
      <x:c r="A386" s="83" t="str">
        <x:v>S01-TAB-15-92</x:v>
      </x:c>
      <x:c r="B386" s="83" t="str">
        <x:v>S01</x:v>
      </x:c>
      <x:c r="C386" s="83" t="str">
        <x:v>Stato del sistema elettrico e scenari energetici</x:v>
      </x:c>
      <x:c r="D386" s="83" t="str">
        <x:v>Tabella</x:v>
      </x:c>
      <x:c r="E386" s="83" t="str">
        <x:v>15</x:v>
      </x:c>
      <x:c r="F386" s="83" t="n">
        <x:v>92</x:v>
      </x:c>
      <x:c r="G386" s="83" t="n">
        <x:v>90</x:v>
      </x:c>
      <x:c r="H386" s="83" t="str">
        <x:v>5. Gli scenari energetici</x:v>
      </x:c>
      <x:c r="I386" s="83" t="str">
        <x:v>Tabella 15 Evoluzione del fabbisogno elettrico per gli scenari PNIEC Policy, PNIEC Slow e DE-IT (TWh)</x:v>
      </x:c>
      <x:c r="J386" s="83" t="str">
        <x:v>Domanda e consumi; Scenario e metodologia</x:v>
      </x:c>
      <x:c r="K386" s="83" t="str">
        <x:v>P1 - input diretto/parametro</x:v>
      </x:c>
      <x:c r="L386" s="83" t="str">
        <x:v>Tabella testuale/PDF</x:v>
      </x:c>
      <x:c r="M386" s="83" t="str">
        <x:v>Basso</x:v>
      </x:c>
      <x:c r="N386" s="83" t="str">
        <x:v>Da verificare in Fase 3</x:v>
      </x:c>
    </x:row>
    <x:row r="387">
      <x:c r="A387" s="83" t="str">
        <x:v>S01-FIG-52-93</x:v>
      </x:c>
      <x:c r="B387" s="83" t="str">
        <x:v>S01</x:v>
      </x:c>
      <x:c r="C387" s="83" t="str">
        <x:v>Stato del sistema elettrico e scenari energetici</x:v>
      </x:c>
      <x:c r="D387" s="83" t="str">
        <x:v>Figura</x:v>
      </x:c>
      <x:c r="E387" s="83" t="str">
        <x:v>52</x:v>
      </x:c>
      <x:c r="F387" s="83" t="n">
        <x:v>93</x:v>
      </x:c>
      <x:c r="G387" s="83" t="n">
        <x:v>91</x:v>
      </x:c>
      <x:c r="H387" s="83" t="str">
        <x:v>5. Gli scenari energetici</x:v>
      </x:c>
      <x:c r="I387" s="83" t="str">
        <x:v>Figura 52 Evoluzione della capacità eolica e solare [GW]</x:v>
      </x:c>
      <x:c r="J387" s="83" t="str">
        <x:v>Capacità e generazione</x:v>
      </x:c>
      <x:c r="K387" s="83" t="str">
        <x:v>P2 - contesto/validazione</x:v>
      </x:c>
      <x:c r="L387" s="83" t="str">
        <x:v>Figura o mappa; lettura etichette / eventuale digitalizzazione</x:v>
      </x:c>
      <x:c r="M387" s="83" t="str">
        <x:v>Medio</x:v>
      </x:c>
      <x:c r="N387" s="83" t="str">
        <x:v>Da verificare in Fase 3</x:v>
      </x:c>
    </x:row>
    <x:row r="388">
      <x:c r="A388" s="83" t="str">
        <x:v>S01-FIG-53-93</x:v>
      </x:c>
      <x:c r="B388" s="83" t="str">
        <x:v>S01</x:v>
      </x:c>
      <x:c r="C388" s="83" t="str">
        <x:v>Stato del sistema elettrico e scenari energetici</x:v>
      </x:c>
      <x:c r="D388" s="83" t="str">
        <x:v>Figura</x:v>
      </x:c>
      <x:c r="E388" s="83" t="str">
        <x:v>53</x:v>
      </x:c>
      <x:c r="F388" s="83" t="n">
        <x:v>93</x:v>
      </x:c>
      <x:c r="G388" s="83" t="n">
        <x:v>91</x:v>
      </x:c>
      <x:c r="H388" s="83" t="str">
        <x:v>5. Gli scenari energetici</x:v>
      </x:c>
      <x:c r="I388" s="83" t="str">
        <x:v>Figura 53 Evoluzione della capacità energetica degli accumuli al netto dei pompaggi esistenti (GWh)</x:v>
      </x:c>
      <x:c r="J388" s="83" t="str">
        <x:v>Accumuli e flessibilità</x:v>
      </x:c>
      <x:c r="K388" s="83" t="str">
        <x:v>P1 - input diretto/parametro</x:v>
      </x:c>
      <x:c r="L388" s="83" t="str">
        <x:v>Figura o mappa; lettura etichette / eventuale digitalizzazione</x:v>
      </x:c>
      <x:c r="M388" s="83" t="str">
        <x:v>Medio</x:v>
      </x:c>
      <x:c r="N388" s="83" t="str">
        <x:v>Da verificare in Fase 3</x:v>
      </x:c>
    </x:row>
    <x:row r="389">
      <x:c r="A389" s="83" t="str">
        <x:v>S01-FIG-54-95</x:v>
      </x:c>
      <x:c r="B389" s="83" t="str">
        <x:v>S01</x:v>
      </x:c>
      <x:c r="C389" s="83" t="str">
        <x:v>Stato del sistema elettrico e scenari energetici</x:v>
      </x:c>
      <x:c r="D389" s="83" t="str">
        <x:v>Figura</x:v>
      </x:c>
      <x:c r="E389" s="83" t="str">
        <x:v>54</x:v>
      </x:c>
      <x:c r="F389" s="83" t="n">
        <x:v>95</x:v>
      </x:c>
      <x:c r="G389" s="83" t="n">
        <x:v>93</x:v>
      </x:c>
      <x:c r="H389" s="83" t="str">
        <x:v>5. Gli scenari energetici</x:v>
      </x:c>
      <x:c r="I389" s="83" t="str">
        <x:v>Figura 54 Dettaglio evoluzione capacità eolica e solare (GW) e capacità accumuli al netto dei pompaggi</x:v>
      </x:c>
      <x:c r="J389" s="83" t="str">
        <x:v>Capacità e generazione; Accumuli e flessibilità</x:v>
      </x:c>
      <x:c r="K389" s="83" t="str">
        <x:v>P1 - input diretto/parametro</x:v>
      </x:c>
      <x:c r="L389" s="83" t="str">
        <x:v>Figura o mappa; lettura etichette / eventuale digitalizzazione</x:v>
      </x:c>
      <x:c r="M389" s="83" t="str">
        <x:v>Medio</x:v>
      </x:c>
      <x:c r="N389" s="83" t="str">
        <x:v>Da verificare in Fase 3</x:v>
      </x:c>
    </x:row>
    <x:row r="390">
      <x:c r="A390" s="83" t="str">
        <x:v>S01-FIG-55-96</x:v>
      </x:c>
      <x:c r="B390" s="83" t="str">
        <x:v>S01</x:v>
      </x:c>
      <x:c r="C390" s="83" t="str">
        <x:v>Stato del sistema elettrico e scenari energetici</x:v>
      </x:c>
      <x:c r="D390" s="83" t="str">
        <x:v>Figura</x:v>
      </x:c>
      <x:c r="E390" s="83" t="str">
        <x:v>55</x:v>
      </x:c>
      <x:c r="F390" s="83" t="n">
        <x:v>96</x:v>
      </x:c>
      <x:c r="G390" s="83" t="n">
        <x:v>94</x:v>
      </x:c>
      <x:c r="H390" s="83" t="str">
        <x:v>5. Gli scenari energetici</x:v>
      </x:c>
      <x:c r="I390" s="83" t="str">
        <x:v>Figura 55 Evoluzione della capacità degli elettrolizzatori negli scenari (GW_el)</x:v>
      </x:c>
      <x:c r="J390" s="83" t="str">
        <x:v>Contesto / metodologia</x:v>
      </x:c>
      <x:c r="K390" s="83" t="str">
        <x:v>P2 - contesto/validazione</x:v>
      </x:c>
      <x:c r="L390" s="83" t="str">
        <x:v>Figura o mappa; lettura etichette / eventuale digitalizzazione</x:v>
      </x:c>
      <x:c r="M390" s="83" t="str">
        <x:v>Medio</x:v>
      </x:c>
      <x:c r="N390" s="83" t="str">
        <x:v>Da verificare in Fase 3</x:v>
      </x:c>
    </x:row>
    <x:row r="391">
      <x:c r="A391" s="83" t="str">
        <x:v>S01-TAB-16-97</x:v>
      </x:c>
      <x:c r="B391" s="83" t="str">
        <x:v>S01</x:v>
      </x:c>
      <x:c r="C391" s="83" t="str">
        <x:v>Stato del sistema elettrico e scenari energetici</x:v>
      </x:c>
      <x:c r="D391" s="83" t="str">
        <x:v>Tabella</x:v>
      </x:c>
      <x:c r="E391" s="83" t="str">
        <x:v>16</x:v>
      </x:c>
      <x:c r="F391" s="83" t="n">
        <x:v>97</x:v>
      </x:c>
      <x:c r="G391" s="83" t="n">
        <x:v>95</x:v>
      </x:c>
      <x:c r="H391" s="83" t="str">
        <x:v>5. Gli scenari energetici</x:v>
      </x:c>
      <x:c r="I391" s="83" t="str">
        <x:v>Tabella 16 Dettaglio del bilancio elettrico (PNIEC Policy, PNIEC Slow, DE-IT)</x:v>
      </x:c>
      <x:c r="J391" s="83" t="str">
        <x:v>Scenario e metodologia</x:v>
      </x:c>
      <x:c r="K391" s="83" t="str">
        <x:v>P1 - input diretto/parametro</x:v>
      </x:c>
      <x:c r="L391" s="83" t="str">
        <x:v>Tabella testuale/PDF</x:v>
      </x:c>
      <x:c r="M391" s="83" t="str">
        <x:v>Basso</x:v>
      </x:c>
      <x:c r="N391" s="83" t="str">
        <x:v>Da verificare in Fase 3</x:v>
      </x:c>
    </x:row>
    <x:row r="392">
      <x:c r="A392" s="83" t="str">
        <x:v>S01-FIG-56-98</x:v>
      </x:c>
      <x:c r="B392" s="83" t="str">
        <x:v>S01</x:v>
      </x:c>
      <x:c r="C392" s="83" t="str">
        <x:v>Stato del sistema elettrico e scenari energetici</x:v>
      </x:c>
      <x:c r="D392" s="83" t="str">
        <x:v>Figura</x:v>
      </x:c>
      <x:c r="E392" s="83" t="str">
        <x:v>56</x:v>
      </x:c>
      <x:c r="F392" s="83" t="n">
        <x:v>98</x:v>
      </x:c>
      <x:c r="G392" s="83" t="n">
        <x:v>96</x:v>
      </x:c>
      <x:c r="H392" s="83" t="str">
        <x:v>5. Gli scenari energetici</x:v>
      </x:c>
      <x:c r="I392" s="83" t="str">
        <x:v>Figura 56 Carico residuo medio (MWh) e movimentazioni accumuli medie (%) per il 2030 e il 2040</x:v>
      </x:c>
      <x:c r="J392" s="83" t="str">
        <x:v>Domanda e consumi; Accumuli e flessibilità</x:v>
      </x:c>
      <x:c r="K392" s="83" t="str">
        <x:v>P1 - input diretto/parametro</x:v>
      </x:c>
      <x:c r="L392" s="83" t="str">
        <x:v>Figura o mappa; lettura etichette / eventuale digitalizzazione</x:v>
      </x:c>
      <x:c r="M392" s="83" t="str">
        <x:v>Medio</x:v>
      </x:c>
      <x:c r="N392" s="83" t="str">
        <x:v>Da verificare in Fase 3</x:v>
      </x:c>
    </x:row>
  </x:sheetData>
  <x:mergeCells>
    <x:mergeCell ref="A1:N1"/>
    <x:mergeCell ref="A2:N2"/>
  </x:mergeCells>
  <x:conditionalFormatting sqref="K5:K392">
    <x:cfRule type="expression" dxfId="5" priority="1">
      <x:formula>LEFT(K5,2)="P1"</x:formula>
    </x:cfRule>
    <x:cfRule type="expression" dxfId="6" priority="2">
      <x:formula>LEFT(K5,2)="P2"</x:formula>
    </x:cfRule>
  </x:conditionalFormatting>
  <x:conditionalFormatting sqref="M5:M392">
    <x:cfRule type="expression" dxfId="7" priority="3">
      <x:formula>M5="Medio"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22cdea07e341c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42" hidden="0" customWidth="1"/>
    <x:col min="3" max="3" width="24" hidden="0" customWidth="1"/>
    <x:col min="4" max="4" width="14" hidden="0" customWidth="1"/>
    <x:col min="5" max="5" width="24" hidden="0" customWidth="1"/>
    <x:col min="6" max="6" width="34" hidden="0" customWidth="1"/>
    <x:col min="7" max="7" width="52" hidden="0" customWidth="1"/>
    <x:col min="8" max="8" width="12" hidden="0" customWidth="1"/>
    <x:col min="9" max="9" width="28" hidden="0" customWidth="1"/>
  </x:cols>
  <x:sheetData>
    <x:row r="1" ht="34" customHeight="1">
      <x:c r="A1" s="5" t="str">
        <x:v>Registro dei riferimenti esterni citati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3" t="str">
        <x:v>45 fonti, portali, atti e dataset rilevanti per il modello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82" t="str">
        <x:v>Ref ID</x:v>
      </x:c>
      <x:c r="B4" s="82" t="str">
        <x:v>Riferimento</x:v>
      </x:c>
      <x:c r="C4" s="82" t="str">
        <x:v>Editore</x:v>
      </x:c>
      <x:c r="D4" s="82" t="str">
        <x:v>Anno</x:v>
      </x:c>
      <x:c r="E4" s="82" t="str">
        <x:v>Tipo</x:v>
      </x:c>
      <x:c r="F4" s="82" t="str">
        <x:v>Citato in</x:v>
      </x:c>
      <x:c r="G4" s="82" t="str">
        <x:v>Uso previsto</x:v>
      </x:c>
      <x:c r="H4" s="82" t="str">
        <x:v>Priorità</x:v>
      </x:c>
      <x:c r="I4" s="82" t="str">
        <x:v>Stato</x:v>
      </x:c>
    </x:row>
    <x:row r="5">
      <x:c r="A5" s="83" t="str">
        <x:v>R01</x:v>
      </x:c>
      <x:c r="B5" s="83" t="str">
        <x:v>Documento di Descrizione degli Scenari 2024 (DDS 2024)</x:v>
      </x:c>
      <x:c r="C5" s="83" t="str">
        <x:v>Terna e Snam</x:v>
      </x:c>
      <x:c r="D5" s="83" t="str">
        <x:v>2024</x:v>
      </x:c>
      <x:c r="E5" s="83" t="str">
        <x:v>Scenario tecnico</x:v>
      </x:c>
      <x:c r="F5" s="83" t="str">
        <x:v>S01 pp.84-96; S02 pp.13-15; S03; S04; S07 pp.28-32</x:v>
      </x:c>
      <x:c r="G5" s="83" t="str">
        <x:v>Fonte primaria da acquisire per scenari 2030-2040, ipotesi macro/commodity, DE-IT/GA-IT e disaggregazioni.</x:v>
      </x:c>
      <x:c r="H5" s="83" t="str">
        <x:v>Critica</x:v>
      </x:c>
      <x:c r="I5" s="131" t="str">
        <x:v>Acquisito / presente come S09</x:v>
      </x:c>
    </x:row>
    <x:row r="6">
      <x:c r="A6" s="83" t="str">
        <x:v>R02</x:v>
      </x:c>
      <x:c r="B6" s="83" t="str">
        <x:v>Piano Nazionale Integrato per l'Energia e il Clima (PNIEC)</x:v>
      </x:c>
      <x:c r="C6" s="83" t="str">
        <x:v>MASE</x:v>
      </x:c>
      <x:c r="D6" s="83" t="str">
        <x:v>2024</x:v>
      </x:c>
      <x:c r="E6" s="83" t="str">
        <x:v>Policy/scenario</x:v>
      </x:c>
      <x:c r="F6" s="83" t="str">
        <x:v>Tutti i fascicoli Terna; presente come S08</x:v>
      </x:c>
      <x:c r="G6" s="83" t="str">
        <x:v>Target 2030, traiettorie, domanda e base analitica; cross-check 2040/2050.</x:v>
      </x:c>
      <x:c r="H6" s="83" t="str">
        <x:v>Critica</x:v>
      </x:c>
      <x:c r="I6" s="83" t="str">
        <x:v>Già nel corpus (S08)</x:v>
      </x:c>
    </x:row>
    <x:row r="7">
      <x:c r="A7" s="83" t="str">
        <x:v>R03</x:v>
      </x:c>
      <x:c r="B7" s="83" t="str">
        <x:v>TYNDP e scenari congiunti ENTSO-E/ENTSOG</x:v>
      </x:c>
      <x:c r="C7" s="83" t="str">
        <x:v>ENTSO-E / ENTSOG</x:v>
      </x:c>
      <x:c r="D7" s="83" t="str">
        <x:v>2024 e versioni citate</x:v>
      </x:c>
      <x:c r="E7" s="83" t="str">
        <x:v>Scenario europeo e rete</x:v>
      </x:c>
      <x:c r="F7" s="83" t="str">
        <x:v>S01 pp.87-91; S05 pp.59-63; S06 pp.27-36; S08 pp.413-414</x:v>
      </x:c>
      <x:c r="G7" s="83" t="str">
        <x:v>Contesto estero, scenari europei DE/GA, interconnessioni e coerenza transfrontaliera.</x:v>
      </x:c>
      <x:c r="H7" s="83" t="str">
        <x:v>Alta</x:v>
      </x:c>
      <x:c r="I7" s="83" t="str">
        <x:v>Da acquisire</x:v>
      </x:c>
    </x:row>
    <x:row r="8">
      <x:c r="A8" s="83" t="str">
        <x:v>R04</x:v>
      </x:c>
      <x:c r="B8" s="83" t="str">
        <x:v>Regolamento (UE) 2022/869 TEN-E e liste PCI/PMI</x:v>
      </x:c>
      <x:c r="C8" s="83" t="str">
        <x:v>Unione europea</x:v>
      </x:c>
      <x:c r="D8" s="83" t="str">
        <x:v>2022 e aggiornamenti</x:v>
      </x:c>
      <x:c r="E8" s="83" t="str">
        <x:v>Normativa infrastrutture</x:v>
      </x:c>
      <x:c r="F8" s="83" t="str">
        <x:v>S06 cap.3; S05 cap.5; S08 cap.3.4</x:v>
      </x:c>
      <x:c r="G8" s="83" t="str">
        <x:v>Status e perimetro dei progetti transfrontalieri.</x:v>
      </x:c>
      <x:c r="H8" s="83" t="str">
        <x:v>Media</x:v>
      </x:c>
      <x:c r="I8" s="83" t="str">
        <x:v>Da registrare; acquisizione selettiva</x:v>
      </x:c>
    </x:row>
    <x:row r="9">
      <x:c r="A9" s="83" t="str">
        <x:v>R05</x:v>
      </x:c>
      <x:c r="B9" s="83" t="str">
        <x:v>Delibera ARERA 392/2024</x:v>
      </x:c>
      <x:c r="C9" s="83" t="str">
        <x:v>ARERA</x:v>
      </x:c>
      <x:c r="D9" s="83" t="str">
        <x:v>2024</x:v>
      </x:c>
      <x:c r="E9" s="83" t="str">
        <x:v>Atto regolatorio</x:v>
      </x:c>
      <x:c r="F9" s="83" t="str">
        <x:v>S07 pp.2, 6</x:v>
      </x:c>
      <x:c r="G9" s="83" t="str">
        <x:v>Base giuridica e perimetro delle note 2050.</x:v>
      </x:c>
      <x:c r="H9" s="83" t="str">
        <x:v>Media</x:v>
      </x:c>
      <x:c r="I9" s="83" t="str">
        <x:v>Da acquisire</x:v>
      </x:c>
    </x:row>
    <x:row r="10">
      <x:c r="A10" s="83" t="str">
        <x:v>R06</x:v>
      </x:c>
      <x:c r="B10" s="83" t="str">
        <x:v>Delibere ARERA 654/2017/R/eel e 689/2017/R/gas</x:v>
      </x:c>
      <x:c r="C10" s="83" t="str">
        <x:v>ARERA</x:v>
      </x:c>
      <x:c r="D10" s="83" t="str">
        <x:v>2017</x:v>
      </x:c>
      <x:c r="E10" s="83" t="str">
        <x:v>Atto regolatorio</x:v>
      </x:c>
      <x:c r="F10" s="83" t="str">
        <x:v>S07 cap.3.1; DDS 2024 richiamato</x:v>
      </x:c>
      <x:c r="G10" s="83" t="str">
        <x:v>Mandato metodologico degli scenari congiunti Terna-Snam.</x:v>
      </x:c>
      <x:c r="H10" s="83" t="str">
        <x:v>Media</x:v>
      </x:c>
      <x:c r="I10" s="83" t="str">
        <x:v>Da acquisire</x:v>
      </x:c>
    </x:row>
    <x:row r="11">
      <x:c r="A11" s="83" t="str">
        <x:v>R07</x:v>
      </x:c>
      <x:c r="B11" s="83" t="str">
        <x:v>DM 21 giugno 2024 - disciplina delle aree idonee</x:v>
      </x:c>
      <x:c r="C11" s="83" t="str">
        <x:v>MASE</x:v>
      </x:c>
      <x:c r="D11" s="83" t="str">
        <x:v>2024</x:v>
      </x:c>
      <x:c r="E11" s="83" t="str">
        <x:v>Policy territoriale</x:v>
      </x:c>
      <x:c r="F11" s="83" t="str">
        <x:v>S02 p.5; S03; S04; S01 p.94</x:v>
      </x:c>
      <x:c r="G11" s="83" t="str">
        <x:v>Ripartizione territoriale dei target FER; potenziale proxy regione-zona.</x:v>
      </x:c>
      <x:c r="H11" s="83" t="str">
        <x:v>Alta</x:v>
      </x:c>
      <x:c r="I11" s="83" t="str">
        <x:v>Da acquisire e verificare stato giuridico</x:v>
      </x:c>
    </x:row>
    <x:row r="12">
      <x:c r="A12" s="83" t="str">
        <x:v>R08</x:v>
      </x:c>
      <x:c r="B12" s="83" t="str">
        <x:v>Strategia Nazionale Idrogeno</x:v>
      </x:c>
      <x:c r="C12" s="83" t="str">
        <x:v>MASE</x:v>
      </x:c>
      <x:c r="D12" s="83" t="str">
        <x:v>2024</x:v>
      </x:c>
      <x:c r="E12" s="83" t="str">
        <x:v>Strategia settoriale</x:v>
      </x:c>
      <x:c r="F12" s="83" t="str">
        <x:v>S07 pp.6, 53; S08 p.32</x:v>
      </x:c>
      <x:c r="G12" s="83" t="str">
        <x:v>Domanda elettrica degli elettrolizzatori e traiettorie H2.</x:v>
      </x:c>
      <x:c r="H12" s="83" t="str">
        <x:v>Alta</x:v>
      </x:c>
      <x:c r="I12" s="83" t="str">
        <x:v>Da acquisire</x:v>
      </x:c>
    </x:row>
    <x:row r="13">
      <x:c r="A13" s="83" t="str">
        <x:v>R09</x:v>
      </x:c>
      <x:c r="B13" s="83" t="str">
        <x:v>Strategia Italiana di Lungo Termine</x:v>
      </x:c>
      <x:c r="C13" s="83" t="str">
        <x:v>Governo italiano / MASE</x:v>
      </x:c>
      <x:c r="D13" s="83" t="str">
        <x:v>2021</x:v>
      </x:c>
      <x:c r="E13" s="83" t="str">
        <x:v>Scenario 2050</x:v>
      </x:c>
      <x:c r="F13" s="83" t="str">
        <x:v>S07 p.6; S08 pp.88, 91, 190</x:v>
      </x:c>
      <x:c r="G13" s="83" t="str">
        <x:v>Cross-check neutralità climatica e scenari 2050.</x:v>
      </x:c>
      <x:c r="H13" s="83" t="str">
        <x:v>Alta</x:v>
      </x:c>
      <x:c r="I13" s="83" t="str">
        <x:v>Da acquisire; verificare aggiornamento</x:v>
      </x:c>
    </x:row>
    <x:row r="14">
      <x:c r="A14" s="83" t="str">
        <x:v>R10</x:v>
      </x:c>
      <x:c r="B14" s="83" t="str">
        <x:v>Piattaforma Nazionale per un Nucleare Sostenibile e relativi dati</x:v>
      </x:c>
      <x:c r="C14" s="83" t="str">
        <x:v>MASE</x:v>
      </x:c>
      <x:c r="D14" s="83" t="str">
        <x:v>2023-2024</x:v>
      </x:c>
      <x:c r="E14" s="83" t="str">
        <x:v>Scenario tecnologico</x:v>
      </x:c>
      <x:c r="F14" s="83" t="str">
        <x:v>S08 pp.8, 91-95</x:v>
      </x:c>
      <x:c r="G14" s="83" t="str">
        <x:v>Ipotesi di capacità e generazione nucleare 2035-2050.</x:v>
      </x:c>
      <x:c r="H14" s="83" t="str">
        <x:v>Alta</x:v>
      </x:c>
      <x:c r="I14" s="83" t="str">
        <x:v>Da individuare/acquisire</x:v>
      </x:c>
    </x:row>
    <x:row r="15">
      <x:c r="A15" s="83" t="str">
        <x:v>R11</x:v>
      </x:c>
      <x:c r="B15" s="83" t="str">
        <x:v>Annuario Statistico Terna</x:v>
      </x:c>
      <x:c r="C15" s="83" t="str">
        <x:v>Terna</x:v>
      </x:c>
      <x:c r="D15" s="83" t="str">
        <x:v>anni vari, ultimo disponibile</x:v>
      </x:c>
      <x:c r="E15" s="83" t="str">
        <x:v>Dataset storico</x:v>
      </x:c>
      <x:c r="F15" s="83" t="str">
        <x:v>S07 p.19; S01 cap.2</x:v>
      </x:c>
      <x:c r="G15" s="83" t="str">
        <x:v>Capacità e produzione storica per tecnologia; baseline e calibrazione.</x:v>
      </x:c>
      <x:c r="H15" s="83" t="str">
        <x:v>Critica</x:v>
      </x:c>
      <x:c r="I15" s="83" t="str">
        <x:v>Da acquisire in formato elaborabile</x:v>
      </x:c>
    </x:row>
    <x:row r="16">
      <x:c r="A16" s="83" t="str">
        <x:v>R12</x:v>
      </x:c>
      <x:c r="B16" s="83" t="str">
        <x:v>Portale Dati Terna</x:v>
      </x:c>
      <x:c r="C16" s="83" t="str">
        <x:v>Terna</x:v>
      </x:c>
      <x:c r="D16" s="83" t="str">
        <x:v>continuo</x:v>
      </x:c>
      <x:c r="E16" s="83" t="str">
        <x:v>Portale dati</x:v>
      </x:c>
      <x:c r="F16" s="83" t="str">
        <x:v>S01 pp.27-28</x:v>
      </x:c>
      <x:c r="G16" s="83" t="str">
        <x:v>Serie storiche di capacità, produzione, domanda, scambi e mercato.</x:v>
      </x:c>
      <x:c r="H16" s="83" t="str">
        <x:v>Critica</x:v>
      </x:c>
      <x:c r="I16" s="83" t="str">
        <x:v>Accesso/dataset da testare</x:v>
      </x:c>
    </x:row>
    <x:row r="17">
      <x:c r="A17" s="83" t="str">
        <x:v>R13</x:v>
      </x:c>
      <x:c r="B17" s="83" t="str">
        <x:v>Gaudì - Gestione Anagrafica Unica degli Impianti</x:v>
      </x:c>
      <x:c r="C17" s="83" t="str">
        <x:v>Terna</x:v>
      </x:c>
      <x:c r="D17" s="83" t="str">
        <x:v>continuo</x:v>
      </x:c>
      <x:c r="E17" s="83" t="str">
        <x:v>Registro impianti</x:v>
      </x:c>
      <x:c r="F17" s="83" t="str">
        <x:v>S08 p.471 e fonti Terna</x:v>
      </x:c>
      <x:c r="G17" s="83" t="str">
        <x:v>Capacità per impianto/tecnologia e possibile geolocalizzazione.</x:v>
      </x:c>
      <x:c r="H17" s="83" t="str">
        <x:v>Alta</x:v>
      </x:c>
      <x:c r="I17" s="83" t="str">
        <x:v>Accessibilità da verificare</x:v>
      </x:c>
    </x:row>
    <x:row r="18">
      <x:c r="A18" s="83" t="str">
        <x:v>R14</x:v>
      </x:c>
      <x:c r="B18" s="83" t="str">
        <x:v>Econnextion</x:v>
      </x:c>
      <x:c r="C18" s="83" t="str">
        <x:v>Terna</x:v>
      </x:c>
      <x:c r="D18" s="83" t="str">
        <x:v>dal 2023</x:v>
      </x:c>
      <x:c r="E18" s="83" t="str">
        <x:v>Dashboard connessioni</x:v>
      </x:c>
      <x:c r="F18" s="83" t="str">
        <x:v>S04 pp.6, 12, 52; S02 p.52</x:v>
      </x:c>
      <x:c r="G18" s="83" t="str">
        <x:v>Pipeline FER per regione/comune e tecnologia.</x:v>
      </x:c>
      <x:c r="H18" s="83" t="str">
        <x:v>Alta</x:v>
      </x:c>
      <x:c r="I18" s="83" t="str">
        <x:v>Accesso da testare; non capacità certa</x:v>
      </x:c>
    </x:row>
    <x:row r="19">
      <x:c r="A19" s="83" t="str">
        <x:v>R15</x:v>
      </x:c>
      <x:c r="B19" s="83" t="str">
        <x:v>Portale TE.R.R.A.</x:v>
      </x:c>
      <x:c r="C19" s="83" t="str">
        <x:v>Terna / MASE / ARERA</x:v>
      </x:c>
      <x:c r="D19" s="83" t="str">
        <x:v>dal 2024-2025</x:v>
      </x:c>
      <x:c r="E19" s="83" t="str">
        <x:v>Portale territoriale</x:v>
      </x:c>
      <x:c r="F19" s="83" t="str">
        <x:v>S04 pp.7, 50-53; S02 pp.54-55; S08 pp.217, 329</x:v>
      </x:c>
      <x:c r="G19" s="83" t="str">
        <x:v>Microzone, richieste e sviluppi RTN; possibile fonte futura per granularità sub-zonale.</x:v>
      </x:c>
      <x:c r="H19" s="83" t="str">
        <x:v>Alta</x:v>
      </x:c>
      <x:c r="I19" s="83" t="str">
        <x:v>Accesso e livello pubblico da verificare</x:v>
      </x:c>
    </x:row>
    <x:row r="20">
      <x:c r="A20" s="83" t="str">
        <x:v>R16</x:v>
      </x:c>
      <x:c r="B20" s="83" t="str">
        <x:v>Dati e rapporti GME sul mercato elettrico</x:v>
      </x:c>
      <x:c r="C20" s="83" t="str">
        <x:v>GME</x:v>
      </x:c>
      <x:c r="D20" s="83" t="str">
        <x:v>storico e corrente</x:v>
      </x:c>
      <x:c r="E20" s="83" t="str">
        <x:v>Dati mercato</x:v>
      </x:c>
      <x:c r="F20" s="83" t="str">
        <x:v>S01 cap.3; S07 pp.22-23; S08 pp.419-425</x:v>
      </x:c>
      <x:c r="G20" s="83" t="str">
        <x:v>Prezzi MGP/PUN, volumi e validazione del meccanismo marginale.</x:v>
      </x:c>
      <x:c r="H20" s="83" t="str">
        <x:v>Critica</x:v>
      </x:c>
      <x:c r="I20" s="83" t="str">
        <x:v>Da acquisire</x:v>
      </x:c>
    </x:row>
    <x:row r="21">
      <x:c r="A21" s="83" t="str">
        <x:v>R17</x:v>
      </x:c>
      <x:c r="B21" s="83" t="str">
        <x:v>Statistiche e database Eurostat</x:v>
      </x:c>
      <x:c r="C21" s="83" t="str">
        <x:v>Eurostat</x:v>
      </x:c>
      <x:c r="D21" s="83" t="str">
        <x:v>storico</x:v>
      </x:c>
      <x:c r="E21" s="83" t="str">
        <x:v>Dataset energetico/macroeconomico</x:v>
      </x:c>
      <x:c r="F21" s="83" t="str">
        <x:v>S02 pp.20-21; S07 p.7; S08 numerose sezioni</x:v>
      </x:c>
      <x:c r="G21" s="83" t="str">
        <x:v>Bilanci, importazioni, consumi, prezzi e indicatori macro.</x:v>
      </x:c>
      <x:c r="H21" s="83" t="str">
        <x:v>Alta</x:v>
      </x:c>
      <x:c r="I21" s="83" t="str">
        <x:v>Da acquisire selettivamente</x:v>
      </x:c>
    </x:row>
    <x:row r="22">
      <x:c r="A22" s="83" t="str">
        <x:v>R18</x:v>
      </x:c>
      <x:c r="B22" s="83" t="str">
        <x:v>Dati e rapporti GSE</x:v>
      </x:c>
      <x:c r="C22" s="83" t="str">
        <x:v>GSE</x:v>
      </x:c>
      <x:c r="D22" s="83" t="str">
        <x:v>storico/scenario</x:v>
      </x:c>
      <x:c r="E22" s="83" t="str">
        <x:v>FER e incentivi</x:v>
      </x:c>
      <x:c r="F22" s="83" t="str">
        <x:v>S08 pp.97-115, 375-380, 468-469</x:v>
      </x:c>
      <x:c r="G22" s="83" t="str">
        <x:v>Capacità/produzione FER, target e traiettorie; validazione PNIEC.</x:v>
      </x:c>
      <x:c r="H22" s="83" t="str">
        <x:v>Alta</x:v>
      </x:c>
      <x:c r="I22" s="83" t="str">
        <x:v>Da acquisire</x:v>
      </x:c>
    </x:row>
    <x:row r="23">
      <x:c r="A23" s="83" t="str">
        <x:v>R19</x:v>
      </x:c>
      <x:c r="B23" s="83" t="str">
        <x:v>Elaborazioni e modelli RSE a supporto del PNIEC</x:v>
      </x:c>
      <x:c r="C23" s="83" t="str">
        <x:v>RSE</x:v>
      </x:c>
      <x:c r="D23" s="83" t="str">
        <x:v>2024</x:v>
      </x:c>
      <x:c r="E23" s="83" t="str">
        <x:v>Modello energetico</x:v>
      </x:c>
      <x:c r="F23" s="83" t="str">
        <x:v>S08 numerose tabelle e figure, incl. pp.375-380, 457-479</x:v>
      </x:c>
      <x:c r="G23" s="83" t="str">
        <x:v>Proiezioni WEM/PNIEC 2040, consumi, capacità e investimenti.</x:v>
      </x:c>
      <x:c r="H23" s="83" t="str">
        <x:v>Critica</x:v>
      </x:c>
      <x:c r="I23" s="83" t="str">
        <x:v>Allegati/dataset da individuare</x:v>
      </x:c>
    </x:row>
    <x:row r="24">
      <x:c r="A24" s="83" t="str">
        <x:v>R20</x:v>
      </x:c>
      <x:c r="B24" s="83" t="str">
        <x:v>Inventario e rapporti emissioni ISPRA</x:v>
      </x:c>
      <x:c r="C24" s="83" t="str">
        <x:v>ISPRA</x:v>
      </x:c>
      <x:c r="D24" s="83" t="str">
        <x:v>2024 e storici</x:v>
      </x:c>
      <x:c r="E24" s="83" t="str">
        <x:v>Emissioni</x:v>
      </x:c>
      <x:c r="F24" s="83" t="str">
        <x:v>S08 pp.75-90, 199-209, 368-374, 463-464</x:v>
      </x:c>
      <x:c r="G24" s="83" t="str">
        <x:v>Fattori emissivi, traiettorie CO2 e validazione.</x:v>
      </x:c>
      <x:c r="H24" s="83" t="str">
        <x:v>Alta</x:v>
      </x:c>
      <x:c r="I24" s="83" t="str">
        <x:v>Da acquisire</x:v>
      </x:c>
    </x:row>
    <x:row r="25">
      <x:c r="A25" s="83" t="str">
        <x:v>R21</x:v>
      </x:c>
      <x:c r="B25" s="83" t="str">
        <x:v>Relazione annuale e indagini ARERA</x:v>
      </x:c>
      <x:c r="C25" s="83" t="str">
        <x:v>ARERA</x:v>
      </x:c>
      <x:c r="D25" s="83" t="str">
        <x:v>anni vari</x:v>
      </x:c>
      <x:c r="E25" s="83" t="str">
        <x:v>Mercato e regolazione</x:v>
      </x:c>
      <x:c r="F25" s="83" t="str">
        <x:v>S08 pp.348, 411, 425-429; S01/S02</x:v>
      </x:c>
      <x:c r="G25" s="83" t="str">
        <x:v>Struttura mercato, prezzi retail/wholesale e contesto regolatorio.</x:v>
      </x:c>
      <x:c r="H25" s="83" t="str">
        <x:v>Media</x:v>
      </x:c>
      <x:c r="I25" s="83" t="str">
        <x:v>Da acquisire selettivamente</x:v>
      </x:c>
    </x:row>
    <x:row r="26">
      <x:c r="A26" s="83" t="str">
        <x:v>R22</x:v>
      </x:c>
      <x:c r="B26" s="83" t="str">
        <x:v>Statistiche ISTAT e basi territoriali</x:v>
      </x:c>
      <x:c r="C26" s="83" t="str">
        <x:v>ISTAT</x:v>
      </x:c>
      <x:c r="D26" s="83" t="str">
        <x:v>anni vari</x:v>
      </x:c>
      <x:c r="E26" s="83" t="str">
        <x:v>Demografia/economia/territorio</x:v>
      </x:c>
      <x:c r="F26" s="83" t="str">
        <x:v>S08 sezioni domanda ed efficienza</x:v>
      </x:c>
      <x:c r="G26" s="83" t="str">
        <x:v>Proxy di disaggregazione regionale della domanda.</x:v>
      </x:c>
      <x:c r="H26" s="83" t="str">
        <x:v>Alta</x:v>
      </x:c>
      <x:c r="I26" s="83" t="str">
        <x:v>Da acquisire in Fase 4</x:v>
      </x:c>
    </x:row>
    <x:row r="27">
      <x:c r="A27" s="83" t="str">
        <x:v>R23</x:v>
      </x:c>
      <x:c r="B27" s="83" t="str">
        <x:v>Dati e rapporti ENEA su efficienza, edifici e SIAPE</x:v>
      </x:c>
      <x:c r="C27" s="83" t="str">
        <x:v>ENEA</x:v>
      </x:c>
      <x:c r="D27" s="83" t="str">
        <x:v>anni vari</x:v>
      </x:c>
      <x:c r="E27" s="83" t="str">
        <x:v>Domanda settoriale</x:v>
      </x:c>
      <x:c r="F27" s="83" t="str">
        <x:v>S08 pp.118-136, 384-396</x:v>
      </x:c>
      <x:c r="G27" s="83" t="str">
        <x:v>Domanda civile, pompe di calore ed efficienza; proxy regionali.</x:v>
      </x:c>
      <x:c r="H27" s="83" t="str">
        <x:v>Alta</x:v>
      </x:c>
      <x:c r="I27" s="83" t="str">
        <x:v>Da acquisire selettivamente</x:v>
      </x:c>
    </x:row>
    <x:row r="28">
      <x:c r="A28" s="83" t="str">
        <x:v>R24</x:v>
      </x:c>
      <x:c r="B28" s="83" t="str">
        <x:v>IRENA - Renewable Capacity Statistics / Renewable Power Generation Costs</x:v>
      </x:c>
      <x:c r="C28" s="83" t="str">
        <x:v>IRENA</x:v>
      </x:c>
      <x:c r="D28" s="83" t="str">
        <x:v>ultimo disponibile</x:v>
      </x:c>
      <x:c r="E28" s="83" t="str">
        <x:v>Costi e capacità tecnologiche</x:v>
      </x:c>
      <x:c r="F28" s="83" t="str">
        <x:v>S07 pp.12, 36-39; S08</x:v>
      </x:c>
      <x:c r="G28" s="83" t="str">
        <x:v>CAPEX, CF e LCOE di solare/eolico; cross-check costi.</x:v>
      </x:c>
      <x:c r="H28" s="83" t="str">
        <x:v>Alta</x:v>
      </x:c>
      <x:c r="I28" s="83" t="str">
        <x:v>Da acquisire</x:v>
      </x:c>
    </x:row>
    <x:row r="29">
      <x:c r="A29" s="83" t="str">
        <x:v>R25</x:v>
      </x:c>
      <x:c r="B29" s="83" t="str">
        <x:v>ACER Market Monitoring / dati generazione UE</x:v>
      </x:c>
      <x:c r="C29" s="83" t="str">
        <x:v>ACER</x:v>
      </x:c>
      <x:c r="D29" s="83" t="str">
        <x:v>2024-2025</x:v>
      </x:c>
      <x:c r="E29" s="83" t="str">
        <x:v>Mercato europeo</x:v>
      </x:c>
      <x:c r="F29" s="83" t="str">
        <x:v>S07 p.13; S08</x:v>
      </x:c>
      <x:c r="G29" s="83" t="str">
        <x:v>Validazione trend UE e integrazione mercati.</x:v>
      </x:c>
      <x:c r="H29" s="83" t="str">
        <x:v>Media</x:v>
      </x:c>
      <x:c r="I29" s="83" t="str">
        <x:v>Da acquisire selettivamente</x:v>
      </x:c>
    </x:row>
    <x:row r="30">
      <x:c r="A30" s="83" t="str">
        <x:v>R26</x:v>
      </x:c>
      <x:c r="B30" s="83" t="str">
        <x:v>SolarPower Europe - European Market Outlook for Battery Storage</x:v>
      </x:c>
      <x:c r="C30" s="83" t="str">
        <x:v>SolarPower Europe</x:v>
      </x:c>
      <x:c r="D30" s="83" t="str">
        <x:v>2024/2025</x:v>
      </x:c>
      <x:c r="E30" s="83" t="str">
        <x:v>Storage europeo</x:v>
      </x:c>
      <x:c r="F30" s="83" t="str">
        <x:v>S07 p.13</x:v>
      </x:c>
      <x:c r="G30" s="83" t="str">
        <x:v>Benchmark BESS europeo; contesto, non input primario italiano.</x:v>
      </x:c>
      <x:c r="H30" s="83" t="str">
        <x:v>Media</x:v>
      </x:c>
      <x:c r="I30" s="83" t="str">
        <x:v>Da acquisire se utile</x:v>
      </x:c>
    </x:row>
    <x:row r="31">
      <x:c r="A31" s="83" t="str">
        <x:v>R27</x:v>
      </x:c>
      <x:c r="B31" s="83" t="str">
        <x:v>IEA World Energy Outlook (WEO)</x:v>
      </x:c>
      <x:c r="C31" s="83" t="str">
        <x:v>IEA</x:v>
      </x:c>
      <x:c r="D31" s="83" t="str">
        <x:v>versione citata</x:v>
      </x:c>
      <x:c r="E31" s="83" t="str">
        <x:v>Costi/scenari globali</x:v>
      </x:c>
      <x:c r="F31" s="83" t="str">
        <x:v>S07 p.48; S08 p.418</x:v>
      </x:c>
      <x:c r="G31" s="83" t="str">
        <x:v>Tecnologie emergenti e costi di sistema; cross-check.</x:v>
      </x:c>
      <x:c r="H31" s="83" t="str">
        <x:v>Media</x:v>
      </x:c>
      <x:c r="I31" s="83" t="str">
        <x:v>Da acquisire selettivamente</x:v>
      </x:c>
    </x:row>
    <x:row r="32">
      <x:c r="A32" s="83" t="str">
        <x:v>R28</x:v>
      </x:c>
      <x:c r="B32" s="83" t="str">
        <x:v>Energy-Charts</x:v>
      </x:c>
      <x:c r="C32" s="83" t="str">
        <x:v>Fraunhofer ISE</x:v>
      </x:c>
      <x:c r="D32" s="83" t="str">
        <x:v>serie corrente</x:v>
      </x:c>
      <x:c r="E32" s="83" t="str">
        <x:v>Dati prezzi/generazione</x:v>
      </x:c>
      <x:c r="F32" s="83" t="str">
        <x:v>S07 pp.22-23</x:v>
      </x:c>
      <x:c r="G32" s="83" t="str">
        <x:v>Esempio prezzi negativi e confronto europeo.</x:v>
      </x:c>
      <x:c r="H32" s="83" t="str">
        <x:v>Bassa</x:v>
      </x:c>
      <x:c r="I32" s="83" t="str">
        <x:v>Contesto/validazione</x:v>
      </x:c>
    </x:row>
    <x:row r="33">
      <x:c r="A33" s="83" t="str">
        <x:v>R29</x:v>
      </x:c>
      <x:c r="B33" s="83" t="str">
        <x:v>Enerdata</x:v>
      </x:c>
      <x:c r="C33" s="83" t="str">
        <x:v>Enerdata</x:v>
      </x:c>
      <x:c r="D33" s="83" t="str">
        <x:v>serie corrente</x:v>
      </x:c>
      <x:c r="E33" s="83" t="str">
        <x:v>Dati mercato</x:v>
      </x:c>
      <x:c r="F33" s="83" t="str">
        <x:v>S07 p.22</x:v>
      </x:c>
      <x:c r="G33" s="83" t="str">
        <x:v>Confronto ore a prezzi bassi/negativi.</x:v>
      </x:c>
      <x:c r="H33" s="83" t="str">
        <x:v>Bassa</x:v>
      </x:c>
      <x:c r="I33" s="83" t="str">
        <x:v>Contesto/validazione</x:v>
      </x:c>
    </x:row>
    <x:row r="34">
      <x:c r="A34" s="83" t="str">
        <x:v>R30</x:v>
      </x:c>
      <x:c r="B34" s="83" t="str">
        <x:v>Elemens - analisi repowering eolico</x:v>
      </x:c>
      <x:c r="C34" s="83" t="str">
        <x:v>Elemens</x:v>
      </x:c>
      <x:c r="D34" s="83" t="str">
        <x:v>versione citata</x:v>
      </x:c>
      <x:c r="E34" s="83" t="str">
        <x:v>Studio tecnico</x:v>
      </x:c>
      <x:c r="F34" s="83" t="str">
        <x:v>S07 pp.17-18</x:v>
      </x:c>
      <x:c r="G34" s="83" t="str">
        <x:v>Potenziale repowering; proxy non primario.</x:v>
      </x:c>
      <x:c r="H34" s="83" t="str">
        <x:v>Media</x:v>
      </x:c>
      <x:c r="I34" s="83" t="str">
        <x:v>Da individuare</x:v>
      </x:c>
    </x:row>
    <x:row r="35">
      <x:c r="A35" s="83" t="str">
        <x:v>R31</x:v>
      </x:c>
      <x:c r="B35" s="83" t="str">
        <x:v>Florence School of Regulation - Capacity Mechanism</x:v>
      </x:c>
      <x:c r="C35" s="83" t="str">
        <x:v>FSR</x:v>
      </x:c>
      <x:c r="D35" s="83" t="str">
        <x:v>2024</x:v>
      </x:c>
      <x:c r="E35" s="83" t="str">
        <x:v>Analisi di mercato</x:v>
      </x:c>
      <x:c r="F35" s="83" t="str">
        <x:v>S02 p.25</x:v>
      </x:c>
      <x:c r="G35" s="83" t="str">
        <x:v>Contesto Capacity Market, non input diretto.</x:v>
      </x:c>
      <x:c r="H35" s="83" t="str">
        <x:v>Bassa</x:v>
      </x:c>
      <x:c r="I35" s="83" t="str">
        <x:v>Contesto</x:v>
      </x:c>
    </x:row>
    <x:row r="36">
      <x:c r="A36" s="83" t="str">
        <x:v>R32</x:v>
      </x:c>
      <x:c r="B36" s="83" t="str">
        <x:v>Smart Mobility Report 2024</x:v>
      </x:c>
      <x:c r="C36" s="83" t="str">
        <x:v>Politecnico di Milano</x:v>
      </x:c>
      <x:c r="D36" s="83" t="str">
        <x:v>2024</x:v>
      </x:c>
      <x:c r="E36" s="83" t="str">
        <x:v>Mobilità elettrica</x:v>
      </x:c>
      <x:c r="F36" s="83" t="str">
        <x:v>S06 p.56</x:v>
      </x:c>
      <x:c r="G36" s="83" t="str">
        <x:v>E-mobility e domanda trasporti; possibile cross-check.</x:v>
      </x:c>
      <x:c r="H36" s="83" t="str">
        <x:v>Media</x:v>
      </x:c>
      <x:c r="I36" s="83" t="str">
        <x:v>Da acquisire se necessario</x:v>
      </x:c>
    </x:row>
    <x:row r="37">
      <x:c r="A37" s="83" t="str">
        <x:v>R33</x:v>
      </x:c>
      <x:c r="B37" s="83" t="str">
        <x:v>Regolamento (UE) 2019/943 sul mercato interno dell'energia elettrica</x:v>
      </x:c>
      <x:c r="C37" s="83" t="str">
        <x:v>Unione europea</x:v>
      </x:c>
      <x:c r="D37" s="83" t="str">
        <x:v>2019</x:v>
      </x:c>
      <x:c r="E37" s="83" t="str">
        <x:v>Normativa mercato</x:v>
      </x:c>
      <x:c r="F37" s="83" t="str">
        <x:v>S08 e fascicoli di mercato</x:v>
      </x:c>
      <x:c r="G37" s="83" t="str">
        <x:v>Contesto market design, capacity mechanisms e interconnessioni.</x:v>
      </x:c>
      <x:c r="H37" s="83" t="str">
        <x:v>Media</x:v>
      </x:c>
      <x:c r="I37" s="83" t="str">
        <x:v>Da registrare</x:v>
      </x:c>
    </x:row>
    <x:row r="38">
      <x:c r="A38" s="83" t="str">
        <x:v>R34</x:v>
      </x:c>
      <x:c r="B38" s="83" t="str">
        <x:v>Direttiva (UE) 2023/2413 - RED III</x:v>
      </x:c>
      <x:c r="C38" s="83" t="str">
        <x:v>Unione europea</x:v>
      </x:c>
      <x:c r="D38" s="83" t="str">
        <x:v>2023</x:v>
      </x:c>
      <x:c r="E38" s="83" t="str">
        <x:v>Normativa FER</x:v>
      </x:c>
      <x:c r="F38" s="83" t="str">
        <x:v>S08 cap.2.1.2 e 3.1.2</x:v>
      </x:c>
      <x:c r="G38" s="83" t="str">
        <x:v>Definizioni FER e traiettorie settoriali.</x:v>
      </x:c>
      <x:c r="H38" s="83" t="str">
        <x:v>Media</x:v>
      </x:c>
      <x:c r="I38" s="83" t="str">
        <x:v>Da registrare</x:v>
      </x:c>
    </x:row>
    <x:row r="39">
      <x:c r="A39" s="83" t="str">
        <x:v>R35</x:v>
      </x:c>
      <x:c r="B39" s="83" t="str">
        <x:v>Direttiva (UE) 2023/1791 - EED III</x:v>
      </x:c>
      <x:c r="C39" s="83" t="str">
        <x:v>Unione europea</x:v>
      </x:c>
      <x:c r="D39" s="83" t="str">
        <x:v>2023</x:v>
      </x:c>
      <x:c r="E39" s="83" t="str">
        <x:v>Normativa efficienza</x:v>
      </x:c>
      <x:c r="F39" s="83" t="str">
        <x:v>S08 cap.2.2 e 3.2</x:v>
      </x:c>
      <x:c r="G39" s="83" t="str">
        <x:v>Target efficienza e domanda finale.</x:v>
      </x:c>
      <x:c r="H39" s="83" t="str">
        <x:v>Media</x:v>
      </x:c>
      <x:c r="I39" s="83" t="str">
        <x:v>Da registrare</x:v>
      </x:c>
    </x:row>
    <x:row r="40">
      <x:c r="A40" s="83" t="str">
        <x:v>R36</x:v>
      </x:c>
      <x:c r="B40" s="83" t="str">
        <x:v>REPowerEU e capitolo REPowerEU del PNRR</x:v>
      </x:c>
      <x:c r="C40" s="83" t="str">
        <x:v>Commissione europea / Governo italiano</x:v>
      </x:c>
      <x:c r="D40" s="83" t="str">
        <x:v>2022-2024</x:v>
      </x:c>
      <x:c r="E40" s="83" t="str">
        <x:v>Policy/investimenti</x:v>
      </x:c>
      <x:c r="F40" s="83" t="str">
        <x:v>S08; S06 cap.7</x:v>
      </x:c>
      <x:c r="G40" s="83" t="str">
        <x:v>Tempistiche e policy per FER, reti, storage e gas.</x:v>
      </x:c>
      <x:c r="H40" s="83" t="str">
        <x:v>Media</x:v>
      </x:c>
      <x:c r="I40" s="83" t="str">
        <x:v>Da registrare</x:v>
      </x:c>
    </x:row>
    <x:row r="41">
      <x:c r="A41" s="83" t="str">
        <x:v>R37</x:v>
      </x:c>
      <x:c r="B41" s="83" t="str">
        <x:v>Fit for 55 / European Green Deal</x:v>
      </x:c>
      <x:c r="C41" s="83" t="str">
        <x:v>Unione europea</x:v>
      </x:c>
      <x:c r="D41" s="83" t="str">
        <x:v>2021-2024</x:v>
      </x:c>
      <x:c r="E41" s="83" t="str">
        <x:v>Policy clima</x:v>
      </x:c>
      <x:c r="F41" s="83" t="str">
        <x:v>S08 cap.1-3</x:v>
      </x:c>
      <x:c r="G41" s="83" t="str">
        <x:v>Contesto target; non input diretto.</x:v>
      </x:c>
      <x:c r="H41" s="83" t="str">
        <x:v>Bassa</x:v>
      </x:c>
      <x:c r="I41" s="83" t="str">
        <x:v>Contesto</x:v>
      </x:c>
    </x:row>
    <x:row r="42">
      <x:c r="A42" s="83" t="str">
        <x:v>R38</x:v>
      </x:c>
      <x:c r="B42" s="83" t="str">
        <x:v>Meccanismo di Approvvigionamento di Capacità di Stoccaggio Elettrico (MACSE) - documenti attuativi</x:v>
      </x:c>
      <x:c r="C42" s="83" t="str">
        <x:v>Terna / ARERA / MASE</x:v>
      </x:c>
      <x:c r="D42" s="83" t="str">
        <x:v>2023-2025</x:v>
      </x:c>
      <x:c r="E42" s="83" t="str">
        <x:v>Storage/mercato</x:v>
      </x:c>
      <x:c r="F42" s="83" t="str">
        <x:v>S01, S02, S03, S04, S06, S07, S08</x:v>
      </x:c>
      <x:c r="G42" s="83" t="str">
        <x:v>Capacità storage target, durata e timing di entrata in esercizio.</x:v>
      </x:c>
      <x:c r="H42" s="83" t="str">
        <x:v>Critica</x:v>
      </x:c>
      <x:c r="I42" s="83" t="str">
        <x:v>Da acquisire integralmente</x:v>
      </x:c>
    </x:row>
    <x:row r="43">
      <x:c r="A43" s="83" t="str">
        <x:v>R39</x:v>
      </x:c>
      <x:c r="B43" s="83" t="str">
        <x:v>Capacity Market italiano - decreti, aste e risultati</x:v>
      </x:c>
      <x:c r="C43" s="83" t="str">
        <x:v>MASE / Terna / ARERA</x:v>
      </x:c>
      <x:c r="D43" s="83" t="str">
        <x:v>2019-2025</x:v>
      </x:c>
      <x:c r="E43" s="83" t="str">
        <x:v>Adeguatezza/mercato</x:v>
      </x:c>
      <x:c r="F43" s="83" t="str">
        <x:v>S01, S02, S03, S04, S07, S08</x:v>
      </x:c>
      <x:c r="G43" s="83" t="str">
        <x:v>Nuova capacità termica/storage, dismissioni e adeguatezza.</x:v>
      </x:c>
      <x:c r="H43" s="83" t="str">
        <x:v>Alta</x:v>
      </x:c>
      <x:c r="I43" s="83" t="str">
        <x:v>Da acquisire selettivamente</x:v>
      </x:c>
    </x:row>
    <x:row r="44">
      <x:c r="A44" s="83" t="str">
        <x:v>R40</x:v>
      </x:c>
      <x:c r="B44" s="83" t="str">
        <x:v>Med-TSO Master Plan / studi mediterranei</x:v>
      </x:c>
      <x:c r="C44" s="83" t="str">
        <x:v>Med-TSO</x:v>
      </x:c>
      <x:c r="D44" s="83" t="str">
        <x:v>versioni citate</x:v>
      </x:c>
      <x:c r="E44" s="83" t="str">
        <x:v>Rete mediterranea</x:v>
      </x:c>
      <x:c r="F44" s="83" t="str">
        <x:v>S06 cap.4; S05 cap.5</x:v>
      </x:c>
      <x:c r="G44" s="83" t="str">
        <x:v>Interconnessioni Nord Africa e ipotesi estere.</x:v>
      </x:c>
      <x:c r="H44" s="83" t="str">
        <x:v>Media</x:v>
      </x:c>
      <x:c r="I44" s="83" t="str">
        <x:v>Da acquisire se scenario estero endogeno</x:v>
      </x:c>
    </x:row>
    <x:row r="45">
      <x:c r="A45" s="83" t="str">
        <x:v>R41</x:v>
      </x:c>
      <x:c r="B45" s="83" t="str">
        <x:v>Connecting Europe Facility (CEF) e progetti finanziati</x:v>
      </x:c>
      <x:c r="C45" s="83" t="str">
        <x:v>Commissione europea</x:v>
      </x:c>
      <x:c r="D45" s="83" t="str">
        <x:v>2021-2027</x:v>
      </x:c>
      <x:c r="E45" s="83" t="str">
        <x:v>Finanziamento rete</x:v>
      </x:c>
      <x:c r="F45" s="83" t="str">
        <x:v>S06 cap.7</x:v>
      </x:c>
      <x:c r="G45" s="83" t="str">
        <x:v>Status e maturità dei progetti; non input diretto.</x:v>
      </x:c>
      <x:c r="H45" s="83" t="str">
        <x:v>Bassa</x:v>
      </x:c>
      <x:c r="I45" s="83" t="str">
        <x:v>Contesto</x:v>
      </x:c>
    </x:row>
    <x:row r="46">
      <x:c r="A46" s="83" t="str">
        <x:v>R42</x:v>
      </x:c>
      <x:c r="B46" s="83" t="str">
        <x:v>Horizon Europe / progetti di ricerca Terna</x:v>
      </x:c>
      <x:c r="C46" s="83" t="str">
        <x:v>Commissione europea / consorzi</x:v>
      </x:c>
      <x:c r="D46" s="83" t="str">
        <x:v>2021-2027</x:v>
      </x:c>
      <x:c r="E46" s="83" t="str">
        <x:v>Ricerca</x:v>
      </x:c>
      <x:c r="F46" s="83" t="str">
        <x:v>S06 cap.7</x:v>
      </x:c>
      <x:c r="G46" s="83" t="str">
        <x:v>Non necessario al dispatch; registro di contesto.</x:v>
      </x:c>
      <x:c r="H46" s="83" t="str">
        <x:v>Bassa</x:v>
      </x:c>
      <x:c r="I46" s="83" t="str">
        <x:v>Escludere dall'estrazione quantitativa</x:v>
      </x:c>
    </x:row>
    <x:row r="47">
      <x:c r="A47" s="83" t="str">
        <x:v>R43</x:v>
      </x:c>
      <x:c r="B47" s="83" t="str">
        <x:v>Misure Terna e dati operativi orari</x:v>
      </x:c>
      <x:c r="C47" s="83" t="str">
        <x:v>Terna</x:v>
      </x:c>
      <x:c r="D47" s="83" t="str">
        <x:v>2025 e storici</x:v>
      </x:c>
      <x:c r="E47" s="83" t="str">
        <x:v>Serie orarie</x:v>
      </x:c>
      <x:c r="F47" s="83" t="str">
        <x:v>S07 pp.20-21</x:v>
      </x:c>
      <x:c r="G47" s="83" t="str">
        <x:v>Profili orari, calibrazione domanda/generazione e validazione prezzi.</x:v>
      </x:c>
      <x:c r="H47" s="83" t="str">
        <x:v>Critica</x:v>
      </x:c>
      <x:c r="I47" s="83" t="str">
        <x:v>Accesso/dataset da individuare</x:v>
      </x:c>
    </x:row>
    <x:row r="48">
      <x:c r="A48" s="83" t="str">
        <x:v>R44</x:v>
      </x:c>
      <x:c r="B48" s="83" t="str">
        <x:v>Dati NTC/limiti di transito e documenti sulle zone di mercato</x:v>
      </x:c>
      <x:c r="C48" s="83" t="str">
        <x:v>Terna</x:v>
      </x:c>
      <x:c r="D48" s="83" t="str">
        <x:v>2024-2025</x:v>
      </x:c>
      <x:c r="E48" s="83" t="str">
        <x:v>Trasmissione/mercato</x:v>
      </x:c>
      <x:c r="F48" s="83" t="str">
        <x:v>S08 pp.403-410; S01 cap.3</x:v>
      </x:c>
      <x:c r="G48" s="83" t="str">
        <x:v>Capacità interzonali e transfrontaliere del modello.</x:v>
      </x:c>
      <x:c r="H48" s="83" t="str">
        <x:v>Critica</x:v>
      </x:c>
      <x:c r="I48" s="83" t="str">
        <x:v>Da acquisire in formato elaborabile</x:v>
      </x:c>
    </x:row>
    <x:row r="49">
      <x:c r="A49" s="83" t="str">
        <x:v>R45</x:v>
      </x:c>
      <x:c r="B49" s="83" t="str">
        <x:v>Rapporto Adeguatezza Italia e documentazione LOLE/EENS</x:v>
      </x:c>
      <x:c r="C49" s="83" t="str">
        <x:v>Terna / MASE</x:v>
      </x:c>
      <x:c r="D49" s="83" t="str">
        <x:v>versione più recente citata</x:v>
      </x:c>
      <x:c r="E49" s="83" t="str">
        <x:v>Adeguatezza</x:v>
      </x:c>
      <x:c r="F49" s="83" t="str">
        <x:v>S01 pp.97-99; S03 cap.3; S08 p.320</x:v>
      </x:c>
      <x:c r="G49" s="83" t="str">
        <x:v>Validazione del parco disponibile e load shedding.</x:v>
      </x:c>
      <x:c r="H49" s="83" t="str">
        <x:v>Alta</x:v>
      </x:c>
      <x:c r="I49" s="83" t="str">
        <x:v>Titolo/versione da verificare</x:v>
      </x:c>
    </x:row>
  </x:sheetData>
  <x:mergeCells>
    <x:mergeCell ref="A1:I1"/>
    <x:mergeCell ref="A2:I2"/>
  </x:mergeCells>
  <x:conditionalFormatting sqref="H5:H49">
    <x:cfRule type="expression" dxfId="8" priority="1">
      <x:formula>H5="Critica"</x:formula>
    </x:cfRule>
    <x:cfRule type="expression" dxfId="9" priority="2">
      <x:formula>H5="Alta"</x:formula>
    </x:cfRule>
    <x:cfRule type="expression" dxfId="10" priority="3">
      <x:formula>H5="Media"</x:formula>
    </x:cfRule>
    <x:cfRule type="expression" dxfId="11" priority="4">
      <x:formula>H5="Bassa"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606780db124db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>
      <x:c r="A1" s="93" t="str">
        <x:v>Mandatory</x:v>
      </x:c>
      <x:c r="B1" s="93" t="str">
        <x:v>Model critical</x:v>
      </x:c>
      <x:c r="C1" s="93" t="str">
        <x:v>Requirement status</x:v>
      </x:c>
      <x:c r="D1" s="93" t="str">
        <x:v>Quality</x:v>
      </x:c>
      <x:c r="E1" s="93" t="str">
        <x:v>Decision status</x:v>
      </x:c>
      <x:c r="F1" s="93" t="str">
        <x:v>Blocking now</x:v>
      </x:c>
    </x:row>
    <x:row r="2">
      <x:c r="A2" s="94" t="str">
        <x:v>Sì</x:v>
      </x:c>
      <x:c r="B2" s="94" t="str">
        <x:v>Sì</x:v>
      </x:c>
      <x:c r="C2" s="94" t="str">
        <x:v>Coperto concettualmente</x:v>
      </x:c>
      <x:c r="D2" s="94" t="str">
        <x:v>A</x:v>
      </x:c>
      <x:c r="E2" s="94" t="str">
        <x:v>Proposta da approvare</x:v>
      </x:c>
      <x:c r="F2" s="94" t="str">
        <x:v>Sì</x:v>
      </x:c>
    </x:row>
    <x:row r="3">
      <x:c r="A3" s="94" t="str">
        <x:v>No</x:v>
      </x:c>
      <x:c r="B3" s="94" t="str">
        <x:v>No</x:v>
      </x:c>
      <x:c r="C3" s="94" t="str">
        <x:v>Coperto; da popolare</x:v>
      </x:c>
      <x:c r="D3" s="94" t="str">
        <x:v>A/B</x:v>
      </x:c>
      <x:c r="E3" s="94" t="str">
        <x:v>Aperta</x:v>
      </x:c>
      <x:c r="F3" s="94" t="str">
        <x:v>No</x:v>
      </x:c>
    </x:row>
    <x:row r="4">
      <x:c r="A4" s="94" t="str">
        <x:v>Desiderabile</x:v>
      </x:c>
      <x:c r="B4" s="94" t="str"/>
      <x:c r="C4" s="94" t="str">
        <x:v>Da estrarre</x:v>
      </x:c>
      <x:c r="D4" s="94" t="str">
        <x:v>A-C</x:v>
      </x:c>
      <x:c r="E4" s="94" t="str">
        <x:v>Proposta</x:v>
      </x:c>
      <x:c r="F4" s="94" t="str"/>
    </x:row>
    <x:row r="5">
      <x:c r="A5" s="94" t="str">
        <x:v>Opzionale</x:v>
      </x:c>
      <x:c r="B5" s="94" t="str"/>
      <x:c r="C5" s="94" t="str">
        <x:v>Parziale</x:v>
      </x:c>
      <x:c r="D5" s="94" t="str">
        <x:v>A-D</x:v>
      </x:c>
      <x:c r="E5" s="94" t="str">
        <x:v>Decisione proposta</x:v>
      </x:c>
      <x:c r="F5" s="94" t="str"/>
    </x:row>
    <x:row r="6">
      <x:c r="A6" s="94" t="str">
        <x:v>Sì se incluso</x:v>
      </x:c>
      <x:c r="B6" s="94" t="str"/>
      <x:c r="C6" s="94" t="str">
        <x:v>Gap</x:v>
      </x:c>
      <x:c r="D6" s="94" t="str">
        <x:v>B</x:v>
      </x:c>
      <x:c r="E6" s="94" t="str">
        <x:v>Definita</x:v>
      </x:c>
      <x:c r="F6" s="94" t="str"/>
    </x:row>
    <x:row r="7">
      <x:c r="A7" s="94" t="str">
        <x:v>Solo UC</x:v>
      </x:c>
      <x:c r="B7" s="94" t="str"/>
      <x:c r="C7" s="94" t="str">
        <x:v>Decisione aperta</x:v>
      </x:c>
      <x:c r="D7" s="94" t="str">
        <x:v>B-D</x:v>
      </x:c>
      <x:c r="E7" s="94" t="str">
        <x:v>Definita nel piano</x:v>
      </x:c>
      <x:c r="F7" s="94" t="str"/>
    </x:row>
    <x:row r="8">
      <x:c r="A8" s="94" t="str">
        <x:v>Sì se esogeno</x:v>
      </x:c>
      <x:c r="B8" s="94" t="str"/>
      <x:c r="C8" s="94" t="str">
        <x:v>Derivato</x:v>
      </x:c>
      <x:c r="D8" s="94" t="str">
        <x:v>C-D</x:v>
      </x:c>
      <x:c r="E8" s="94" t="str">
        <x:v>Da coordinare con altro progetto</x:v>
      </x:c>
      <x:c r="F8" s="94" t="str"/>
    </x:row>
    <x:row r="9">
      <x:c r="A9" s="94" t="str">
        <x:v>Sì se endogeno</x:v>
      </x:c>
      <x:c r="B9" s="94" t="str"/>
      <x:c r="C9" s="94" t="str">
        <x:v>Fuori base</x:v>
      </x:c>
      <x:c r="D9" s="94" t="str">
        <x:v>C-E</x:v>
      </x:c>
      <x:c r="E9" s="94" t="str"/>
      <x:c r="F9" s="94" t="str"/>
    </x:row>
    <x:row r="10">
      <x:c r="A10" s="94" t="str">
        <x:v>Fortemente raccomandato</x:v>
      </x:c>
      <x:c r="B10" s="94" t="str"/>
      <x:c r="C10" s="94" t="str">
        <x:v>Gap esterno</x:v>
      </x:c>
      <x:c r="D10" s="94" t="str">
        <x:v>D-E</x:v>
      </x:c>
      <x:c r="E10" s="94" t="str"/>
      <x:c r="F10" s="94" t="str"/>
    </x:row>
    <x:row r="11">
      <x:c r="A11" s="94" t="str">
        <x:v>Solo se richiesto</x:v>
      </x:c>
      <x:c r="B11" s="94" t="str"/>
      <x:c r="C11" s="94" t="str">
        <x:v>Da valutare</x:v>
      </x:c>
      <x:c r="D11" s="94" t="str">
        <x:v>E</x:v>
      </x:c>
      <x:c r="E11" s="94" t="str"/>
      <x:c r="F11" s="94" t="str"/>
    </x:row>
    <x:row r="12">
      <x:c r="A12" s="94" t="str">
        <x:v>Solo se applicato</x:v>
      </x:c>
      <x:c r="B12" s="94" t="str"/>
      <x:c r="C12" s="94" t="str">
        <x:v>Definito</x:v>
      </x:c>
      <x:c r="D12" s="94" t="str"/>
      <x:c r="E12" s="94" t="str"/>
      <x:c r="F12" s="94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4" customHeight="1">
      <x:c r="A1" s="97" t="str">
        <x:v>Fase 2 — Requisiti del modello e crosswalk PyPSA-Eur</x:v>
      </x:c>
      <x:c r="B1" s="97"/>
      <x:c r="C1" s="97"/>
      <x:c r="D1" s="97"/>
      <x:c r="E1" s="97"/>
      <x:c r="F1" s="97"/>
      <x:c r="G1" s="97"/>
      <x:c r="H1" s="97"/>
      <x:c r="I1" s="97"/>
      <x:c r="J1" s="97"/>
    </x:row>
    <x:row r="2" ht="30" customHeight="1">
      <x:c r="A2" s="101" t="str">
        <x:v>Specifiche complete per il modello dispatch-only 2040/2050; nessuna estrazione numerica completa</x:v>
      </x:c>
      <x:c r="B2" s="101"/>
      <x:c r="C2" s="101"/>
      <x:c r="D2" s="101"/>
      <x:c r="E2" s="101"/>
      <x:c r="F2" s="101"/>
      <x:c r="G2" s="101"/>
      <x:c r="H2" s="101"/>
      <x:c r="I2" s="101"/>
      <x:c r="J2" s="101"/>
    </x:row>
    <x:row r="4">
      <x:c r="A4" s="103" t="str">
        <x:v>Indicatore</x:v>
      </x:c>
      <x:c r="B4" s="103" t="str">
        <x:v>Valore</x:v>
      </x:c>
      <x:c r="D4" s="103" t="str">
        <x:v>Impostazione provvisoria per la Fase 3A</x:v>
      </x:c>
      <x:c r="E4" s="103"/>
      <x:c r="F4" s="103"/>
      <x:c r="G4" s="103"/>
      <x:c r="H4" s="103"/>
      <x:c r="I4" s="103"/>
      <x:c r="J4" s="103"/>
    </x:row>
    <x:row r="5">
      <x:c r="A5" s="105" t="str">
        <x:v>Requisiti totali</x:v>
      </x:c>
      <x:c r="B5" s="27" t="n">
        <x:v>134</x:v>
      </x:c>
      <x:c r="D5" s="108" t="str">
        <x:v>Modello zonale di trasporto; capacità fisse e non estendibili; anno completo orario; prezzi zonali come output primario; batterie Store+Links; unit commitment escluso dal base e riservato a sensitivity. Nessuna decisione è bloccante immediatamente per la Fase 3A.</x:v>
      </x:c>
      <x:c r="E5" s="108"/>
      <x:c r="F5" s="108"/>
      <x:c r="G5" s="108"/>
      <x:c r="H5" s="108"/>
      <x:c r="I5" s="108"/>
      <x:c r="J5" s="108"/>
    </x:row>
    <x:row r="6">
      <x:c r="A6" s="105" t="str">
        <x:v>Model-critical</x:v>
      </x:c>
      <x:c r="B6" s="27" t="n">
        <x:v>111</x:v>
      </x:c>
      <x:c r="D6" s="108"/>
      <x:c r="E6" s="108"/>
      <x:c r="F6" s="108"/>
      <x:c r="G6" s="108"/>
      <x:c r="H6" s="108"/>
      <x:c r="I6" s="108"/>
      <x:c r="J6" s="108"/>
    </x:row>
    <x:row r="7">
      <x:c r="A7" s="105" t="str">
        <x:v>Obbligatori</x:v>
      </x:c>
      <x:c r="B7" s="27" t="n">
        <x:v>89</x:v>
      </x:c>
      <x:c r="D7" s="108"/>
      <x:c r="E7" s="108"/>
      <x:c r="F7" s="108"/>
      <x:c r="G7" s="108"/>
      <x:c r="H7" s="108"/>
      <x:c r="I7" s="108"/>
      <x:c r="J7" s="108"/>
    </x:row>
    <x:row r="8">
      <x:c r="A8" s="105" t="str">
        <x:v>Mapping PyPSA</x:v>
      </x:c>
      <x:c r="B8" s="27" t="n">
        <x:v>35</x:v>
      </x:c>
      <x:c r="D8" s="108"/>
      <x:c r="E8" s="108"/>
      <x:c r="F8" s="108"/>
      <x:c r="G8" s="108"/>
      <x:c r="H8" s="108"/>
      <x:c r="I8" s="108"/>
      <x:c r="J8" s="108"/>
    </x:row>
    <x:row r="9">
      <x:c r="A9" s="105" t="str">
        <x:v>Decisioni registrate</x:v>
      </x:c>
      <x:c r="B9" s="27" t="n">
        <x:v>36</x:v>
      </x:c>
      <x:c r="D9" s="108"/>
      <x:c r="E9" s="108"/>
      <x:c r="F9" s="108"/>
      <x:c r="G9" s="108"/>
      <x:c r="H9" s="108"/>
      <x:c r="I9" s="108"/>
      <x:c r="J9" s="108"/>
    </x:row>
    <x:row r="12">
      <x:c r="A12" s="92" t="str">
        <x:v>Categoria</x:v>
      </x:c>
      <x:c r="B12" s="92" t="str">
        <x:v>N. requisiti</x:v>
      </x:c>
    </x:row>
    <x:row r="13">
      <x:c r="A13" s="109" t="str">
        <x:v>Accumuli</x:v>
      </x:c>
      <x:c r="B13" s="111" t="n">
        <x:v>12</x:v>
      </x:c>
    </x:row>
    <x:row r="14">
      <x:c r="A14" s="109" t="str">
        <x:v>Costi di contesto</x:v>
      </x:c>
      <x:c r="B14" s="111" t="n">
        <x:v>5</x:v>
      </x:c>
    </x:row>
    <x:row r="15">
      <x:c r="A15" s="109" t="str">
        <x:v>Domanda</x:v>
      </x:c>
      <x:c r="B15" s="111" t="n">
        <x:v>22</x:v>
      </x:c>
    </x:row>
    <x:row r="16">
      <x:c r="A16" s="109" t="str">
        <x:v>Generazione</x:v>
      </x:c>
      <x:c r="B16" s="111" t="n">
        <x:v>28</x:v>
      </x:c>
    </x:row>
    <x:row r="17">
      <x:c r="A17" s="109" t="str">
        <x:v>Geografia e topologia</x:v>
      </x:c>
      <x:c r="B17" s="111" t="n">
        <x:v>9</x:v>
      </x:c>
    </x:row>
    <x:row r="18">
      <x:c r="A18" s="109" t="str">
        <x:v>Idroelettrico</x:v>
      </x:c>
      <x:c r="B18" s="111" t="n">
        <x:v>12</x:v>
      </x:c>
    </x:row>
    <x:row r="19">
      <x:c r="A19" s="109" t="str">
        <x:v>Mercato e output</x:v>
      </x:c>
      <x:c r="B19" s="111" t="n">
        <x:v>16</x:v>
      </x:c>
    </x:row>
    <x:row r="20">
      <x:c r="A20" s="109" t="str">
        <x:v>Scenario e controllo</x:v>
      </x:c>
      <x:c r="B20" s="111" t="n">
        <x:v>14</x:v>
      </x:c>
    </x:row>
    <x:row r="21">
      <x:c r="A21" s="109" t="str">
        <x:v>Sistemi esteri</x:v>
      </x:c>
      <x:c r="B21" s="111" t="n">
        <x:v>5</x:v>
      </x:c>
    </x:row>
    <x:row r="22">
      <x:c r="A22" s="109" t="str">
        <x:v>Trasmissione</x:v>
      </x:c>
      <x:c r="B22" s="111" t="n">
        <x:v>11</x:v>
      </x:c>
    </x:row>
    <x:row r="34">
      <x:c r="A34" s="92" t="str">
        <x:v>Gap model-critical da risolvere nelle fasi successive</x:v>
      </x:c>
      <x:c r="B34" s="92"/>
      <x:c r="C34" s="92"/>
      <x:c r="D34" s="92"/>
      <x:c r="E34" s="92"/>
      <x:c r="F34" s="92"/>
      <x:c r="G34" s="92"/>
      <x:c r="H34" s="92"/>
      <x:c r="I34" s="92"/>
      <x:c r="J34" s="92"/>
    </x:row>
    <x:row r="35">
      <x:c r="A35" s="103" t="str">
        <x:v>Gap</x:v>
      </x:c>
      <x:c r="B35" s="103" t="str">
        <x:v>Impatto</x:v>
      </x:c>
      <x:c r="C35" s="103" t="str">
        <x:v>Risoluzione prevista</x:v>
      </x:c>
    </x:row>
    <x:row r="36">
      <x:c r="A36" s="112" t="str">
        <x:v>DDS 2024 completo</x:v>
      </x:c>
      <x:c r="B36" s="112" t="str">
        <x:v>Scenario 2040, commodity, DE-IT/GA-IT</x:v>
      </x:c>
      <x:c r="C36" s="112" t="str">
        <x:v>Fase 3A/3D</x:v>
      </x:c>
    </x:row>
    <x:row r="37">
      <x:c r="A37" s="112" t="str">
        <x:v>Profili orari zonali</x:v>
      </x:c>
      <x:c r="B37" s="112" t="str">
        <x:v>Domanda, VRE, idrologia, nuovi carichi</x:v>
      </x:c>
      <x:c r="C37" s="112" t="str">
        <x:v>Fase 3A/3B/4</x:v>
      </x:c>
    </x:row>
    <x:row r="38">
      <x:c r="A38" s="112" t="str">
        <x:v>Disaggregazione zonale 2050</x:v>
      </x:c>
      <x:c r="B38" s="112" t="str">
        <x:v>Capacità e domanda prevalentemente nazionali</x:v>
      </x:c>
      <x:c r="C38" s="112" t="str">
        <x:v>Fase 4</x:v>
      </x:c>
    </x:row>
    <x:row r="39">
      <x:c r="A39" s="112" t="str">
        <x:v>Capacità di mercato rete</x:v>
      </x:c>
      <x:c r="B39" s="112" t="str">
        <x:v>NTC vs target capacity vs rating progetto</x:v>
      </x:c>
      <x:c r="C39" s="112" t="str">
        <x:v>Fase 3C/4</x:v>
      </x:c>
    </x:row>
    <x:row r="40">
      <x:c r="A40" s="112" t="str">
        <x:v>Parametri tecnici omogenei</x:v>
      </x:c>
      <x:c r="B40" s="112" t="str">
        <x:v>Efficienze, VOM, outage, ramping, startup</x:v>
      </x:c>
      <x:c r="C40" s="112" t="str">
        <x:v>Fase 3D</x:v>
      </x:c>
    </x:row>
    <x:row r="41">
      <x:c r="A41" s="112" t="str">
        <x:v>Perimetro estero</x:v>
      </x:c>
      <x:c r="B41" s="112" t="str">
        <x:v>Endogeno PyPSA-Eur o prezzi/import esogeni</x:v>
      </x:c>
      <x:c r="C41" s="112" t="str">
        <x:v>Fase 3C/4</x:v>
      </x:c>
    </x:row>
    <x:row r="42">
      <x:c r="A42" s="112" t="str">
        <x:v>Idroelettrico</x:v>
      </x:c>
      <x:c r="B42" s="112" t="str">
        <x:v>Energia serbatoi, inflow, SOC terminale</x:v>
      </x:c>
      <x:c r="C42" s="112" t="str">
        <x:v>Fase 3B/4</x:v>
      </x:c>
    </x:row>
    <x:row r="43">
      <x:c r="A43" s="112" t="str">
        <x:v>VOLL e price rules</x:v>
      </x:c>
      <x:c r="B43" s="112" t="str">
        <x:v>Load shedding, cap/floor e PUN proxy</x:v>
      </x:c>
      <x:c r="C43" s="112" t="str">
        <x:v>Fase 3D/4</x:v>
      </x:c>
    </x:row>
  </x:sheetData>
  <x:mergeCells>
    <x:mergeCell ref="A1:J1"/>
    <x:mergeCell ref="A2:J2"/>
    <x:mergeCell ref="D4:J4"/>
    <x:mergeCell ref="D5:J9"/>
    <x:mergeCell ref="A34:J34"/>
  </x:mergeCells>
  <x:conditionalFormatting sqref="A36:C43">
    <x:cfRule type="expression" dxfId="12" priority="1">
      <x:formula>$A36&lt;&gt;""</x:formula>
    </x:cfRule>
  </x:conditionalFormatting>
  <x:pageMargins left="0.7" right="0.7" top="0.75" bottom="0.75" header="0.3" footer="0.3"/>
  <x:drawing xmlns:r="http://schemas.openxmlformats.org/officeDocument/2006/relationships" r:id="Rf4b0aea8efba48c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30" hidden="0" customWidth="1"/>
    <x:col min="5" max="5" width="55" hidden="0" customWidth="1"/>
    <x:col min="6" max="6" width="16" hidden="0" customWidth="1"/>
    <x:col min="7" max="7" width="14" hidden="0" customWidth="1"/>
    <x:col min="8" max="8" width="20" hidden="0" customWidth="1"/>
    <x:col min="9" max="9" width="20" hidden="0" customWidth="1"/>
    <x:col min="10" max="10" width="22" hidden="0" customWidth="1"/>
    <x:col min="11" max="11" width="28" hidden="0" customWidth="1"/>
    <x:col min="12" max="12" width="22" hidden="0" customWidth="1"/>
    <x:col min="13" max="13" width="40" hidden="0" customWidth="1"/>
    <x:col min="14" max="14" width="26" hidden="0" customWidth="1"/>
    <x:col min="15" max="15" width="18" hidden="0" customWidth="1"/>
    <x:col min="16" max="16" width="16" hidden="0" customWidth="1"/>
    <x:col min="17" max="17" width="36" hidden="0" customWidth="1"/>
    <x:col min="18" max="18" width="32" hidden="0" customWidth="1"/>
    <x:col min="19" max="19" width="48" hidden="0" customWidth="1"/>
    <x:col min="20" max="20" width="24" hidden="0" customWidth="1"/>
    <x:col min="21" max="21" width="14" hidden="0" customWidth="1"/>
    <x:col min="22" max="22" width="12" hidden="0" customWidth="1"/>
    <x:col min="23" max="23" width="22" hidden="0" customWidth="1"/>
    <x:col min="24" max="24" width="36" hidden="0" customWidth="1"/>
  </x:cols>
  <x:sheetData>
    <x:row r="1" ht="34" customHeight="1">
      <x:c r="A1" s="97" t="str">
        <x:v>Matrice completa dei requisiti del modello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  <x:c r="P1" s="97"/>
      <x:c r="Q1" s="97"/>
      <x:c r="R1" s="97"/>
      <x:c r="S1" s="97"/>
      <x:c r="T1" s="97"/>
      <x:c r="U1" s="97"/>
      <x:c r="V1" s="97"/>
      <x:c r="W1" s="97"/>
      <x:c r="X1" s="97"/>
    </x:row>
    <x:row r="2" ht="30" customHeight="1">
      <x:c r="A2" s="101" t="str">
        <x:v>134 requisiti; 111 model-critical; valori numerici da estrarre nelle Fasi 3–4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  <x:c r="R2" s="101"/>
      <x:c r="S2" s="101"/>
      <x:c r="T2" s="101"/>
      <x:c r="U2" s="101"/>
      <x:c r="V2" s="101"/>
      <x:c r="W2" s="101"/>
      <x:c r="X2" s="101"/>
    </x:row>
    <x:row r="4" ht="38" customHeight="1">
      <x:c r="A4" s="119" t="str">
        <x:v>Requirement ID</x:v>
      </x:c>
      <x:c r="B4" s="119" t="str">
        <x:v>Categoria</x:v>
      </x:c>
      <x:c r="C4" s="119" t="str">
        <x:v>Sottocategoria</x:v>
      </x:c>
      <x:c r="D4" s="119" t="str">
        <x:v>Variabile</x:v>
      </x:c>
      <x:c r="E4" s="119" t="str">
        <x:v>Descrizione</x:v>
      </x:c>
      <x:c r="F4" s="119" t="str">
        <x:v>Unità</x:v>
      </x:c>
      <x:c r="G4" s="119" t="str">
        <x:v>Anni</x:v>
      </x:c>
      <x:c r="H4" s="119" t="str">
        <x:v>Scenari</x:v>
      </x:c>
      <x:c r="I4" s="119" t="str">
        <x:v>Granularità temporale</x:v>
      </x:c>
      <x:c r="J4" s="119" t="str">
        <x:v>Granularità geografica</x:v>
      </x:c>
      <x:c r="K4" s="119" t="str">
        <x:v>Tecnologie</x:v>
      </x:c>
      <x:c r="L4" s="119" t="str">
        <x:v>Componente PyPSA</x:v>
      </x:c>
      <x:c r="M4" s="119" t="str">
        <x:v>Campo/i PyPSA</x:v>
      </x:c>
      <x:c r="N4" s="119" t="str">
        <x:v>Formato input atteso</x:v>
      </x:c>
      <x:c r="O4" s="119" t="str">
        <x:v>Obbligatorio</x:v>
      </x:c>
      <x:c r="P4" s="119" t="str">
        <x:v>Model-critical</x:v>
      </x:c>
      <x:c r="Q4" s="119" t="str">
        <x:v>Fonte primaria</x:v>
      </x:c>
      <x:c r="R4" s="119" t="str">
        <x:v>Fonte secondaria</x:v>
      </x:c>
      <x:c r="S4" s="119" t="str">
        <x:v>Metodo di derivazione</x:v>
      </x:c>
      <x:c r="T4" s="119" t="str">
        <x:v>Stato</x:v>
      </x:c>
      <x:c r="U4" s="119" t="str">
        <x:v>Target qualità</x:v>
      </x:c>
      <x:c r="V4" s="119" t="str">
        <x:v>Decision ID</x:v>
      </x:c>
      <x:c r="W4" s="119" t="str">
        <x:v>Richiesto entro</x:v>
      </x:c>
      <x:c r="X4" s="119" t="str">
        <x:v>Note</x:v>
      </x:c>
    </x:row>
    <x:row r="5">
      <x:c r="A5" s="83" t="str">
        <x:v>REQ-001</x:v>
      </x:c>
      <x:c r="B5" s="83" t="str">
        <x:v>Scenario e controllo</x:v>
      </x:c>
      <x:c r="C5" s="83" t="str">
        <x:v>Identificazione</x:v>
      </x:c>
      <x:c r="D5" s="83" t="str">
        <x:v>scenario_year</x:v>
      </x:c>
      <x:c r="E5" s="83" t="str">
        <x:v>Anno di simulazione e riferimento del dataset.</x:v>
      </x:c>
      <x:c r="F5" s="83" t="str">
        <x:v>year</x:v>
      </x:c>
      <x:c r="G5" s="83" t="str">
        <x:v>2040; 2050</x:v>
      </x:c>
      <x:c r="H5" s="83" t="str">
        <x:v>Tutti</x:v>
      </x:c>
      <x:c r="I5" s="83" t="str">
        <x:v>Statico per run</x:v>
      </x:c>
      <x:c r="J5" s="83" t="str">
        <x:v>Sistema</x:v>
      </x:c>
      <x:c r="K5" s="83" t="str">
        <x:v>Tutte</x:v>
      </x:c>
      <x:c r="L5" s="83" t="str">
        <x:v>Network / config</x:v>
      </x:c>
      <x:c r="M5" s="83" t="str">
        <x:v>snapshots; investment_periods (solo se usati)</x:v>
      </x:c>
      <x:c r="N5" s="83" t="str">
        <x:v>Intero/config YAML</x:v>
      </x:c>
      <x:c r="O5" s="83" t="str">
        <x:v>Sì</x:v>
      </x:c>
      <x:c r="P5" s="83" t="str">
        <x:v>Sì</x:v>
      </x:c>
      <x:c r="Q5" s="83" t="str">
        <x:v>Piano operativo; S01; S07; S08</x:v>
      </x:c>
      <x:c r="R5" s="83" t="str">
        <x:v>DDS 2024</x:v>
      </x:c>
      <x:c r="S5" s="83" t="str">
        <x:v>Assegnazione esplicita per run.</x:v>
      </x:c>
      <x:c r="T5" s="83" t="str">
        <x:v>Coperto concettualmente</x:v>
      </x:c>
      <x:c r="U5" s="83" t="str">
        <x:v>A</x:v>
      </x:c>
      <x:c r="V5" s="83" t="str">
        <x:v>D01</x:v>
      </x:c>
      <x:c r="W5" s="83" t="str">
        <x:v>Prima della Fase 4</x:v>
      </x:c>
      <x:c r="X5" s="83" t="str">
        <x:v>Un run separato per 2040 e 2050 è il default.</x:v>
      </x:c>
    </x:row>
    <x:row r="6">
      <x:c r="A6" s="83" t="str">
        <x:v>REQ-002</x:v>
      </x:c>
      <x:c r="B6" s="83" t="str">
        <x:v>Scenario e controllo</x:v>
      </x:c>
      <x:c r="C6" s="83" t="str">
        <x:v>Identificazione</x:v>
      </x:c>
      <x:c r="D6" s="83" t="str">
        <x:v>scenario_id</x:v>
      </x:c>
      <x:c r="E6" s="83" t="str">
        <x:v>Nome univoco del caso, comprensivo di anno, rete, meteo e sensitività.</x:v>
      </x:c>
      <x:c r="F6" s="83" t="str">
        <x:v>text</x:v>
      </x:c>
      <x:c r="G6" s="83" t="str">
        <x:v>2040; 2050</x:v>
      </x:c>
      <x:c r="H6" s="83" t="str">
        <x:v>Base e sensitività</x:v>
      </x:c>
      <x:c r="I6" s="83" t="str">
        <x:v>Statico per run</x:v>
      </x:c>
      <x:c r="J6" s="83" t="str">
        <x:v>Sistema</x:v>
      </x:c>
      <x:c r="K6" s="83" t="str">
        <x:v>Tutte</x:v>
      </x:c>
      <x:c r="L6" s="83" t="str">
        <x:v>Config / metadata</x:v>
      </x:c>
      <x:c r="M6" s="83" t="str">
        <x:v>run.name; scenario key</x:v>
      </x:c>
      <x:c r="N6" s="83" t="str">
        <x:v>Stringa normalizzata</x:v>
      </x:c>
      <x:c r="O6" s="83" t="str">
        <x:v>Sì</x:v>
      </x:c>
      <x:c r="P6" s="83" t="str">
        <x:v>No</x:v>
      </x:c>
      <x:c r="Q6" s="83" t="str">
        <x:v>Piano operativo</x:v>
      </x:c>
      <x:c r="R6" s="83" t="str">
        <x:v>PyPSA-Eur config/scenario YAML</x:v>
      </x:c>
      <x:c r="S6" s="83" t="str">
        <x:v>Convenzione di naming.</x:v>
      </x:c>
      <x:c r="T6" s="83" t="str">
        <x:v>Da definire</x:v>
      </x:c>
      <x:c r="U6" s="83" t="str">
        <x:v>A</x:v>
      </x:c>
      <x:c r="V6" s="83" t="str">
        <x:v>D01</x:v>
      </x:c>
      <x:c r="W6" s="83" t="str">
        <x:v>Prima della Fase 4</x:v>
      </x:c>
      <x:c r="X6" s="83" t="str"/>
    </x:row>
    <x:row r="7">
      <x:c r="A7" s="83" t="str">
        <x:v>REQ-003</x:v>
      </x:c>
      <x:c r="B7" s="83" t="str">
        <x:v>Scenario e controllo</x:v>
      </x:c>
      <x:c r="C7" s="83" t="str">
        <x:v>Provenienza</x:v>
      </x:c>
      <x:c r="D7" s="83" t="str">
        <x:v>scenario_source_version</x:v>
      </x:c>
      <x:c r="E7" s="83" t="str">
        <x:v>Versione delle fonti e data di estrazione utilizzate dal caso.</x:v>
      </x:c>
      <x:c r="F7" s="83" t="str">
        <x:v>text/date</x:v>
      </x:c>
      <x:c r="G7" s="83" t="str">
        <x:v>2040; 2050</x:v>
      </x:c>
      <x:c r="H7" s="83" t="str">
        <x:v>Tutti</x:v>
      </x:c>
      <x:c r="I7" s="83" t="str">
        <x:v>Statico</x:v>
      </x:c>
      <x:c r="J7" s="83" t="str">
        <x:v>Sistema</x:v>
      </x:c>
      <x:c r="K7" s="83" t="str">
        <x:v>Tutte</x:v>
      </x:c>
      <x:c r="L7" s="83" t="str">
        <x:v>Metadata esterno</x:v>
      </x:c>
      <x:c r="M7" s="83" t="str">
        <x:v>custom metadata / sidecar</x:v>
      </x:c>
      <x:c r="N7" s="83" t="str">
        <x:v>Registro sorgenti</x:v>
      </x:c>
      <x:c r="O7" s="83" t="str">
        <x:v>Sì</x:v>
      </x:c>
      <x:c r="P7" s="83" t="str">
        <x:v>No</x:v>
      </x:c>
      <x:c r="Q7" s="83" t="str">
        <x:v>00_Source_Register; DDS 2024; fonti future</x:v>
      </x:c>
      <x:c r="R7" s="83" t="str">
        <x:v>Changelog</x:v>
      </x:c>
      <x:c r="S7" s="83" t="str">
        <x:v>Compilazione dall'audit trail.</x:v>
      </x:c>
      <x:c r="T7" s="83" t="str">
        <x:v>Coperto; da popolare</x:v>
      </x:c>
      <x:c r="U7" s="83" t="str">
        <x:v>A</x:v>
      </x:c>
      <x:c r="V7" s="83" t="str">
        <x:v>D34</x:v>
      </x:c>
      <x:c r="W7" s="83" t="str">
        <x:v>Continuo</x:v>
      </x:c>
      <x:c r="X7" s="83" t="str"/>
    </x:row>
    <x:row r="8">
      <x:c r="A8" s="83" t="str">
        <x:v>REQ-004</x:v>
      </x:c>
      <x:c r="B8" s="83" t="str">
        <x:v>Scenario e controllo</x:v>
      </x:c>
      <x:c r="C8" s="83" t="str">
        <x:v>Modalità</x:v>
      </x:c>
      <x:c r="D8" s="83" t="str">
        <x:v>optimization_mode</x:v>
      </x:c>
      <x:c r="E8" s="83" t="str">
        <x:v>Modalità solo dispacciamento con capacità esogene e fisse.</x:v>
      </x:c>
      <x:c r="F8" s="83" t="str">
        <x:v>boolean/text</x:v>
      </x:c>
      <x:c r="G8" s="83" t="str">
        <x:v>2040; 2050</x:v>
      </x:c>
      <x:c r="H8" s="83" t="str">
        <x:v>Base</x:v>
      </x:c>
      <x:c r="I8" s="83" t="str">
        <x:v>Statico</x:v>
      </x:c>
      <x:c r="J8" s="83" t="str">
        <x:v>Sistema</x:v>
      </x:c>
      <x:c r="K8" s="83" t="str">
        <x:v>Tutte</x:v>
      </x:c>
      <x:c r="L8" s="83" t="str">
        <x:v>Generator; Link; Store; StorageUnit</x:v>
      </x:c>
      <x:c r="M8" s="83" t="str">
        <x:v>p_nom_extendable; e_nom_extendable</x:v>
      </x:c>
      <x:c r="N8" s="83" t="str">
        <x:v>Flag componenti</x:v>
      </x:c>
      <x:c r="O8" s="83" t="str">
        <x:v>Sì</x:v>
      </x:c>
      <x:c r="P8" s="83" t="str">
        <x:v>Sì</x:v>
      </x:c>
      <x:c r="Q8" s="83" t="str">
        <x:v>Consegna progetto</x:v>
      </x:c>
      <x:c r="R8" s="83" t="str">
        <x:v>PyPSA official docs</x:v>
      </x:c>
      <x:c r="S8" s="83" t="str">
        <x:v>Impostare capacità non estendibili.</x:v>
      </x:c>
      <x:c r="T8" s="83" t="str">
        <x:v>Definito</x:v>
      </x:c>
      <x:c r="U8" s="83" t="str">
        <x:v>A</x:v>
      </x:c>
      <x:c r="V8" s="83" t="str">
        <x:v>D01</x:v>
      </x:c>
      <x:c r="W8" s="83" t="str">
        <x:v>Prima dell'implementazione</x:v>
      </x:c>
      <x:c r="X8" s="83" t="str">
        <x:v>CAPEX/FOM non devono guidare l'ottimizzazione base.</x:v>
      </x:c>
    </x:row>
    <x:row r="9">
      <x:c r="A9" s="83" t="str">
        <x:v>REQ-005</x:v>
      </x:c>
      <x:c r="B9" s="83" t="str">
        <x:v>Scenario e controllo</x:v>
      </x:c>
      <x:c r="C9" s="83" t="str">
        <x:v>Modalità</x:v>
      </x:c>
      <x:c r="D9" s="83" t="str">
        <x:v>capacity_fixing</x:v>
      </x:c>
      <x:c r="E9" s="83" t="str">
        <x:v>Blocco delle capacità installate ai valori di scenario.</x:v>
      </x:c>
      <x:c r="F9" s="83" t="str">
        <x:v>boolean/MW/MWh</x:v>
      </x:c>
      <x:c r="G9" s="83" t="str">
        <x:v>2040; 2050</x:v>
      </x:c>
      <x:c r="H9" s="83" t="str">
        <x:v>Tutti</x:v>
      </x:c>
      <x:c r="I9" s="83" t="str">
        <x:v>Statico</x:v>
      </x:c>
      <x:c r="J9" s="83" t="str">
        <x:v>Zona/nodo</x:v>
      </x:c>
      <x:c r="K9" s="83" t="str">
        <x:v>Generazione; storage; trasmissione</x:v>
      </x:c>
      <x:c r="L9" s="83" t="str">
        <x:v>Generator; Link; Store; StorageUnit</x:v>
      </x:c>
      <x:c r="M9" s="83" t="str">
        <x:v>p_nom; e_nom; p_nom_extendable=False; e_nom_extendable=False</x:v>
      </x:c>
      <x:c r="N9" s="83" t="str">
        <x:v>Tabelle statiche</x:v>
      </x:c>
      <x:c r="O9" s="83" t="str">
        <x:v>Sì</x:v>
      </x:c>
      <x:c r="P9" s="83" t="str">
        <x:v>Sì</x:v>
      </x:c>
      <x:c r="Q9" s="83" t="str">
        <x:v>S01; S03; S05; S07; S08</x:v>
      </x:c>
      <x:c r="R9" s="83" t="str">
        <x:v>DDS 2024; MACSE; Capacity Market</x:v>
      </x:c>
      <x:c r="S9" s="83" t="str">
        <x:v>Caricamento valori armonizzati.</x:v>
      </x:c>
      <x:c r="T9" s="83" t="str">
        <x:v>Da estrarre</x:v>
      </x:c>
      <x:c r="U9" s="83" t="str">
        <x:v>A/B</x:v>
      </x:c>
      <x:c r="V9" s="83" t="str">
        <x:v>D01</x:v>
      </x:c>
      <x:c r="W9" s="83" t="str">
        <x:v>Fase 4</x:v>
      </x:c>
      <x:c r="X9" s="83" t="str"/>
    </x:row>
    <x:row r="10">
      <x:c r="A10" s="83" t="str">
        <x:v>REQ-006</x:v>
      </x:c>
      <x:c r="B10" s="83" t="str">
        <x:v>Scenario e controllo</x:v>
      </x:c>
      <x:c r="C10" s="83" t="str">
        <x:v>Tempo</x:v>
      </x:c>
      <x:c r="D10" s="83" t="str">
        <x:v>simulation_horizon</x:v>
      </x:c>
      <x:c r="E10" s="83" t="str">
        <x:v>Copertura temporale del run.</x:v>
      </x:c>
      <x:c r="F10" s="83" t="str">
        <x:v>hours/year</x:v>
      </x:c>
      <x:c r="G10" s="83" t="str">
        <x:v>2040; 2050</x:v>
      </x:c>
      <x:c r="H10" s="83" t="str">
        <x:v>Base</x:v>
      </x:c>
      <x:c r="I10" s="83" t="str">
        <x:v>Annuale</x:v>
      </x:c>
      <x:c r="J10" s="83" t="str">
        <x:v>Sistema</x:v>
      </x:c>
      <x:c r="K10" s="83" t="str">
        <x:v>Tutte</x:v>
      </x:c>
      <x:c r="L10" s="83" t="str">
        <x:v>Network</x:v>
      </x:c>
      <x:c r="M10" s="83" t="str">
        <x:v>snapshots</x:v>
      </x:c>
      <x:c r="N10" s="83" t="str">
        <x:v>Indice temporale</x:v>
      </x:c>
      <x:c r="O10" s="83" t="str">
        <x:v>Sì</x:v>
      </x:c>
      <x:c r="P10" s="83" t="str">
        <x:v>Sì</x:v>
      </x:c>
      <x:c r="Q10" s="83" t="str">
        <x:v>Consegna progetto</x:v>
      </x:c>
      <x:c r="R10" s="83" t="str">
        <x:v>PyPSA/PyPSA-Eur</x:v>
      </x:c>
      <x:c r="S10" s="83" t="str">
        <x:v>Anno completo come default.</x:v>
      </x:c>
      <x:c r="T10" s="83" t="str">
        <x:v>Decisione proposta</x:v>
      </x:c>
      <x:c r="U10" s="83" t="str">
        <x:v>A</x:v>
      </x:c>
      <x:c r="V10" s="83" t="str">
        <x:v>D04</x:v>
      </x:c>
      <x:c r="W10" s="83" t="str">
        <x:v>Prima dell'implementazione</x:v>
      </x:c>
      <x:c r="X10" s="83" t="str">
        <x:v>Evitare representative days nel caso base dei prezzi.</x:v>
      </x:c>
    </x:row>
    <x:row r="11">
      <x:c r="A11" s="83" t="str">
        <x:v>REQ-007</x:v>
      </x:c>
      <x:c r="B11" s="83" t="str">
        <x:v>Scenario e controllo</x:v>
      </x:c>
      <x:c r="C11" s="83" t="str">
        <x:v>Tempo</x:v>
      </x:c>
      <x:c r="D11" s="83" t="str">
        <x:v>temporal_resolution</x:v>
      </x:c>
      <x:c r="E11" s="83" t="str">
        <x:v>Passo temporale della simulazione.</x:v>
      </x:c>
      <x:c r="F11" s="83" t="str">
        <x:v>hours/snapshot</x:v>
      </x:c>
      <x:c r="G11" s="83" t="str">
        <x:v>2040; 2050</x:v>
      </x:c>
      <x:c r="H11" s="83" t="str">
        <x:v>Base e sensitività</x:v>
      </x:c>
      <x:c r="I11" s="83" t="str">
        <x:v>Orario</x:v>
      </x:c>
      <x:c r="J11" s="83" t="str">
        <x:v>Sistema</x:v>
      </x:c>
      <x:c r="K11" s="83" t="str">
        <x:v>Tutte</x:v>
      </x:c>
      <x:c r="L11" s="83" t="str">
        <x:v>Network</x:v>
      </x:c>
      <x:c r="M11" s="83" t="str">
        <x:v>snapshots; snapshot_weightings</x:v>
      </x:c>
      <x:c r="N11" s="83" t="str">
        <x:v>Indice e pesi</x:v>
      </x:c>
      <x:c r="O11" s="83" t="str">
        <x:v>Sì</x:v>
      </x:c>
      <x:c r="P11" s="83" t="str">
        <x:v>Sì</x:v>
      </x:c>
      <x:c r="Q11" s="83" t="str">
        <x:v>Consegna progetto</x:v>
      </x:c>
      <x:c r="R11" s="83" t="str">
        <x:v>PyPSA/PyPSA-Eur</x:v>
      </x:c>
      <x:c r="S11" s="83" t="str">
        <x:v>1 ora per snapshot.</x:v>
      </x:c>
      <x:c r="T11" s="83" t="str">
        <x:v>Decisione proposta</x:v>
      </x:c>
      <x:c r="U11" s="83" t="str">
        <x:v>A</x:v>
      </x:c>
      <x:c r="V11" s="83" t="str">
        <x:v>D04</x:v>
      </x:c>
      <x:c r="W11" s="83" t="str">
        <x:v>Prima dell'implementazione</x:v>
      </x:c>
      <x:c r="X11" s="83" t="str"/>
    </x:row>
    <x:row r="12">
      <x:c r="A12" s="83" t="str">
        <x:v>REQ-008</x:v>
      </x:c>
      <x:c r="B12" s="83" t="str">
        <x:v>Scenario e controllo</x:v>
      </x:c>
      <x:c r="C12" s="83" t="str">
        <x:v>Tempo</x:v>
      </x:c>
      <x:c r="D12" s="83" t="str">
        <x:v>calendar_timezone</x:v>
      </x:c>
      <x:c r="E12" s="83" t="str">
        <x:v>Calendario, timezone, ora legale e gestione anno bisestile.</x:v>
      </x:c>
      <x:c r="F12" s="83" t="str">
        <x:v>text</x:v>
      </x:c>
      <x:c r="G12" s="83" t="str">
        <x:v>2040; 2050</x:v>
      </x:c>
      <x:c r="H12" s="83" t="str">
        <x:v>Tutti</x:v>
      </x:c>
      <x:c r="I12" s="83" t="str">
        <x:v>Orario</x:v>
      </x:c>
      <x:c r="J12" s="83" t="str">
        <x:v>Sistema</x:v>
      </x:c>
      <x:c r="K12" s="83" t="str">
        <x:v>Tutte</x:v>
      </x:c>
      <x:c r="L12" s="83" t="str">
        <x:v>Network / preprocessing</x:v>
      </x:c>
      <x:c r="M12" s="83" t="str">
        <x:v>snapshots</x:v>
      </x:c>
      <x:c r="N12" s="83" t="str">
        <x:v>Indice datetime coerente</x:v>
      </x:c>
      <x:c r="O12" s="83" t="str">
        <x:v>Sì</x:v>
      </x:c>
      <x:c r="P12" s="83" t="str">
        <x:v>Sì</x:v>
      </x:c>
      <x:c r="Q12" s="83" t="str">
        <x:v>Portale Dati Terna; PyPSA-Eur</x:v>
      </x:c>
      <x:c r="R12" s="83" t="str">
        <x:v>ENTSO-E</x:v>
      </x:c>
      <x:c r="S12" s="83" t="str">
        <x:v>Normalizzare in timezone scelta senza duplicati o buchi.</x:v>
      </x:c>
      <x:c r="T12" s="83" t="str">
        <x:v>Gap metodologico</x:v>
      </x:c>
      <x:c r="U12" s="83" t="str">
        <x:v>A</x:v>
      </x:c>
      <x:c r="V12" s="83" t="str">
        <x:v>D04</x:v>
      </x:c>
      <x:c r="W12" s="83" t="str">
        <x:v>Prima dell'implementazione</x:v>
      </x:c>
      <x:c r="X12" s="83" t="str"/>
    </x:row>
    <x:row r="13">
      <x:c r="A13" s="83" t="str">
        <x:v>REQ-009</x:v>
      </x:c>
      <x:c r="B13" s="83" t="str">
        <x:v>Scenario e controllo</x:v>
      </x:c>
      <x:c r="C13" s="83" t="str">
        <x:v>Tempo</x:v>
      </x:c>
      <x:c r="D13" s="83" t="str">
        <x:v>snapshot_weightings</x:v>
      </x:c>
      <x:c r="E13" s="83" t="str">
        <x:v>Peso di ciascuno snapshot nell'obiettivo e nei bilanci.</x:v>
      </x:c>
      <x:c r="F13" s="83" t="str">
        <x:v>hours</x:v>
      </x:c>
      <x:c r="G13" s="83" t="str">
        <x:v>2040; 2050</x:v>
      </x:c>
      <x:c r="H13" s="83" t="str">
        <x:v>Tutti</x:v>
      </x:c>
      <x:c r="I13" s="83" t="str">
        <x:v>Orario</x:v>
      </x:c>
      <x:c r="J13" s="83" t="str">
        <x:v>Sistema</x:v>
      </x:c>
      <x:c r="K13" s="83" t="str">
        <x:v>Tutte</x:v>
      </x:c>
      <x:c r="L13" s="83" t="str">
        <x:v>Network</x:v>
      </x:c>
      <x:c r="M13" s="83" t="str">
        <x:v>snapshot_weightings</x:v>
      </x:c>
      <x:c r="N13" s="83" t="str">
        <x:v>Serie temporale</x:v>
      </x:c>
      <x:c r="O13" s="83" t="str">
        <x:v>Sì</x:v>
      </x:c>
      <x:c r="P13" s="83" t="str">
        <x:v>Sì</x:v>
      </x:c>
      <x:c r="Q13" s="83" t="str">
        <x:v>PyPSA official docs</x:v>
      </x:c>
      <x:c r="R13" s="83" t="str">
        <x:v>PyPSA-Eur config</x:v>
      </x:c>
      <x:c r="S13" s="83" t="str">
        <x:v>Peso 1 per run orario completo.</x:v>
      </x:c>
      <x:c r="T13" s="83" t="str">
        <x:v>Decisione proposta</x:v>
      </x:c>
      <x:c r="U13" s="83" t="str">
        <x:v>A</x:v>
      </x:c>
      <x:c r="V13" s="83" t="str">
        <x:v>D04</x:v>
      </x:c>
      <x:c r="W13" s="83" t="str">
        <x:v>Prima dell'implementazione</x:v>
      </x:c>
      <x:c r="X13" s="83" t="str"/>
    </x:row>
    <x:row r="14">
      <x:c r="A14" s="83" t="str">
        <x:v>REQ-010</x:v>
      </x:c>
      <x:c r="B14" s="83" t="str">
        <x:v>Scenario e controllo</x:v>
      </x:c>
      <x:c r="C14" s="83" t="str">
        <x:v>Meteo</x:v>
      </x:c>
      <x:c r="D14" s="83" t="str">
        <x:v>weather_year</x:v>
      </x:c>
      <x:c r="E14" s="83" t="str">
        <x:v>Anno meteorologico usato per profili FER, idrologia e domanda climatica.</x:v>
      </x:c>
      <x:c r="F14" s="83" t="str">
        <x:v>year</x:v>
      </x:c>
      <x:c r="G14" s="83" t="str">
        <x:v>2040; 2050</x:v>
      </x:c>
      <x:c r="H14" s="83" t="str">
        <x:v>Base</x:v>
      </x:c>
      <x:c r="I14" s="83" t="str">
        <x:v>Orario</x:v>
      </x:c>
      <x:c r="J14" s="83" t="str">
        <x:v>Sistema/zone</x:v>
      </x:c>
      <x:c r="K14" s="83" t="str">
        <x:v>FER; idroelettrico; domanda</x:v>
      </x:c>
      <x:c r="L14" s="83" t="str">
        <x:v>Preprocessing / Generator / StorageUnit</x:v>
      </x:c>
      <x:c r="M14" s="83" t="str">
        <x:v>p_max_pu; inflow; Load.p_set</x:v>
      </x:c>
      <x:c r="N14" s="83" t="str">
        <x:v>Serie temporali</x:v>
      </x:c>
      <x:c r="O14" s="83" t="str">
        <x:v>Sì</x:v>
      </x:c>
      <x:c r="P14" s="83" t="str">
        <x:v>Sì</x:v>
      </x:c>
      <x:c r="Q14" s="83" t="str">
        <x:v>PyPSA-Eur/atlite; Terna</x:v>
      </x:c>
      <x:c r="R14" s="83" t="str">
        <x:v>ERA5/SARAH/ENTSO-E</x:v>
      </x:c>
      <x:c r="S14" s="83" t="str">
        <x:v>Selezione esplicita e registrata.</x:v>
      </x:c>
      <x:c r="T14" s="83" t="str">
        <x:v>Gap; da coordinare col progetto CLI</x:v>
      </x:c>
      <x:c r="U14" s="83" t="str">
        <x:v>A/B</x:v>
      </x:c>
      <x:c r="V14" s="83" t="str">
        <x:v>D05</x:v>
      </x:c>
      <x:c r="W14" s="83" t="str">
        <x:v>Prima della Fase 4</x:v>
      </x:c>
      <x:c r="X14" s="83" t="str"/>
    </x:row>
    <x:row r="15">
      <x:c r="A15" s="83" t="str">
        <x:v>REQ-011</x:v>
      </x:c>
      <x:c r="B15" s="83" t="str">
        <x:v>Scenario e controllo</x:v>
      </x:c>
      <x:c r="C15" s="83" t="str">
        <x:v>Meteo</x:v>
      </x:c>
      <x:c r="D15" s="83" t="str">
        <x:v>weather_year_sensitivities</x:v>
      </x:c>
      <x:c r="E15" s="83" t="str">
        <x:v>Set di anni meteorologici per robustezza dei prezzi.</x:v>
      </x:c>
      <x:c r="F15" s="83" t="str">
        <x:v>list[year]</x:v>
      </x:c>
      <x:c r="G15" s="83" t="str">
        <x:v>2040; 2050</x:v>
      </x:c>
      <x:c r="H15" s="83" t="str">
        <x:v>Sensitività</x:v>
      </x:c>
      <x:c r="I15" s="83" t="str">
        <x:v>Orario</x:v>
      </x:c>
      <x:c r="J15" s="83" t="str">
        <x:v>Sistema/zone</x:v>
      </x:c>
      <x:c r="K15" s="83" t="str">
        <x:v>FER; idroelettrico; domanda</x:v>
      </x:c>
      <x:c r="L15" s="83" t="str">
        <x:v>Preprocessing</x:v>
      </x:c>
      <x:c r="M15" s="83" t="str">
        <x:v>scenario dimensions</x:v>
      </x:c>
      <x:c r="N15" s="83" t="str">
        <x:v>Elenco anni</x:v>
      </x:c>
      <x:c r="O15" s="83" t="str">
        <x:v>Desiderabile</x:v>
      </x:c>
      <x:c r="P15" s="83" t="str">
        <x:v>Sì</x:v>
      </x:c>
      <x:c r="Q15" s="83" t="str">
        <x:v>PyPSA-Eur/atlite</x:v>
      </x:c>
      <x:c r="R15" s="83" t="str">
        <x:v>Terna/ENTSO-E</x:v>
      </x:c>
      <x:c r="S15" s="83" t="str">
        <x:v>Eseguire più run senza modificare capacità.</x:v>
      </x:c>
      <x:c r="T15" s="83" t="str">
        <x:v>Da definire</x:v>
      </x:c>
      <x:c r="U15" s="83" t="str">
        <x:v>B</x:v>
      </x:c>
      <x:c r="V15" s="83" t="str">
        <x:v>D05</x:v>
      </x:c>
      <x:c r="W15" s="83" t="str">
        <x:v>Fase 4/7</x:v>
      </x:c>
      <x:c r="X15" s="83" t="str"/>
    </x:row>
    <x:row r="16">
      <x:c r="A16" s="83" t="str">
        <x:v>REQ-012</x:v>
      </x:c>
      <x:c r="B16" s="83" t="str">
        <x:v>Scenario e controllo</x:v>
      </x:c>
      <x:c r="C16" s="83" t="str">
        <x:v>Valuta</x:v>
      </x:c>
      <x:c r="D16" s="83" t="str">
        <x:v>monetary_base_year</x:v>
      </x:c>
      <x:c r="E16" s="83" t="str">
        <x:v>Anno monetario e valuta reale dei costi.</x:v>
      </x:c>
      <x:c r="F16" s="83" t="str">
        <x:v>EUR real year</x:v>
      </x:c>
      <x:c r="G16" s="83" t="str">
        <x:v>2040; 2050</x:v>
      </x:c>
      <x:c r="H16" s="83" t="str">
        <x:v>Tutti</x:v>
      </x:c>
      <x:c r="I16" s="83" t="str">
        <x:v>Statico</x:v>
      </x:c>
      <x:c r="J16" s="83" t="str">
        <x:v>Sistema</x:v>
      </x:c>
      <x:c r="K16" s="83" t="str">
        <x:v>Tutte</x:v>
      </x:c>
      <x:c r="L16" s="83" t="str">
        <x:v>Preprocessing / cost database</x:v>
      </x:c>
      <x:c r="M16" s="83" t="str">
        <x:v>marginal_cost; capital_cost (solo contesto)</x:v>
      </x:c>
      <x:c r="N16" s="83" t="str">
        <x:v>Metadato e valori normalizzati</x:v>
      </x:c>
      <x:c r="O16" s="83" t="str">
        <x:v>Sì</x:v>
      </x:c>
      <x:c r="P16" s="83" t="str">
        <x:v>Sì</x:v>
      </x:c>
      <x:c r="Q16" s="83" t="str">
        <x:v>S07; S08</x:v>
      </x:c>
      <x:c r="R16" s="83" t="str">
        <x:v>PyPSA technology-data; Eurostat</x:v>
      </x:c>
      <x:c r="S16" s="83" t="str">
        <x:v>Deflazione e conversione documentate.</x:v>
      </x:c>
      <x:c r="T16" s="83" t="str">
        <x:v>Gap; da definire</x:v>
      </x:c>
      <x:c r="U16" s="83" t="str">
        <x:v>A/B</x:v>
      </x:c>
      <x:c r="V16" s="83" t="str">
        <x:v>D35</x:v>
      </x:c>
      <x:c r="W16" s="83" t="str">
        <x:v>Fase 3D</x:v>
      </x:c>
      <x:c r="X16" s="83" t="str"/>
    </x:row>
    <x:row r="17">
      <x:c r="A17" s="83" t="str">
        <x:v>REQ-013</x:v>
      </x:c>
      <x:c r="B17" s="83" t="str">
        <x:v>Scenario e controllo</x:v>
      </x:c>
      <x:c r="C17" s="83" t="str">
        <x:v>Audit</x:v>
      </x:c>
      <x:c r="D17" s="83" t="str">
        <x:v>source_traceability</x:v>
      </x:c>
      <x:c r="E17" s="83" t="str">
        <x:v>Tracciabilità da ogni input a documento, pagina, tabella/figura e trasformazione.</x:v>
      </x:c>
      <x:c r="F17" s="83" t="str">
        <x:v>text</x:v>
      </x:c>
      <x:c r="G17" s="83" t="str">
        <x:v>Tutti</x:v>
      </x:c>
      <x:c r="H17" s="83" t="str">
        <x:v>Tutti</x:v>
      </x:c>
      <x:c r="I17" s="83" t="str">
        <x:v>Statico</x:v>
      </x:c>
      <x:c r="J17" s="83" t="str">
        <x:v>Ogni riga input</x:v>
      </x:c>
      <x:c r="K17" s="83" t="str">
        <x:v>Tutte</x:v>
      </x:c>
      <x:c r="L17" s="83" t="str">
        <x:v>Sidecar/workbook</x:v>
      </x:c>
      <x:c r="M17" s="83" t="str">
        <x:v>source_id; page; method; confidence</x:v>
      </x:c>
      <x:c r="N17" s="83" t="str">
        <x:v>Colonne audit</x:v>
      </x:c>
      <x:c r="O17" s="83" t="str">
        <x:v>Sì</x:v>
      </x:c>
      <x:c r="P17" s="83" t="str">
        <x:v>No</x:v>
      </x:c>
      <x:c r="Q17" s="83" t="str">
        <x:v>Piano operativo; output Fase 1</x:v>
      </x:c>
      <x:c r="R17" s="83" t="str">
        <x:v>Tutte le fonti</x:v>
      </x:c>
      <x:c r="S17" s="83" t="str">
        <x:v>Campi obbligatori nel workbook.</x:v>
      </x:c>
      <x:c r="T17" s="83" t="str">
        <x:v>Definito</x:v>
      </x:c>
      <x:c r="U17" s="83" t="str">
        <x:v>A</x:v>
      </x:c>
      <x:c r="V17" s="83" t="str">
        <x:v>D34</x:v>
      </x:c>
      <x:c r="W17" s="83" t="str">
        <x:v>Continuo</x:v>
      </x:c>
      <x:c r="X17" s="83" t="str"/>
    </x:row>
    <x:row r="18">
      <x:c r="A18" s="83" t="str">
        <x:v>REQ-014</x:v>
      </x:c>
      <x:c r="B18" s="83" t="str">
        <x:v>Scenario e controllo</x:v>
      </x:c>
      <x:c r="C18" s="83" t="str">
        <x:v>Audit</x:v>
      </x:c>
      <x:c r="D18" s="83" t="str">
        <x:v>evidence_confidence</x:v>
      </x:c>
      <x:c r="E18" s="83" t="str">
        <x:v>Classe di qualità Direct/Derived/Digitised/Inferred/Assumption.</x:v>
      </x:c>
      <x:c r="F18" s="83" t="str">
        <x:v>class</x:v>
      </x:c>
      <x:c r="G18" s="83" t="str">
        <x:v>Tutti</x:v>
      </x:c>
      <x:c r="H18" s="83" t="str">
        <x:v>Tutti</x:v>
      </x:c>
      <x:c r="I18" s="83" t="str">
        <x:v>Statico</x:v>
      </x:c>
      <x:c r="J18" s="83" t="str">
        <x:v>Ogni riga input</x:v>
      </x:c>
      <x:c r="K18" s="83" t="str">
        <x:v>Tutte</x:v>
      </x:c>
      <x:c r="L18" s="83" t="str">
        <x:v>Sidecar/workbook</x:v>
      </x:c>
      <x:c r="M18" s="83" t="str">
        <x:v>confidence</x:v>
      </x:c>
      <x:c r="N18" s="83" t="str">
        <x:v>Categoria</x:v>
      </x:c>
      <x:c r="O18" s="83" t="str">
        <x:v>Sì</x:v>
      </x:c>
      <x:c r="P18" s="83" t="str">
        <x:v>No</x:v>
      </x:c>
      <x:c r="Q18" s="83" t="str">
        <x:v>Piano operativo</x:v>
      </x:c>
      <x:c r="R18" s="83" t="str">
        <x:v>QA register</x:v>
      </x:c>
      <x:c r="S18" s="83" t="str">
        <x:v>Assegnazione secondo metodo di estrazione.</x:v>
      </x:c>
      <x:c r="T18" s="83" t="str">
        <x:v>Definito</x:v>
      </x:c>
      <x:c r="U18" s="83" t="str">
        <x:v>A-E</x:v>
      </x:c>
      <x:c r="V18" s="83" t="str">
        <x:v>D34</x:v>
      </x:c>
      <x:c r="W18" s="83" t="str">
        <x:v>Continuo</x:v>
      </x:c>
      <x:c r="X18" s="83" t="str"/>
    </x:row>
    <x:row r="19">
      <x:c r="A19" s="83" t="str">
        <x:v>REQ-015</x:v>
      </x:c>
      <x:c r="B19" s="83" t="str">
        <x:v>Geografia e topologia</x:v>
      </x:c>
      <x:c r="C19" s="83" t="str">
        <x:v>Zone</x:v>
      </x:c>
      <x:c r="D19" s="83" t="str">
        <x:v>italian_bidding_zones</x:v>
      </x:c>
      <x:c r="E19" s="83" t="str">
        <x:v>Elenco delle zone di mercato italiane rappresentate come bus di mercato.</x:v>
      </x:c>
      <x:c r="F19" s="83" t="str">
        <x:v>list[text]</x:v>
      </x:c>
      <x:c r="G19" s="83" t="str">
        <x:v>2040; 2050</x:v>
      </x:c>
      <x:c r="H19" s="83" t="str">
        <x:v>Tutti</x:v>
      </x:c>
      <x:c r="I19" s="83" t="str">
        <x:v>Statico</x:v>
      </x:c>
      <x:c r="J19" s="83" t="str">
        <x:v>Zona di mercato</x:v>
      </x:c>
      <x:c r="K19" s="83" t="str">
        <x:v>Tutte</x:v>
      </x:c>
      <x:c r="L19" s="83" t="str">
        <x:v>Bus</x:v>
      </x:c>
      <x:c r="M19" s="83" t="str">
        <x:v>name; carrier; country</x:v>
      </x:c>
      <x:c r="N19" s="83" t="str">
        <x:v>Tabella bus</x:v>
      </x:c>
      <x:c r="O19" s="83" t="str">
        <x:v>Sì</x:v>
      </x:c>
      <x:c r="P19" s="83" t="str">
        <x:v>Sì</x:v>
      </x:c>
      <x:c r="Q19" s="83" t="str">
        <x:v>S01 cap.3; documenti Terna zone</x:v>
      </x:c>
      <x:c r="R19" s="83" t="str">
        <x:v>GME; NTC Terna</x:v>
      </x:c>
      <x:c r="S19" s="83" t="str">
        <x:v>Usare configurazione zonale vigente salvo evidenza di riforma futura.</x:v>
      </x:c>
      <x:c r="T19" s="83" t="str">
        <x:v>Da verificare</x:v>
      </x:c>
      <x:c r="U19" s="83" t="str">
        <x:v>A</x:v>
      </x:c>
      <x:c r="V19" s="83" t="str">
        <x:v>D02</x:v>
      </x:c>
      <x:c r="W19" s="83" t="str">
        <x:v>Fase 3C</x:v>
      </x:c>
      <x:c r="X19" s="83" t="str"/>
    </x:row>
    <x:row r="20">
      <x:c r="A20" s="83" t="str">
        <x:v>REQ-016</x:v>
      </x:c>
      <x:c r="B20" s="83" t="str">
        <x:v>Geografia e topologia</x:v>
      </x:c>
      <x:c r="C20" s="83" t="str">
        <x:v>Zone</x:v>
      </x:c>
      <x:c r="D20" s="83" t="str">
        <x:v>future_zone_boundaries</x:v>
      </x:c>
      <x:c r="E20" s="83" t="str">
        <x:v>Eventuali modifiche ufficiali alla configurazione zonale entro 2040/2050.</x:v>
      </x:c>
      <x:c r="F20" s="83" t="str">
        <x:v>text/geometry</x:v>
      </x:c>
      <x:c r="G20" s="83" t="str">
        <x:v>2040; 2050</x:v>
      </x:c>
      <x:c r="H20" s="83" t="str">
        <x:v>Base e sensitività</x:v>
      </x:c>
      <x:c r="I20" s="83" t="str">
        <x:v>Statico</x:v>
      </x:c>
      <x:c r="J20" s="83" t="str">
        <x:v>Italia</x:v>
      </x:c>
      <x:c r="K20" s="83" t="str">
        <x:v>Tutte</x:v>
      </x:c>
      <x:c r="L20" s="83" t="str">
        <x:v>Bus / preprocessing</x:v>
      </x:c>
      <x:c r="M20" s="83" t="str">
        <x:v>bus mapping</x:v>
      </x:c>
      <x:c r="N20" s="83" t="str">
        <x:v>Crosswalk/versione</x:v>
      </x:c>
      <x:c r="O20" s="83" t="str">
        <x:v>Sì</x:v>
      </x:c>
      <x:c r="P20" s="83" t="str">
        <x:v>Sì</x:v>
      </x:c>
      <x:c r="Q20" s="83" t="str">
        <x:v>S01 cap.3; Terna; ACER bidding zone review</x:v>
      </x:c>
      <x:c r="R20" s="83" t="str">
        <x:v>GME</x:v>
      </x:c>
      <x:c r="S20" s="83" t="str">
        <x:v>Applicare solo cambiamenti ufficiali o scenari separati.</x:v>
      </x:c>
      <x:c r="T20" s="83" t="str">
        <x:v>Gap/watchlist</x:v>
      </x:c>
      <x:c r="U20" s="83" t="str">
        <x:v>B</x:v>
      </x:c>
      <x:c r="V20" s="83" t="str">
        <x:v>D02</x:v>
      </x:c>
      <x:c r="W20" s="83" t="str">
        <x:v>Fase 3C/4</x:v>
      </x:c>
      <x:c r="X20" s="83" t="str"/>
    </x:row>
    <x:row r="21">
      <x:c r="A21" s="83" t="str">
        <x:v>REQ-017</x:v>
      </x:c>
      <x:c r="B21" s="83" t="str">
        <x:v>Geografia e topologia</x:v>
      </x:c>
      <x:c r="C21" s="83" t="str">
        <x:v>Crosswalk</x:v>
      </x:c>
      <x:c r="D21" s="83" t="str">
        <x:v>region_zone_crosswalk</x:v>
      </x:c>
      <x:c r="E21" s="83" t="str">
        <x:v>Mappatura regione/provincia/comune verso zona di mercato.</x:v>
      </x:c>
      <x:c r="F21" s="83" t="str">
        <x:v>mapping</x:v>
      </x:c>
      <x:c r="G21" s="83" t="str">
        <x:v>2040; 2050</x:v>
      </x:c>
      <x:c r="H21" s="83" t="str">
        <x:v>Tutti</x:v>
      </x:c>
      <x:c r="I21" s="83" t="str">
        <x:v>Statico</x:v>
      </x:c>
      <x:c r="J21" s="83" t="str">
        <x:v>Regione/provincia/comune → zona</x:v>
      </x:c>
      <x:c r="K21" s="83" t="str">
        <x:v>Tutte</x:v>
      </x:c>
      <x:c r="L21" s="83" t="str">
        <x:v>Preprocessing / Bus</x:v>
      </x:c>
      <x:c r="M21" s="83" t="str">
        <x:v>bus assignment</x:v>
      </x:c>
      <x:c r="N21" s="83" t="str">
        <x:v>Tabella many-to-one</x:v>
      </x:c>
      <x:c r="O21" s="83" t="str">
        <x:v>Sì</x:v>
      </x:c>
      <x:c r="P21" s="83" t="str">
        <x:v>Sì</x:v>
      </x:c>
      <x:c r="Q21" s="83" t="str">
        <x:v>S04; S01; S05</x:v>
      </x:c>
      <x:c r="R21" s="83" t="str">
        <x:v>ISTAT geometries; Terna</x:v>
      </x:c>
      <x:c r="S21" s="83" t="str">
        <x:v>Regole esplicite per eccezioni territoriali.</x:v>
      </x:c>
      <x:c r="T21" s="83" t="str">
        <x:v>Parziale; da costruire</x:v>
      </x:c>
      <x:c r="U21" s="83" t="str">
        <x:v>A/B</x:v>
      </x:c>
      <x:c r="V21" s="83" t="str">
        <x:v>D02</x:v>
      </x:c>
      <x:c r="W21" s="83" t="str">
        <x:v>Fase 3A/3C</x:v>
      </x:c>
      <x:c r="X21" s="83" t="str"/>
    </x:row>
    <x:row r="22">
      <x:c r="A22" s="83" t="str">
        <x:v>REQ-018</x:v>
      </x:c>
      <x:c r="B22" s="83" t="str">
        <x:v>Geografia e topologia</x:v>
      </x:c>
      <x:c r="C22" s="83" t="str">
        <x:v>Topologia</x:v>
      </x:c>
      <x:c r="D22" s="83" t="str">
        <x:v>zone_adjacency</x:v>
      </x:c>
      <x:c r="E22" s="83" t="str">
        <x:v>Matrice di adiacenza delle zone e corridoi di scambio.</x:v>
      </x:c>
      <x:c r="F22" s="83" t="str">
        <x:v>mapping</x:v>
      </x:c>
      <x:c r="G22" s="83" t="str">
        <x:v>2040; 2050</x:v>
      </x:c>
      <x:c r="H22" s="83" t="str">
        <x:v>Tutti</x:v>
      </x:c>
      <x:c r="I22" s="83" t="str">
        <x:v>Statico</x:v>
      </x:c>
      <x:c r="J22" s="83" t="str">
        <x:v>Coppia di zone</x:v>
      </x:c>
      <x:c r="K22" s="83" t="str">
        <x:v>Trasmissione</x:v>
      </x:c>
      <x:c r="L22" s="83" t="str">
        <x:v>Link</x:v>
      </x:c>
      <x:c r="M22" s="83" t="str">
        <x:v>bus0; bus1</x:v>
      </x:c>
      <x:c r="N22" s="83" t="str">
        <x:v>Edge list</x:v>
      </x:c>
      <x:c r="O22" s="83" t="str">
        <x:v>Sì</x:v>
      </x:c>
      <x:c r="P22" s="83" t="str">
        <x:v>Sì</x:v>
      </x:c>
      <x:c r="Q22" s="83" t="str">
        <x:v>S01; S03; S05</x:v>
      </x:c>
      <x:c r="R22" s="83" t="str">
        <x:v>Terna NTC</x:v>
      </x:c>
      <x:c r="S22" s="83" t="str">
        <x:v>Costruzione dai corridoi ufficiali.</x:v>
      </x:c>
      <x:c r="T22" s="83" t="str">
        <x:v>Da estrarre</x:v>
      </x:c>
      <x:c r="U22" s="83" t="str">
        <x:v>A</x:v>
      </x:c>
      <x:c r="V22" s="83" t="str">
        <x:v>D20</x:v>
      </x:c>
      <x:c r="W22" s="83" t="str">
        <x:v>Fase 3C</x:v>
      </x:c>
      <x:c r="X22" s="83" t="str"/>
    </x:row>
    <x:row r="23">
      <x:c r="A23" s="83" t="str">
        <x:v>REQ-019</x:v>
      </x:c>
      <x:c r="B23" s="83" t="str">
        <x:v>Geografia e topologia</x:v>
      </x:c>
      <x:c r="C23" s="83" t="str">
        <x:v>Topologia</x:v>
      </x:c>
      <x:c r="D23" s="83" t="str">
        <x:v>foreign_market_nodes</x:v>
      </x:c>
      <x:c r="E23" s="83" t="str">
        <x:v>Nodi o zone estere connessi all'Italia.</x:v>
      </x:c>
      <x:c r="F23" s="83" t="str">
        <x:v>list[text]</x:v>
      </x:c>
      <x:c r="G23" s="83" t="str">
        <x:v>2040; 2050</x:v>
      </x:c>
      <x:c r="H23" s="83" t="str">
        <x:v>Tutti</x:v>
      </x:c>
      <x:c r="I23" s="83" t="str">
        <x:v>Statico</x:v>
      </x:c>
      <x:c r="J23" s="83" t="str">
        <x:v>Frontiere estere</x:v>
      </x:c>
      <x:c r="K23" s="83" t="str">
        <x:v>Sistemi esteri</x:v>
      </x:c>
      <x:c r="L23" s="83" t="str">
        <x:v>Bus</x:v>
      </x:c>
      <x:c r="M23" s="83" t="str">
        <x:v>name; country; carrier</x:v>
      </x:c>
      <x:c r="N23" s="83" t="str">
        <x:v>Tabella bus esteri</x:v>
      </x:c>
      <x:c r="O23" s="83" t="str">
        <x:v>Sì</x:v>
      </x:c>
      <x:c r="P23" s="83" t="str">
        <x:v>Sì</x:v>
      </x:c>
      <x:c r="Q23" s="83" t="str">
        <x:v>S01; S03; S05; S08</x:v>
      </x:c>
      <x:c r="R23" s="83" t="str">
        <x:v>PyPSA-Eur/TYNDP</x:v>
      </x:c>
      <x:c r="S23" s="83" t="str">
        <x:v>Definizione coerente con modalità endogena o esogena.</x:v>
      </x:c>
      <x:c r="T23" s="83" t="str">
        <x:v>Decisione aperta</x:v>
      </x:c>
      <x:c r="U23" s="83" t="str">
        <x:v>A/B</x:v>
      </x:c>
      <x:c r="V23" s="83" t="str">
        <x:v>D03</x:v>
      </x:c>
      <x:c r="W23" s="83" t="str">
        <x:v>Fase 3C</x:v>
      </x:c>
      <x:c r="X23" s="83" t="str"/>
    </x:row>
    <x:row r="24">
      <x:c r="A24" s="83" t="str">
        <x:v>REQ-020</x:v>
      </x:c>
      <x:c r="B24" s="83" t="str">
        <x:v>Geografia e topologia</x:v>
      </x:c>
      <x:c r="C24" s="83" t="str">
        <x:v>Topologia</x:v>
      </x:c>
      <x:c r="D24" s="83" t="str">
        <x:v>special_limited_zones</x:v>
      </x:c>
      <x:c r="E24" s="83" t="str">
        <x:v>Trattamento di poli di produzione limitata o nodi speciali rilevanti.</x:v>
      </x:c>
      <x:c r="F24" s="83" t="str">
        <x:v>text/list</x:v>
      </x:c>
      <x:c r="G24" s="83" t="str">
        <x:v>2040; 2050</x:v>
      </x:c>
      <x:c r="H24" s="83" t="str">
        <x:v>Sensitività/solo se rilevante</x:v>
      </x:c>
      <x:c r="I24" s="83" t="str">
        <x:v>Statico</x:v>
      </x:c>
      <x:c r="J24" s="83" t="str">
        <x:v>Italia</x:v>
      </x:c>
      <x:c r="K24" s="83" t="str">
        <x:v>Generazione/rete</x:v>
      </x:c>
      <x:c r="L24" s="83" t="str">
        <x:v>Bus / Link</x:v>
      </x:c>
      <x:c r="M24" s="83" t="str">
        <x:v>custom topology</x:v>
      </x:c>
      <x:c r="N24" s="83" t="str">
        <x:v>Elenco e mapping</x:v>
      </x:c>
      <x:c r="O24" s="83" t="str">
        <x:v>Desiderabile</x:v>
      </x:c>
      <x:c r="P24" s="83" t="str">
        <x:v>Sì</x:v>
      </x:c>
      <x:c r="Q24" s="83" t="str">
        <x:v>Terna zone/limiti di transito</x:v>
      </x:c>
      <x:c r="R24" s="83" t="str">
        <x:v>GME</x:v>
      </x:c>
      <x:c r="S24" s="83" t="str">
        <x:v>Includere solo se materialmente rilevanti per prezzi zonali.</x:v>
      </x:c>
      <x:c r="T24" s="83" t="str">
        <x:v>Da valutare</x:v>
      </x:c>
      <x:c r="U24" s="83" t="str">
        <x:v>B</x:v>
      </x:c>
      <x:c r="V24" s="83" t="str">
        <x:v>D02</x:v>
      </x:c>
      <x:c r="W24" s="83" t="str">
        <x:v>Fase 3C</x:v>
      </x:c>
      <x:c r="X24" s="83" t="str"/>
    </x:row>
    <x:row r="25">
      <x:c r="A25" s="83" t="str">
        <x:v>REQ-021</x:v>
      </x:c>
      <x:c r="B25" s="83" t="str">
        <x:v>Geografia e topologia</x:v>
      </x:c>
      <x:c r="C25" s="83" t="str">
        <x:v>Geometrie</x:v>
      </x:c>
      <x:c r="D25" s="83" t="str">
        <x:v>bus_coordinates_shapes</x:v>
      </x:c>
      <x:c r="E25" s="83" t="str">
        <x:v>Coordinate e geometrie per mapping, QA e visualizzazione.</x:v>
      </x:c>
      <x:c r="F25" s="83" t="str">
        <x:v>degrees/geometry</x:v>
      </x:c>
      <x:c r="G25" s="83" t="str">
        <x:v>2040; 2050</x:v>
      </x:c>
      <x:c r="H25" s="83" t="str">
        <x:v>Tutti</x:v>
      </x:c>
      <x:c r="I25" s="83" t="str">
        <x:v>Statico</x:v>
      </x:c>
      <x:c r="J25" s="83" t="str">
        <x:v>Zone/nodi</x:v>
      </x:c>
      <x:c r="K25" s="83" t="str">
        <x:v>Tutte</x:v>
      </x:c>
      <x:c r="L25" s="83" t="str">
        <x:v>Bus / Shapes</x:v>
      </x:c>
      <x:c r="M25" s="83" t="str">
        <x:v>x; y; geometry</x:v>
      </x:c>
      <x:c r="N25" s="83" t="str">
        <x:v>GeoJSON/tabella</x:v>
      </x:c>
      <x:c r="O25" s="83" t="str">
        <x:v>Desiderabile</x:v>
      </x:c>
      <x:c r="P25" s="83" t="str">
        <x:v>No</x:v>
      </x:c>
      <x:c r="Q25" s="83" t="str">
        <x:v>PyPSA-Eur; ISTAT; Terna maps</x:v>
      </x:c>
      <x:c r="R25" s="83" t="str">
        <x:v>Eurostat GISCO</x:v>
      </x:c>
      <x:c r="S25" s="83" t="str">
        <x:v>Centroidi o shapes coerenti.</x:v>
      </x:c>
      <x:c r="T25" s="83" t="str">
        <x:v>Disponibile esternamente</x:v>
      </x:c>
      <x:c r="U25" s="83" t="str">
        <x:v>B</x:v>
      </x:c>
      <x:c r="V25" s="83" t="str">
        <x:v>D36</x:v>
      </x:c>
      <x:c r="W25" s="83" t="str">
        <x:v>Fase 5/7</x:v>
      </x:c>
      <x:c r="X25" s="83" t="str"/>
    </x:row>
    <x:row r="26">
      <x:c r="A26" s="83" t="str">
        <x:v>REQ-022</x:v>
      </x:c>
      <x:c r="B26" s="83" t="str">
        <x:v>Geografia e topologia</x:v>
      </x:c>
      <x:c r="C26" s="83" t="str">
        <x:v>Aggregazione</x:v>
      </x:c>
      <x:c r="D26" s="83" t="str">
        <x:v>plant_spatial_assignment</x:v>
      </x:c>
      <x:c r="E26" s="83" t="str">
        <x:v>Regola per assegnare impianti e capacità a zone.</x:v>
      </x:c>
      <x:c r="F26" s="83" t="str">
        <x:v>mapping rule</x:v>
      </x:c>
      <x:c r="G26" s="83" t="str">
        <x:v>2040; 2050</x:v>
      </x:c>
      <x:c r="H26" s="83" t="str">
        <x:v>Tutti</x:v>
      </x:c>
      <x:c r="I26" s="83" t="str">
        <x:v>Statico</x:v>
      </x:c>
      <x:c r="J26" s="83" t="str">
        <x:v>Impianto/regione → zona</x:v>
      </x:c>
      <x:c r="K26" s="83" t="str">
        <x:v>Generazione/storage</x:v>
      </x:c>
      <x:c r="L26" s="83" t="str">
        <x:v>Generator; StorageUnit; Store</x:v>
      </x:c>
      <x:c r="M26" s="83" t="str">
        <x:v>bus</x:v>
      </x:c>
      <x:c r="N26" s="83" t="str">
        <x:v>Crosswalk</x:v>
      </x:c>
      <x:c r="O26" s="83" t="str">
        <x:v>Sì</x:v>
      </x:c>
      <x:c r="P26" s="83" t="str">
        <x:v>Sì</x:v>
      </x:c>
      <x:c r="Q26" s="83" t="str">
        <x:v>S01; S04; Gaudì</x:v>
      </x:c>
      <x:c r="R26" s="83" t="str">
        <x:v>powerplantmatching</x:v>
      </x:c>
      <x:c r="S26" s="83" t="str">
        <x:v>Priorità a coordinate/impianto, poi regione, poi proxy.</x:v>
      </x:c>
      <x:c r="T26" s="83" t="str">
        <x:v>Parziale</x:v>
      </x:c>
      <x:c r="U26" s="83" t="str">
        <x:v>A/B</x:v>
      </x:c>
      <x:c r="V26" s="83" t="str">
        <x:v>D09</x:v>
      </x:c>
      <x:c r="W26" s="83" t="str">
        <x:v>Fase 3A/4</x:v>
      </x:c>
      <x:c r="X26" s="83" t="str"/>
    </x:row>
    <x:row r="27">
      <x:c r="A27" s="83" t="str">
        <x:v>REQ-023</x:v>
      </x:c>
      <x:c r="B27" s="83" t="str">
        <x:v>Geografia e topologia</x:v>
      </x:c>
      <x:c r="C27" s="83" t="str">
        <x:v>Aggregazione</x:v>
      </x:c>
      <x:c r="D27" s="83" t="str">
        <x:v>network_aggregation_level</x:v>
      </x:c>
      <x:c r="E27" s="83" t="str">
        <x:v>Livello di aggregazione tra nodale PyPSA-Eur e zone di mercato.</x:v>
      </x:c>
      <x:c r="F27" s="83" t="str">
        <x:v>text</x:v>
      </x:c>
      <x:c r="G27" s="83" t="str">
        <x:v>2040; 2050</x:v>
      </x:c>
      <x:c r="H27" s="83" t="str">
        <x:v>Base e sensitività</x:v>
      </x:c>
      <x:c r="I27" s="83" t="str">
        <x:v>Statico</x:v>
      </x:c>
      <x:c r="J27" s="83" t="str">
        <x:v>Italia/Europa</x:v>
      </x:c>
      <x:c r="K27" s="83" t="str">
        <x:v>Tutte</x:v>
      </x:c>
      <x:c r="L27" s="83" t="str">
        <x:v>Network clustering / Bus / Link</x:v>
      </x:c>
      <x:c r="M27" s="83" t="str">
        <x:v>clustered network</x:v>
      </x:c>
      <x:c r="N27" s="83" t="str">
        <x:v>Config/scenario</x:v>
      </x:c>
      <x:c r="O27" s="83" t="str">
        <x:v>Sì</x:v>
      </x:c>
      <x:c r="P27" s="83" t="str">
        <x:v>Sì</x:v>
      </x:c>
      <x:c r="Q27" s="83" t="str">
        <x:v>Obiettivo progetto; S01 cap.3</x:v>
      </x:c>
      <x:c r="R27" s="83" t="str">
        <x:v>PyPSA-Eur clustering docs</x:v>
      </x:c>
      <x:c r="S27" s="83" t="str">
        <x:v>Default: modello zonale di trasporto per prezzi MGP.</x:v>
      </x:c>
      <x:c r="T27" s="83" t="str">
        <x:v>Decisione proposta</x:v>
      </x:c>
      <x:c r="U27" s="83" t="str">
        <x:v>A</x:v>
      </x:c>
      <x:c r="V27" s="83" t="str">
        <x:v>D01</x:v>
      </x:c>
      <x:c r="W27" s="83" t="str">
        <x:v>Prima della Fase 3C</x:v>
      </x:c>
      <x:c r="X27" s="83" t="str"/>
    </x:row>
    <x:row r="28">
      <x:c r="A28" s="83" t="str">
        <x:v>REQ-024</x:v>
      </x:c>
      <x:c r="B28" s="83" t="str">
        <x:v>Domanda</x:v>
      </x:c>
      <x:c r="C28" s="83" t="str">
        <x:v>Totale</x:v>
      </x:c>
      <x:c r="D28" s="83" t="str">
        <x:v>annual_electricity_demand</x:v>
      </x:c>
      <x:c r="E28" s="83" t="str">
        <x:v>Fabbisogno/domanda elettrica annuale nazionale coerente col perimetro di rete.</x:v>
      </x:c>
      <x:c r="F28" s="83" t="str">
        <x:v>TWh/year</x:v>
      </x:c>
      <x:c r="G28" s="83" t="str">
        <x:v>2040; 2050</x:v>
      </x:c>
      <x:c r="H28" s="83" t="str">
        <x:v>Tutti</x:v>
      </x:c>
      <x:c r="I28" s="83" t="str">
        <x:v>Annuale</x:v>
      </x:c>
      <x:c r="J28" s="83" t="str">
        <x:v>Nazionale</x:v>
      </x:c>
      <x:c r="K28" s="83" t="str">
        <x:v>Domanda</x:v>
      </x:c>
      <x:c r="L28" s="83" t="str">
        <x:v>Load / preprocessing</x:v>
      </x:c>
      <x:c r="M28" s="83" t="str">
        <x:v>p_set (scalato)</x:v>
      </x:c>
      <x:c r="N28" s="83" t="str">
        <x:v>Valore annuale</x:v>
      </x:c>
      <x:c r="O28" s="83" t="str">
        <x:v>Sì</x:v>
      </x:c>
      <x:c r="P28" s="83" t="str">
        <x:v>Sì</x:v>
      </x:c>
      <x:c r="Q28" s="83" t="str">
        <x:v>S01; S07; S08</x:v>
      </x:c>
      <x:c r="R28" s="83" t="str">
        <x:v>DDS 2024; Terna statistics</x:v>
      </x:c>
      <x:c r="S28" s="83" t="str">
        <x:v>Selezione e riconciliazione delle definizioni.</x:v>
      </x:c>
      <x:c r="T28" s="83" t="str">
        <x:v>Da estrarre</x:v>
      </x:c>
      <x:c r="U28" s="83" t="str">
        <x:v>A/B</x:v>
      </x:c>
      <x:c r="V28" s="83" t="str">
        <x:v>D06</x:v>
      </x:c>
      <x:c r="W28" s="83" t="str">
        <x:v>Fase 3A</x:v>
      </x:c>
      <x:c r="X28" s="83" t="str"/>
    </x:row>
    <x:row r="29">
      <x:c r="A29" s="83" t="str">
        <x:v>REQ-025</x:v>
      </x:c>
      <x:c r="B29" s="83" t="str">
        <x:v>Domanda</x:v>
      </x:c>
      <x:c r="C29" s="83" t="str">
        <x:v>Totale</x:v>
      </x:c>
      <x:c r="D29" s="83" t="str">
        <x:v>annual_zonal_demand</x:v>
      </x:c>
      <x:c r="E29" s="83" t="str">
        <x:v>Domanda annua per zona di mercato.</x:v>
      </x:c>
      <x:c r="F29" s="83" t="str">
        <x:v>MWh/year</x:v>
      </x:c>
      <x:c r="G29" s="83" t="str">
        <x:v>2040; 2050</x:v>
      </x:c>
      <x:c r="H29" s="83" t="str">
        <x:v>Tutti</x:v>
      </x:c>
      <x:c r="I29" s="83" t="str">
        <x:v>Annuale</x:v>
      </x:c>
      <x:c r="J29" s="83" t="str">
        <x:v>Zona</x:v>
      </x:c>
      <x:c r="K29" s="83" t="str">
        <x:v>Domanda</x:v>
      </x:c>
      <x:c r="L29" s="83" t="str">
        <x:v>Load</x:v>
      </x:c>
      <x:c r="M29" s="83" t="str">
        <x:v>p_set (somma annuale)</x:v>
      </x:c>
      <x:c r="N29" s="83" t="str">
        <x:v>Tabella zona-anno</x:v>
      </x:c>
      <x:c r="O29" s="83" t="str">
        <x:v>Sì</x:v>
      </x:c>
      <x:c r="P29" s="83" t="str">
        <x:v>Sì</x:v>
      </x:c>
      <x:c r="Q29" s="83" t="str">
        <x:v>S01; Portale Dati Terna</x:v>
      </x:c>
      <x:c r="R29" s="83" t="str">
        <x:v>S04; domanda regionale</x:v>
      </x:c>
      <x:c r="S29" s="83" t="str">
        <x:v>Dato diretto o disaggregazione con proxy documentato.</x:v>
      </x:c>
      <x:c r="T29" s="83" t="str">
        <x:v>Parziale/gap 2050</x:v>
      </x:c>
      <x:c r="U29" s="83" t="str">
        <x:v>A-D</x:v>
      </x:c>
      <x:c r="V29" s="83" t="str">
        <x:v>D06</x:v>
      </x:c>
      <x:c r="W29" s="83" t="str">
        <x:v>Fase 3A/4</x:v>
      </x:c>
      <x:c r="X29" s="83" t="str"/>
    </x:row>
    <x:row r="30">
      <x:c r="A30" s="83" t="str">
        <x:v>REQ-026</x:v>
      </x:c>
      <x:c r="B30" s="83" t="str">
        <x:v>Domanda</x:v>
      </x:c>
      <x:c r="C30" s="83" t="str">
        <x:v>Profili</x:v>
      </x:c>
      <x:c r="D30" s="83" t="str">
        <x:v>hourly_national_load_profile</x:v>
      </x:c>
      <x:c r="E30" s="83" t="str">
        <x:v>Profilo orario nazionale usato come controllo.</x:v>
      </x:c>
      <x:c r="F30" s="83" t="str">
        <x:v>MW</x:v>
      </x:c>
      <x:c r="G30" s="83" t="str">
        <x:v>2040; 2050</x:v>
      </x:c>
      <x:c r="H30" s="83" t="str">
        <x:v>Tutti</x:v>
      </x:c>
      <x:c r="I30" s="83" t="str">
        <x:v>Orario</x:v>
      </x:c>
      <x:c r="J30" s="83" t="str">
        <x:v>Nazionale</x:v>
      </x:c>
      <x:c r="K30" s="83" t="str">
        <x:v>Domanda</x:v>
      </x:c>
      <x:c r="L30" s="83" t="str">
        <x:v>Load</x:v>
      </x:c>
      <x:c r="M30" s="83" t="str">
        <x:v>p_set</x:v>
      </x:c>
      <x:c r="N30" s="83" t="str">
        <x:v>Serie temporale</x:v>
      </x:c>
      <x:c r="O30" s="83" t="str">
        <x:v>Sì</x:v>
      </x:c>
      <x:c r="P30" s="83" t="str">
        <x:v>Sì</x:v>
      </x:c>
      <x:c r="Q30" s="83" t="str">
        <x:v>Portale Dati Terna; PyPSA-Eur</x:v>
      </x:c>
      <x:c r="R30" s="83" t="str">
        <x:v>ENTSO-E</x:v>
      </x:c>
      <x:c r="S30" s="83" t="str">
        <x:v>Profilo storico/meteo scalato al totale futuro.</x:v>
      </x:c>
      <x:c r="T30" s="83" t="str">
        <x:v>Gap esterno</x:v>
      </x:c>
      <x:c r="U30" s="83" t="str">
        <x:v>A/B</x:v>
      </x:c>
      <x:c r="V30" s="83" t="str">
        <x:v>D06</x:v>
      </x:c>
      <x:c r="W30" s="83" t="str">
        <x:v>Fase 3A/4</x:v>
      </x:c>
      <x:c r="X30" s="83" t="str"/>
    </x:row>
    <x:row r="31">
      <x:c r="A31" s="83" t="str">
        <x:v>REQ-027</x:v>
      </x:c>
      <x:c r="B31" s="83" t="str">
        <x:v>Domanda</x:v>
      </x:c>
      <x:c r="C31" s="83" t="str">
        <x:v>Profili</x:v>
      </x:c>
      <x:c r="D31" s="83" t="str">
        <x:v>hourly_zonal_load_profiles</x:v>
      </x:c>
      <x:c r="E31" s="83" t="str">
        <x:v>Profili orari per zona, con somma coerente al profilo nazionale.</x:v>
      </x:c>
      <x:c r="F31" s="83" t="str">
        <x:v>MW</x:v>
      </x:c>
      <x:c r="G31" s="83" t="str">
        <x:v>2040; 2050</x:v>
      </x:c>
      <x:c r="H31" s="83" t="str">
        <x:v>Tutti</x:v>
      </x:c>
      <x:c r="I31" s="83" t="str">
        <x:v>Orario</x:v>
      </x:c>
      <x:c r="J31" s="83" t="str">
        <x:v>Zona</x:v>
      </x:c>
      <x:c r="K31" s="83" t="str">
        <x:v>Domanda</x:v>
      </x:c>
      <x:c r="L31" s="83" t="str">
        <x:v>Load</x:v>
      </x:c>
      <x:c r="M31" s="83" t="str">
        <x:v>p_set</x:v>
      </x:c>
      <x:c r="N31" s="83" t="str">
        <x:v>Matrice time × zone</x:v>
      </x:c>
      <x:c r="O31" s="83" t="str">
        <x:v>Sì</x:v>
      </x:c>
      <x:c r="P31" s="83" t="str">
        <x:v>Sì</x:v>
      </x:c>
      <x:c r="Q31" s="83" t="str">
        <x:v>Terna dati zonali se disponibili</x:v>
      </x:c>
      <x:c r="R31" s="83" t="str">
        <x:v>PyPSA-Eur; proxy regionali</x:v>
      </x:c>
      <x:c r="S31" s="83" t="str">
        <x:v>Scalatura/allocazione e riconciliazione.</x:v>
      </x:c>
      <x:c r="T31" s="83" t="str">
        <x:v>Gap critico</x:v>
      </x:c>
      <x:c r="U31" s="83" t="str">
        <x:v>A-D</x:v>
      </x:c>
      <x:c r="V31" s="83" t="str">
        <x:v>D06</x:v>
      </x:c>
      <x:c r="W31" s="83" t="str">
        <x:v>Fase 3A/4</x:v>
      </x:c>
      <x:c r="X31" s="83" t="str"/>
    </x:row>
    <x:row r="32">
      <x:c r="A32" s="83" t="str">
        <x:v>REQ-028</x:v>
      </x:c>
      <x:c r="B32" s="83" t="str">
        <x:v>Domanda</x:v>
      </x:c>
      <x:c r="C32" s="83" t="str">
        <x:v>Settori</x:v>
      </x:c>
      <x:c r="D32" s="83" t="str">
        <x:v>annual_sectoral_demand</x:v>
      </x:c>
      <x:c r="E32" s="83" t="str">
        <x:v>Consumi elettrici annui per settore coerenti con il totale.</x:v>
      </x:c>
      <x:c r="F32" s="83" t="str">
        <x:v>TWh/year</x:v>
      </x:c>
      <x:c r="G32" s="83" t="str">
        <x:v>2040; 2050</x:v>
      </x:c>
      <x:c r="H32" s="83" t="str">
        <x:v>Tutti</x:v>
      </x:c>
      <x:c r="I32" s="83" t="str">
        <x:v>Annuale</x:v>
      </x:c>
      <x:c r="J32" s="83" t="str">
        <x:v>Nazionale/regionale</x:v>
      </x:c>
      <x:c r="K32" s="83" t="str">
        <x:v>Civile; industria; trasporti; altri</x:v>
      </x:c>
      <x:c r="L32" s="83" t="str">
        <x:v>Load / metadata</x:v>
      </x:c>
      <x:c r="M32" s="83" t="str">
        <x:v>p_set aggregated by carrier</x:v>
      </x:c>
      <x:c r="N32" s="83" t="str">
        <x:v>Tabella settore-anno-geografia</x:v>
      </x:c>
      <x:c r="O32" s="83" t="str">
        <x:v>Desiderabile</x:v>
      </x:c>
      <x:c r="P32" s="83" t="str">
        <x:v>Sì</x:v>
      </x:c>
      <x:c r="Q32" s="83" t="str">
        <x:v>S07; S08</x:v>
      </x:c>
      <x:c r="R32" s="83" t="str">
        <x:v>ENEA; ISTAT; DDS 2024</x:v>
      </x:c>
      <x:c r="S32" s="83" t="str">
        <x:v>Conservare perimetro e evitare doppio conteggio.</x:v>
      </x:c>
      <x:c r="T32" s="83" t="str">
        <x:v>Parziale</x:v>
      </x:c>
      <x:c r="U32" s="83" t="str">
        <x:v>A-C</x:v>
      </x:c>
      <x:c r="V32" s="83" t="str">
        <x:v>D07</x:v>
      </x:c>
      <x:c r="W32" s="83" t="str">
        <x:v>Fase 3A</x:v>
      </x:c>
      <x:c r="X32" s="83" t="str"/>
    </x:row>
    <x:row r="33">
      <x:c r="A33" s="83" t="str">
        <x:v>REQ-029</x:v>
      </x:c>
      <x:c r="B33" s="83" t="str">
        <x:v>Domanda</x:v>
      </x:c>
      <x:c r="C33" s="83" t="str">
        <x:v>Settori</x:v>
      </x:c>
      <x:c r="D33" s="83" t="str">
        <x:v>sectoral_hourly_profiles</x:v>
      </x:c>
      <x:c r="E33" s="83" t="str">
        <x:v>Profili orari distinti per settore e nuovi carichi.</x:v>
      </x:c>
      <x:c r="F33" s="83" t="str">
        <x:v>p.u. or MW</x:v>
      </x:c>
      <x:c r="G33" s="83" t="str">
        <x:v>2040; 2050</x:v>
      </x:c>
      <x:c r="H33" s="83" t="str">
        <x:v>Tutti</x:v>
      </x:c>
      <x:c r="I33" s="83" t="str">
        <x:v>Orario</x:v>
      </x:c>
      <x:c r="J33" s="83" t="str">
        <x:v>Zona/settore</x:v>
      </x:c>
      <x:c r="K33" s="83" t="str">
        <x:v>Civile; industria; EV; HP; H2; data center</x:v>
      </x:c>
      <x:c r="L33" s="83" t="str">
        <x:v>Multiple Load components</x:v>
      </x:c>
      <x:c r="M33" s="83" t="str">
        <x:v>p_set</x:v>
      </x:c>
      <x:c r="N33" s="83" t="str">
        <x:v>Matrice time × zone × sector</x:v>
      </x:c>
      <x:c r="O33" s="83" t="str">
        <x:v>Desiderabile</x:v>
      </x:c>
      <x:c r="P33" s="83" t="str">
        <x:v>Sì</x:v>
      </x:c>
      <x:c r="Q33" s="83" t="str">
        <x:v>PyPSA-Eur sector profiles; Terna/Snam notes</x:v>
      </x:c>
      <x:c r="R33" s="83" t="str">
        <x:v>ENTSO-E; ENEA</x:v>
      </x:c>
      <x:c r="S33" s="83" t="str">
        <x:v>Scalare ogni profilo al volume settoriale.</x:v>
      </x:c>
      <x:c r="T33" s="83" t="str">
        <x:v>Gap esterno</x:v>
      </x:c>
      <x:c r="U33" s="83" t="str">
        <x:v>B-D</x:v>
      </x:c>
      <x:c r="V33" s="83" t="str">
        <x:v>D07</x:v>
      </x:c>
      <x:c r="W33" s="83" t="str">
        <x:v>Fase 4</x:v>
      </x:c>
      <x:c r="X33" s="83" t="str"/>
    </x:row>
    <x:row r="34">
      <x:c r="A34" s="83" t="str">
        <x:v>REQ-030</x:v>
      </x:c>
      <x:c r="B34" s="83" t="str">
        <x:v>Domanda</x:v>
      </x:c>
      <x:c r="C34" s="83" t="str">
        <x:v>Perimetro</x:v>
      </x:c>
      <x:c r="D34" s="83" t="str">
        <x:v>grid_demand_definition</x:v>
      </x:c>
      <x:c r="E34" s="83" t="str">
        <x:v>Definizione tra fabbisogno, consumi finali, domanda di rete, perdite e autoconsumi.</x:v>
      </x:c>
      <x:c r="F34" s="83" t="str">
        <x:v>text</x:v>
      </x:c>
      <x:c r="G34" s="83" t="str">
        <x:v>2040; 2050</x:v>
      </x:c>
      <x:c r="H34" s="83" t="str">
        <x:v>Tutti</x:v>
      </x:c>
      <x:c r="I34" s="83" t="str">
        <x:v>Statico</x:v>
      </x:c>
      <x:c r="J34" s="83" t="str">
        <x:v>Sistema</x:v>
      </x:c>
      <x:c r="K34" s="83" t="str">
        <x:v>Domanda</x:v>
      </x:c>
      <x:c r="L34" s="83" t="str">
        <x:v>Preprocessing</x:v>
      </x:c>
      <x:c r="M34" s="83" t="str">
        <x:v>p_set perimeter</x:v>
      </x:c>
      <x:c r="N34" s="83" t="str">
        <x:v>Regola contabile</x:v>
      </x:c>
      <x:c r="O34" s="83" t="str">
        <x:v>Sì</x:v>
      </x:c>
      <x:c r="P34" s="83" t="str">
        <x:v>Sì</x:v>
      </x:c>
      <x:c r="Q34" s="83" t="str">
        <x:v>S01; S07; S08</x:v>
      </x:c>
      <x:c r="R34" s="83" t="str">
        <x:v>Terna statistics</x:v>
      </x:c>
      <x:c r="S34" s="83" t="str">
        <x:v>Scegliere un perimetro e riconciliare le altre voci.</x:v>
      </x:c>
      <x:c r="T34" s="83" t="str">
        <x:v>Decisione aperta</x:v>
      </x:c>
      <x:c r="U34" s="83" t="str">
        <x:v>A</x:v>
      </x:c>
      <x:c r="V34" s="83" t="str">
        <x:v>D08</x:v>
      </x:c>
      <x:c r="W34" s="83" t="str">
        <x:v>Fase 3A</x:v>
      </x:c>
      <x:c r="X34" s="83" t="str"/>
    </x:row>
    <x:row r="35">
      <x:c r="A35" s="83" t="str">
        <x:v>REQ-031</x:v>
      </x:c>
      <x:c r="B35" s="83" t="str">
        <x:v>Domanda</x:v>
      </x:c>
      <x:c r="C35" s="83" t="str">
        <x:v>Perimetro</x:v>
      </x:c>
      <x:c r="D35" s="83" t="str">
        <x:v>network_losses_in_demand</x:v>
      </x:c>
      <x:c r="E35" s="83" t="str">
        <x:v>Trattamento delle perdite già incluse o modellate endogenamente.</x:v>
      </x:c>
      <x:c r="F35" s="83" t="str">
        <x:v>MWh/%</x:v>
      </x:c>
      <x:c r="G35" s="83" t="str">
        <x:v>2040; 2050</x:v>
      </x:c>
      <x:c r="H35" s="83" t="str">
        <x:v>Tutti</x:v>
      </x:c>
      <x:c r="I35" s="83" t="str">
        <x:v>Annuale/orario</x:v>
      </x:c>
      <x:c r="J35" s="83" t="str">
        <x:v>Sistema/zone</x:v>
      </x:c>
      <x:c r="K35" s="83" t="str">
        <x:v>Domanda/rete</x:v>
      </x:c>
      <x:c r="L35" s="83" t="str">
        <x:v>Load or Link/Line</x:v>
      </x:c>
      <x:c r="M35" s="83" t="str">
        <x:v>p_set or efficiency</x:v>
      </x:c>
      <x:c r="N35" s="83" t="str">
        <x:v>Regola e serie/percentuale</x:v>
      </x:c>
      <x:c r="O35" s="83" t="str">
        <x:v>Sì</x:v>
      </x:c>
      <x:c r="P35" s="83" t="str">
        <x:v>Sì</x:v>
      </x:c>
      <x:c r="Q35" s="83" t="str">
        <x:v>S01; S03; S08</x:v>
      </x:c>
      <x:c r="R35" s="83" t="str">
        <x:v>Terna statistics</x:v>
      </x:c>
      <x:c r="S35" s="83" t="str">
        <x:v>Evitare doppio conteggio tra domanda e perdite di link.</x:v>
      </x:c>
      <x:c r="T35" s="83" t="str">
        <x:v>Da definire</x:v>
      </x:c>
      <x:c r="U35" s="83" t="str">
        <x:v>B</x:v>
      </x:c>
      <x:c r="V35" s="83" t="str">
        <x:v>D23</x:v>
      </x:c>
      <x:c r="W35" s="83" t="str">
        <x:v>Fase 3C/4</x:v>
      </x:c>
      <x:c r="X35" s="83" t="str"/>
    </x:row>
    <x:row r="36">
      <x:c r="A36" s="83" t="str">
        <x:v>REQ-032</x:v>
      </x:c>
      <x:c r="B36" s="83" t="str">
        <x:v>Domanda</x:v>
      </x:c>
      <x:c r="C36" s="83" t="str">
        <x:v>Perimetro</x:v>
      </x:c>
      <x:c r="D36" s="83" t="str">
        <x:v>behind_meter_self_consumption</x:v>
      </x:c>
      <x:c r="E36" s="83" t="str">
        <x:v>Autoconsumo e generazione distribuita dietro il contatore.</x:v>
      </x:c>
      <x:c r="F36" s="83" t="str">
        <x:v>TWh/year</x:v>
      </x:c>
      <x:c r="G36" s="83" t="str">
        <x:v>2040; 2050</x:v>
      </x:c>
      <x:c r="H36" s="83" t="str">
        <x:v>Tutti</x:v>
      </x:c>
      <x:c r="I36" s="83" t="str">
        <x:v>Annuale/orario</x:v>
      </x:c>
      <x:c r="J36" s="83" t="str">
        <x:v>Zona/settore</x:v>
      </x:c>
      <x:c r="K36" s="83" t="str">
        <x:v>PV distribuito; prosumer</x:v>
      </x:c>
      <x:c r="L36" s="83" t="str">
        <x:v>Load and/or Generator</x:v>
      </x:c>
      <x:c r="M36" s="83" t="str">
        <x:v>p_set; p_max_pu</x:v>
      </x:c>
      <x:c r="N36" s="83" t="str">
        <x:v>Regola contabile</x:v>
      </x:c>
      <x:c r="O36" s="83" t="str">
        <x:v>Sì</x:v>
      </x:c>
      <x:c r="P36" s="83" t="str">
        <x:v>Sì</x:v>
      </x:c>
      <x:c r="Q36" s="83" t="str">
        <x:v>S01; S08; GSE</x:v>
      </x:c>
      <x:c r="R36" s="83" t="str">
        <x:v>DDS 2024</x:v>
      </x:c>
      <x:c r="S36" s="83" t="str">
        <x:v>Separare domanda netta e generazione esplicita.</x:v>
      </x:c>
      <x:c r="T36" s="83" t="str">
        <x:v>Gap/decisione</x:v>
      </x:c>
      <x:c r="U36" s="83" t="str">
        <x:v>B-D</x:v>
      </x:c>
      <x:c r="V36" s="83" t="str">
        <x:v>D08</x:v>
      </x:c>
      <x:c r="W36" s="83" t="str">
        <x:v>Fase 3A/4</x:v>
      </x:c>
      <x:c r="X36" s="83" t="str"/>
    </x:row>
    <x:row r="37">
      <x:c r="A37" s="83" t="str">
        <x:v>REQ-033</x:v>
      </x:c>
      <x:c r="B37" s="83" t="str">
        <x:v>Domanda</x:v>
      </x:c>
      <x:c r="C37" s="83" t="str">
        <x:v>Nuovi carichi</x:v>
      </x:c>
      <x:c r="D37" s="83" t="str">
        <x:v>electric_vehicles_demand</x:v>
      </x:c>
      <x:c r="E37" s="83" t="str">
        <x:v>Volume e profilo della ricarica elettrica.</x:v>
      </x:c>
      <x:c r="F37" s="83" t="str">
        <x:v>TWh/year; MW</x:v>
      </x:c>
      <x:c r="G37" s="83" t="str">
        <x:v>2040; 2050</x:v>
      </x:c>
      <x:c r="H37" s="83" t="str">
        <x:v>Tutti</x:v>
      </x:c>
      <x:c r="I37" s="83" t="str">
        <x:v>Orario</x:v>
      </x:c>
      <x:c r="J37" s="83" t="str">
        <x:v>Zona/settore</x:v>
      </x:c>
      <x:c r="K37" s="83" t="str">
        <x:v>Trasporti</x:v>
      </x:c>
      <x:c r="L37" s="83" t="str">
        <x:v>Load / flexible load</x:v>
      </x:c>
      <x:c r="M37" s="83" t="str">
        <x:v>p_set; custom constraints</x:v>
      </x:c>
      <x:c r="N37" s="83" t="str">
        <x:v>Volume + profilo</x:v>
      </x:c>
      <x:c r="O37" s="83" t="str">
        <x:v>Desiderabile</x:v>
      </x:c>
      <x:c r="P37" s="83" t="str">
        <x:v>Sì</x:v>
      </x:c>
      <x:c r="Q37" s="83" t="str">
        <x:v>S07; S08</x:v>
      </x:c>
      <x:c r="R37" s="83" t="str">
        <x:v>PyPSA-Eur transport</x:v>
      </x:c>
      <x:c r="S37" s="83" t="str">
        <x:v>Allocazione territoriale e profilo di ricarica.</x:v>
      </x:c>
      <x:c r="T37" s="83" t="str">
        <x:v>Parziale/gap</x:v>
      </x:c>
      <x:c r="U37" s="83" t="str">
        <x:v>B-D</x:v>
      </x:c>
      <x:c r="V37" s="83" t="str">
        <x:v>D07</x:v>
      </x:c>
      <x:c r="W37" s="83" t="str">
        <x:v>Fase 3A/4</x:v>
      </x:c>
      <x:c r="X37" s="83" t="str"/>
    </x:row>
    <x:row r="38">
      <x:c r="A38" s="83" t="str">
        <x:v>REQ-034</x:v>
      </x:c>
      <x:c r="B38" s="83" t="str">
        <x:v>Domanda</x:v>
      </x:c>
      <x:c r="C38" s="83" t="str">
        <x:v>Nuovi carichi</x:v>
      </x:c>
      <x:c r="D38" s="83" t="str">
        <x:v>heat_pump_demand</x:v>
      </x:c>
      <x:c r="E38" s="83" t="str">
        <x:v>Domanda elettrica di pompe di calore e dipendenza meteo.</x:v>
      </x:c>
      <x:c r="F38" s="83" t="str">
        <x:v>TWh/year; MW</x:v>
      </x:c>
      <x:c r="G38" s="83" t="str">
        <x:v>2040; 2050</x:v>
      </x:c>
      <x:c r="H38" s="83" t="str">
        <x:v>Tutti</x:v>
      </x:c>
      <x:c r="I38" s="83" t="str">
        <x:v>Orario</x:v>
      </x:c>
      <x:c r="J38" s="83" t="str">
        <x:v>Zona/settore</x:v>
      </x:c>
      <x:c r="K38" s="83" t="str">
        <x:v>Civile</x:v>
      </x:c>
      <x:c r="L38" s="83" t="str">
        <x:v>Load / sector-coupled Link if enabled</x:v>
      </x:c>
      <x:c r="M38" s="83" t="str">
        <x:v>p_set or link p</x:v>
      </x:c>
      <x:c r="N38" s="83" t="str">
        <x:v>Volume + profilo</x:v>
      </x:c>
      <x:c r="O38" s="83" t="str">
        <x:v>Desiderabile</x:v>
      </x:c>
      <x:c r="P38" s="83" t="str">
        <x:v>Sì</x:v>
      </x:c>
      <x:c r="Q38" s="83" t="str">
        <x:v>S07; S08</x:v>
      </x:c>
      <x:c r="R38" s="83" t="str">
        <x:v>PyPSA-Eur heat</x:v>
      </x:c>
      <x:c r="S38" s="83" t="str">
        <x:v>Profilo temperature-sensitive.</x:v>
      </x:c>
      <x:c r="T38" s="83" t="str">
        <x:v>Parziale/gap</x:v>
      </x:c>
      <x:c r="U38" s="83" t="str">
        <x:v>B-D</x:v>
      </x:c>
      <x:c r="V38" s="83" t="str">
        <x:v>D07</x:v>
      </x:c>
      <x:c r="W38" s="83" t="str">
        <x:v>Fase 3A/4</x:v>
      </x:c>
      <x:c r="X38" s="83" t="str"/>
    </x:row>
    <x:row r="39">
      <x:c r="A39" s="83" t="str">
        <x:v>REQ-035</x:v>
      </x:c>
      <x:c r="B39" s="83" t="str">
        <x:v>Domanda</x:v>
      </x:c>
      <x:c r="C39" s="83" t="str">
        <x:v>Nuovi carichi</x:v>
      </x:c>
      <x:c r="D39" s="83" t="str">
        <x:v>industrial_electrification</x:v>
      </x:c>
      <x:c r="E39" s="83" t="str">
        <x:v>Incremento di domanda industriale elettrica e profilo.</x:v>
      </x:c>
      <x:c r="F39" s="83" t="str">
        <x:v>TWh/year; MW</x:v>
      </x:c>
      <x:c r="G39" s="83" t="str">
        <x:v>2040; 2050</x:v>
      </x:c>
      <x:c r="H39" s="83" t="str">
        <x:v>Tutti</x:v>
      </x:c>
      <x:c r="I39" s="83" t="str">
        <x:v>Orario/annuale</x:v>
      </x:c>
      <x:c r="J39" s="83" t="str">
        <x:v>Zona/settore</x:v>
      </x:c>
      <x:c r="K39" s="83" t="str">
        <x:v>Industria</x:v>
      </x:c>
      <x:c r="L39" s="83" t="str">
        <x:v>Load</x:v>
      </x:c>
      <x:c r="M39" s="83" t="str">
        <x:v>p_set</x:v>
      </x:c>
      <x:c r="N39" s="83" t="str">
        <x:v>Volume + profilo</x:v>
      </x:c>
      <x:c r="O39" s="83" t="str">
        <x:v>Desiderabile</x:v>
      </x:c>
      <x:c r="P39" s="83" t="str">
        <x:v>Sì</x:v>
      </x:c>
      <x:c r="Q39" s="83" t="str">
        <x:v>S07; S08</x:v>
      </x:c>
      <x:c r="R39" s="83" t="str">
        <x:v>ISTAT/ENEA; PyPSA-Eur industry</x:v>
      </x:c>
      <x:c r="S39" s="83" t="str">
        <x:v>Allocazione su struttura industriale regionale.</x:v>
      </x:c>
      <x:c r="T39" s="83" t="str">
        <x:v>Parziale/gap</x:v>
      </x:c>
      <x:c r="U39" s="83" t="str">
        <x:v>B-D</x:v>
      </x:c>
      <x:c r="V39" s="83" t="str">
        <x:v>D07</x:v>
      </x:c>
      <x:c r="W39" s="83" t="str">
        <x:v>Fase 3A/4</x:v>
      </x:c>
      <x:c r="X39" s="83" t="str"/>
    </x:row>
    <x:row r="40">
      <x:c r="A40" s="83" t="str">
        <x:v>REQ-036</x:v>
      </x:c>
      <x:c r="B40" s="83" t="str">
        <x:v>Domanda</x:v>
      </x:c>
      <x:c r="C40" s="83" t="str">
        <x:v>Nuovi carichi</x:v>
      </x:c>
      <x:c r="D40" s="83" t="str">
        <x:v>data_center_demand</x:v>
      </x:c>
      <x:c r="E40" s="83" t="str">
        <x:v>Domanda dei data center, localizzazione, fattore di carico e timing.</x:v>
      </x:c>
      <x:c r="F40" s="83" t="str">
        <x:v>MW; TWh/year</x:v>
      </x:c>
      <x:c r="G40" s="83" t="str">
        <x:v>2040; 2050</x:v>
      </x:c>
      <x:c r="H40" s="83" t="str">
        <x:v>Tutti</x:v>
      </x:c>
      <x:c r="I40" s="83" t="str">
        <x:v>Orario</x:v>
      </x:c>
      <x:c r="J40" s="83" t="str">
        <x:v>Zona/sito</x:v>
      </x:c>
      <x:c r="K40" s="83" t="str">
        <x:v>Data center</x:v>
      </x:c>
      <x:c r="L40" s="83" t="str">
        <x:v>Load</x:v>
      </x:c>
      <x:c r="M40" s="83" t="str">
        <x:v>p_set</x:v>
      </x:c>
      <x:c r="N40" s="83" t="str">
        <x:v>Capacità richiesta + scenario realizzato</x:v>
      </x:c>
      <x:c r="O40" s="83" t="str">
        <x:v>Desiderabile</x:v>
      </x:c>
      <x:c r="P40" s="83" t="str">
        <x:v>Sì</x:v>
      </x:c>
      <x:c r="Q40" s="83" t="str">
        <x:v>S04; S06</x:v>
      </x:c>
      <x:c r="R40" s="83" t="str">
        <x:v>Connessioni Terna/TE.R.R.A.</x:v>
      </x:c>
      <x:c r="S40" s="83" t="str">
        <x:v>Filtrare pipeline e applicare load factor.</x:v>
      </x:c>
      <x:c r="T40" s="83" t="str">
        <x:v>Pipeline; da costruire</x:v>
      </x:c>
      <x:c r="U40" s="83" t="str">
        <x:v>C-E</x:v>
      </x:c>
      <x:c r="V40" s="83" t="str">
        <x:v>D07</x:v>
      </x:c>
      <x:c r="W40" s="83" t="str">
        <x:v>Fase 3A/4</x:v>
      </x:c>
      <x:c r="X40" s="83" t="str"/>
    </x:row>
    <x:row r="41">
      <x:c r="A41" s="83" t="str">
        <x:v>REQ-037</x:v>
      </x:c>
      <x:c r="B41" s="83" t="str">
        <x:v>Domanda</x:v>
      </x:c>
      <x:c r="C41" s="83" t="str">
        <x:v>Nuovi carichi</x:v>
      </x:c>
      <x:c r="D41" s="83" t="str">
        <x:v>rail_rfi_demand</x:v>
      </x:c>
      <x:c r="E41" s="83" t="str">
        <x:v>Domanda elettrica addizionale RFI e localizzazione.</x:v>
      </x:c>
      <x:c r="F41" s="83" t="str">
        <x:v>MW; TWh/year</x:v>
      </x:c>
      <x:c r="G41" s="83" t="str">
        <x:v>2040; 2050</x:v>
      </x:c>
      <x:c r="H41" s="83" t="str">
        <x:v>Tutti</x:v>
      </x:c>
      <x:c r="I41" s="83" t="str">
        <x:v>Orario/annuale</x:v>
      </x:c>
      <x:c r="J41" s="83" t="str">
        <x:v>Zona/sito</x:v>
      </x:c>
      <x:c r="K41" s="83" t="str">
        <x:v>RFI</x:v>
      </x:c>
      <x:c r="L41" s="83" t="str">
        <x:v>Load</x:v>
      </x:c>
      <x:c r="M41" s="83" t="str">
        <x:v>p_set</x:v>
      </x:c>
      <x:c r="N41" s="83" t="str">
        <x:v>Volume + profilo</x:v>
      </x:c>
      <x:c r="O41" s="83" t="str">
        <x:v>Desiderabile</x:v>
      </x:c>
      <x:c r="P41" s="83" t="str">
        <x:v>No</x:v>
      </x:c>
      <x:c r="Q41" s="83" t="str">
        <x:v>S04</x:v>
      </x:c>
      <x:c r="R41" s="83" t="str">
        <x:v>RFI/Terna</x:v>
      </x:c>
      <x:c r="S41" s="83" t="str">
        <x:v>Filtrare richieste e stimare fattore di utilizzo.</x:v>
      </x:c>
      <x:c r="T41" s="83" t="str">
        <x:v>Pipeline</x:v>
      </x:c>
      <x:c r="U41" s="83" t="str">
        <x:v>C-E</x:v>
      </x:c>
      <x:c r="V41" s="83" t="str">
        <x:v>D07</x:v>
      </x:c>
      <x:c r="W41" s="83" t="str">
        <x:v>Fase 3A/4</x:v>
      </x:c>
      <x:c r="X41" s="83" t="str"/>
    </x:row>
    <x:row r="42">
      <x:c r="A42" s="83" t="str">
        <x:v>REQ-038</x:v>
      </x:c>
      <x:c r="B42" s="83" t="str">
        <x:v>Domanda</x:v>
      </x:c>
      <x:c r="C42" s="83" t="str">
        <x:v>Nuovi carichi</x:v>
      </x:c>
      <x:c r="D42" s="83" t="str">
        <x:v>cold_ironing_demand</x:v>
      </x:c>
      <x:c r="E42" s="83" t="str">
        <x:v>Domanda elettrica portuale da cold ironing.</x:v>
      </x:c>
      <x:c r="F42" s="83" t="str">
        <x:v>MW; TWh/year</x:v>
      </x:c>
      <x:c r="G42" s="83" t="str">
        <x:v>2040; 2050</x:v>
      </x:c>
      <x:c r="H42" s="83" t="str">
        <x:v>Tutti</x:v>
      </x:c>
      <x:c r="I42" s="83" t="str">
        <x:v>Orario/annuale</x:v>
      </x:c>
      <x:c r="J42" s="83" t="str">
        <x:v>Porto/zona</x:v>
      </x:c>
      <x:c r="K42" s="83" t="str">
        <x:v>Cold ironing</x:v>
      </x:c>
      <x:c r="L42" s="83" t="str">
        <x:v>Load</x:v>
      </x:c>
      <x:c r="M42" s="83" t="str">
        <x:v>p_set</x:v>
      </x:c>
      <x:c r="N42" s="83" t="str">
        <x:v>Volume + profilo</x:v>
      </x:c>
      <x:c r="O42" s="83" t="str">
        <x:v>Desiderabile</x:v>
      </x:c>
      <x:c r="P42" s="83" t="str">
        <x:v>No</x:v>
      </x:c>
      <x:c r="Q42" s="83" t="str">
        <x:v>S04; S06</x:v>
      </x:c>
      <x:c r="R42" s="83" t="str">
        <x:v>Port authorities/Terna</x:v>
      </x:c>
      <x:c r="S42" s="83" t="str">
        <x:v>Assegnazione ai porti e profilo operativo.</x:v>
      </x:c>
      <x:c r="T42" s="83" t="str">
        <x:v>Pipeline</x:v>
      </x:c>
      <x:c r="U42" s="83" t="str">
        <x:v>C-E</x:v>
      </x:c>
      <x:c r="V42" s="83" t="str">
        <x:v>D07</x:v>
      </x:c>
      <x:c r="W42" s="83" t="str">
        <x:v>Fase 3A/4</x:v>
      </x:c>
      <x:c r="X42" s="83" t="str"/>
    </x:row>
    <x:row r="43">
      <x:c r="A43" s="83" t="str">
        <x:v>REQ-039</x:v>
      </x:c>
      <x:c r="B43" s="83" t="str">
        <x:v>Domanda</x:v>
      </x:c>
      <x:c r="C43" s="83" t="str">
        <x:v>Power-to-X</x:v>
      </x:c>
      <x:c r="D43" s="83" t="str">
        <x:v>electrolyser_electricity_demand</x:v>
      </x:c>
      <x:c r="E43" s="83" t="str">
        <x:v>Consumo elettrico degli elettrolizzatori; esogeno o flessibile.</x:v>
      </x:c>
      <x:c r="F43" s="83" t="str">
        <x:v>MW; TWh/year</x:v>
      </x:c>
      <x:c r="G43" s="83" t="str">
        <x:v>2040; 2050</x:v>
      </x:c>
      <x:c r="H43" s="83" t="str">
        <x:v>Tutti</x:v>
      </x:c>
      <x:c r="I43" s="83" t="str">
        <x:v>Orario</x:v>
      </x:c>
      <x:c r="J43" s="83" t="str">
        <x:v>Zona</x:v>
      </x:c>
      <x:c r="K43" s="83" t="str">
        <x:v>Idrogeno</x:v>
      </x:c>
      <x:c r="L43" s="83" t="str">
        <x:v>Load or Link</x:v>
      </x:c>
      <x:c r="M43" s="83" t="str">
        <x:v>p_set or p_nom/efficiency</x:v>
      </x:c>
      <x:c r="N43" s="83" t="str">
        <x:v>Profilo esogeno o asset flessibile</x:v>
      </x:c>
      <x:c r="O43" s="83" t="str">
        <x:v>Sì se incluso</x:v>
      </x:c>
      <x:c r="P43" s="83" t="str">
        <x:v>Sì</x:v>
      </x:c>
      <x:c r="Q43" s="83" t="str">
        <x:v>S01; S07; S08</x:v>
      </x:c>
      <x:c r="R43" s="83" t="str">
        <x:v>Strategia Idrogeno; PyPSA-Eur</x:v>
      </x:c>
      <x:c r="S43" s="83" t="str">
        <x:v>Dipende dal perimetro electricity-only.</x:v>
      </x:c>
      <x:c r="T43" s="83" t="str">
        <x:v>Decisione aperta</x:v>
      </x:c>
      <x:c r="U43" s="83" t="str">
        <x:v>B-D</x:v>
      </x:c>
      <x:c r="V43" s="83" t="str">
        <x:v>D26</x:v>
      </x:c>
      <x:c r="W43" s="83" t="str">
        <x:v>Fase 3A/4</x:v>
      </x:c>
      <x:c r="X43" s="83" t="str"/>
    </x:row>
    <x:row r="44">
      <x:c r="A44" s="83" t="str">
        <x:v>REQ-040</x:v>
      </x:c>
      <x:c r="B44" s="83" t="str">
        <x:v>Domanda</x:v>
      </x:c>
      <x:c r="C44" s="83" t="str">
        <x:v>Flessibilità</x:v>
      </x:c>
      <x:c r="D44" s="83" t="str">
        <x:v>flexible_demand_volume</x:v>
      </x:c>
      <x:c r="E44" s="83" t="str">
        <x:v>Quota di domanda tecnicamente spostabile per settore.</x:v>
      </x:c>
      <x:c r="F44" s="83" t="str">
        <x:v>MW; MWh; %</x:v>
      </x:c>
      <x:c r="G44" s="83" t="str">
        <x:v>2040; 2050</x:v>
      </x:c>
      <x:c r="H44" s="83" t="str">
        <x:v>Sensitività</x:v>
      </x:c>
      <x:c r="I44" s="83" t="str">
        <x:v>Orario</x:v>
      </x:c>
      <x:c r="J44" s="83" t="str">
        <x:v>Zona/settore</x:v>
      </x:c>
      <x:c r="K44" s="83" t="str">
        <x:v>EV; HP; industria; H2</x:v>
      </x:c>
      <x:c r="L44" s="83" t="str">
        <x:v>Load / Store / custom constraint</x:v>
      </x:c>
      <x:c r="M44" s="83" t="str">
        <x:v>p_set; custom</x:v>
      </x:c>
      <x:c r="N44" s="83" t="str">
        <x:v>Limiti di potenza ed energia</x:v>
      </x:c>
      <x:c r="O44" s="83" t="str">
        <x:v>Desiderabile</x:v>
      </x:c>
      <x:c r="P44" s="83" t="str">
        <x:v>Sì</x:v>
      </x:c>
      <x:c r="Q44" s="83" t="str">
        <x:v>S07; S08</x:v>
      </x:c>
      <x:c r="R44" s="83" t="str">
        <x:v>PyPSA-Eur</x:v>
      </x:c>
      <x:c r="S44" s="83" t="str">
        <x:v>Definire finestre, energia conservata e disponibilità.</x:v>
      </x:c>
      <x:c r="T44" s="83" t="str">
        <x:v>Gap</x:v>
      </x:c>
      <x:c r="U44" s="83" t="str">
        <x:v>C-E</x:v>
      </x:c>
      <x:c r="V44" s="83" t="str">
        <x:v>D27</x:v>
      </x:c>
      <x:c r="W44" s="83" t="str">
        <x:v>Fase 4/7</x:v>
      </x:c>
      <x:c r="X44" s="83" t="str"/>
    </x:row>
    <x:row r="45">
      <x:c r="A45" s="83" t="str">
        <x:v>REQ-041</x:v>
      </x:c>
      <x:c r="B45" s="83" t="str">
        <x:v>Domanda</x:v>
      </x:c>
      <x:c r="C45" s="83" t="str">
        <x:v>Flessibilità</x:v>
      </x:c>
      <x:c r="D45" s="83" t="str">
        <x:v>demand_response_constraints</x:v>
      </x:c>
      <x:c r="E45" s="83" t="str">
        <x:v>Vincoli temporali e costo di attivazione della demand response.</x:v>
      </x:c>
      <x:c r="F45" s="83" t="str">
        <x:v>MW; EUR/MWh; hours</x:v>
      </x:c>
      <x:c r="G45" s="83" t="str">
        <x:v>2040; 2050</x:v>
      </x:c>
      <x:c r="H45" s="83" t="str">
        <x:v>Sensitività</x:v>
      </x:c>
      <x:c r="I45" s="83" t="str">
        <x:v>Orario</x:v>
      </x:c>
      <x:c r="J45" s="83" t="str">
        <x:v>Zona/settore</x:v>
      </x:c>
      <x:c r="K45" s="83" t="str">
        <x:v>Demand response</x:v>
      </x:c>
      <x:c r="L45" s="83" t="str">
        <x:v>Generator/Load/Store/custom</x:v>
      </x:c>
      <x:c r="M45" s="83" t="str">
        <x:v>p_nom; marginal_cost; custom</x:v>
      </x:c>
      <x:c r="N45" s="83" t="str">
        <x:v>Parametri operativi</x:v>
      </x:c>
      <x:c r="O45" s="83" t="str">
        <x:v>Opzionale</x:v>
      </x:c>
      <x:c r="P45" s="83" t="str">
        <x:v>Sì</x:v>
      </x:c>
      <x:c r="Q45" s="83" t="str">
        <x:v>S07; S08</x:v>
      </x:c>
      <x:c r="R45" s="83" t="str">
        <x:v>ARERA/Terna/PyPSA examples</x:v>
      </x:c>
      <x:c r="S45" s="83" t="str">
        <x:v>Modello separato dalla domanda fissa.</x:v>
      </x:c>
      <x:c r="T45" s="83" t="str">
        <x:v>Gap/decisione</x:v>
      </x:c>
      <x:c r="U45" s="83" t="str">
        <x:v>C-E</x:v>
      </x:c>
      <x:c r="V45" s="83" t="str">
        <x:v>D27</x:v>
      </x:c>
      <x:c r="W45" s="83" t="str">
        <x:v>Fase 4/7</x:v>
      </x:c>
      <x:c r="X45" s="83" t="str"/>
    </x:row>
    <x:row r="46">
      <x:c r="A46" s="83" t="str">
        <x:v>REQ-042</x:v>
      </x:c>
      <x:c r="B46" s="83" t="str">
        <x:v>Domanda</x:v>
      </x:c>
      <x:c r="C46" s="83" t="str">
        <x:v>Picco</x:v>
      </x:c>
      <x:c r="D46" s="83" t="str">
        <x:v>peak_demand</x:v>
      </x:c>
      <x:c r="E46" s="83" t="str">
        <x:v>Picco nazionale e zonale per QA e adeguatezza.</x:v>
      </x:c>
      <x:c r="F46" s="83" t="str">
        <x:v>MW</x:v>
      </x:c>
      <x:c r="G46" s="83" t="str">
        <x:v>2040; 2050</x:v>
      </x:c>
      <x:c r="H46" s="83" t="str">
        <x:v>Tutti</x:v>
      </x:c>
      <x:c r="I46" s="83" t="str">
        <x:v>Annuale + timestamp</x:v>
      </x:c>
      <x:c r="J46" s="83" t="str">
        <x:v>Sistema/zona</x:v>
      </x:c>
      <x:c r="K46" s="83" t="str">
        <x:v>Domanda</x:v>
      </x:c>
      <x:c r="L46" s="83" t="str">
        <x:v>Load output / QA</x:v>
      </x:c>
      <x:c r="M46" s="83" t="str">
        <x:v>max(p_set)</x:v>
      </x:c>
      <x:c r="N46" s="83" t="str">
        <x:v>Valore e timestamp</x:v>
      </x:c>
      <x:c r="O46" s="83" t="str">
        <x:v>Sì</x:v>
      </x:c>
      <x:c r="P46" s="83" t="str">
        <x:v>Sì</x:v>
      </x:c>
      <x:c r="Q46" s="83" t="str">
        <x:v>S01; S07</x:v>
      </x:c>
      <x:c r="R46" s="83" t="str">
        <x:v>Terna adequacy</x:v>
      </x:c>
      <x:c r="S46" s="83" t="str">
        <x:v>Confronto col profilo costruito.</x:v>
      </x:c>
      <x:c r="T46" s="83" t="str">
        <x:v>Da estrarre/derivare</x:v>
      </x:c>
      <x:c r="U46" s="83" t="str">
        <x:v>A-B</x:v>
      </x:c>
      <x:c r="V46" s="83" t="str">
        <x:v>D06</x:v>
      </x:c>
      <x:c r="W46" s="83" t="str">
        <x:v>Fase 3A/4</x:v>
      </x:c>
      <x:c r="X46" s="83" t="str"/>
    </x:row>
    <x:row r="47">
      <x:c r="A47" s="83" t="str">
        <x:v>REQ-043</x:v>
      </x:c>
      <x:c r="B47" s="83" t="str">
        <x:v>Domanda</x:v>
      </x:c>
      <x:c r="C47" s="83" t="str">
        <x:v>Mancato servizio</x:v>
      </x:c>
      <x:c r="D47" s="83" t="str">
        <x:v>voll_load_shedding_cost</x:v>
      </x:c>
      <x:c r="E47" s="83" t="str">
        <x:v>Costo di mancata fornitura usato per load shedding.</x:v>
      </x:c>
      <x:c r="F47" s="83" t="str">
        <x:v>EUR/MWh</x:v>
      </x:c>
      <x:c r="G47" s="83" t="str">
        <x:v>2040; 2050</x:v>
      </x:c>
      <x:c r="H47" s="83" t="str">
        <x:v>Tutti</x:v>
      </x:c>
      <x:c r="I47" s="83" t="str">
        <x:v>Statico</x:v>
      </x:c>
      <x:c r="J47" s="83" t="str">
        <x:v>Zona</x:v>
      </x:c>
      <x:c r="K47" s="83" t="str">
        <x:v>Load shedding</x:v>
      </x:c>
      <x:c r="L47" s="83" t="str">
        <x:v>Generator virtuale</x:v>
      </x:c>
      <x:c r="M47" s="83" t="str">
        <x:v>marginal_cost</x:v>
      </x:c>
      <x:c r="N47" s="83" t="str">
        <x:v>Valore scenario</x:v>
      </x:c>
      <x:c r="O47" s="83" t="str">
        <x:v>Sì</x:v>
      </x:c>
      <x:c r="P47" s="83" t="str">
        <x:v>Sì</x:v>
      </x:c>
      <x:c r="Q47" s="83" t="str">
        <x:v>Terna adeguatezza; ARERA se disponibile</x:v>
      </x:c>
      <x:c r="R47" s="83" t="str">
        <x:v>PyPSA examples/literature</x:v>
      </x:c>
      <x:c r="S47" s="83" t="str">
        <x:v>Valore elevato ma finito e documentato.</x:v>
      </x:c>
      <x:c r="T47" s="83" t="str">
        <x:v>Gap/decisione</x:v>
      </x:c>
      <x:c r="U47" s="83" t="str">
        <x:v>B-D</x:v>
      </x:c>
      <x:c r="V47" s="83" t="str">
        <x:v>D28</x:v>
      </x:c>
      <x:c r="W47" s="83" t="str">
        <x:v>Fase 3D/4</x:v>
      </x:c>
      <x:c r="X47" s="83" t="str"/>
    </x:row>
    <x:row r="48">
      <x:c r="A48" s="83" t="str">
        <x:v>REQ-044</x:v>
      </x:c>
      <x:c r="B48" s="83" t="str">
        <x:v>Domanda</x:v>
      </x:c>
      <x:c r="C48" s="83" t="str">
        <x:v>Mancato servizio</x:v>
      </x:c>
      <x:c r="D48" s="83" t="str">
        <x:v>load_shedding_capacity</x:v>
      </x:c>
      <x:c r="E48" s="83" t="str">
        <x:v>Capacità massima del generatore virtuale di mancato servizio.</x:v>
      </x:c>
      <x:c r="F48" s="83" t="str">
        <x:v>MW</x:v>
      </x:c>
      <x:c r="G48" s="83" t="str">
        <x:v>2040; 2050</x:v>
      </x:c>
      <x:c r="H48" s="83" t="str">
        <x:v>Tutti</x:v>
      </x:c>
      <x:c r="I48" s="83" t="str">
        <x:v>Statico</x:v>
      </x:c>
      <x:c r="J48" s="83" t="str">
        <x:v>Zona</x:v>
      </x:c>
      <x:c r="K48" s="83" t="str">
        <x:v>Load shedding</x:v>
      </x:c>
      <x:c r="L48" s="83" t="str">
        <x:v>Generator</x:v>
      </x:c>
      <x:c r="M48" s="83" t="str">
        <x:v>p_nom; p_nom_extendable=False</x:v>
      </x:c>
      <x:c r="N48" s="83" t="str">
        <x:v>Valore ≥ picco zonale</x:v>
      </x:c>
      <x:c r="O48" s="83" t="str">
        <x:v>Sì</x:v>
      </x:c>
      <x:c r="P48" s="83" t="str">
        <x:v>Sì</x:v>
      </x:c>
      <x:c r="Q48" s="83" t="str">
        <x:v>Profilo domanda</x:v>
      </x:c>
      <x:c r="R48" s="83" t="str">
        <x:v>PyPSA examples</x:v>
      </x:c>
      <x:c r="S48" s="83" t="str">
        <x:v>Dimensionare per evitare infeasibilità artificiale.</x:v>
      </x:c>
      <x:c r="T48" s="83" t="str">
        <x:v>Derivato</x:v>
      </x:c>
      <x:c r="U48" s="83" t="str">
        <x:v>B</x:v>
      </x:c>
      <x:c r="V48" s="83" t="str">
        <x:v>D28</x:v>
      </x:c>
      <x:c r="W48" s="83" t="str">
        <x:v>Fase 4/7</x:v>
      </x:c>
      <x:c r="X48" s="83" t="str"/>
    </x:row>
    <x:row r="49">
      <x:c r="A49" s="83" t="str">
        <x:v>REQ-045</x:v>
      </x:c>
      <x:c r="B49" s="83" t="str">
        <x:v>Domanda</x:v>
      </x:c>
      <x:c r="C49" s="83" t="str">
        <x:v>Elasticità</x:v>
      </x:c>
      <x:c r="D49" s="83" t="str">
        <x:v>price_sensitive_demand</x:v>
      </x:c>
      <x:c r="E49" s="83" t="str">
        <x:v>Eventuale domanda elastica con utilità marginale.</x:v>
      </x:c>
      <x:c r="F49" s="83" t="str">
        <x:v>MW; EUR/MWh</x:v>
      </x:c>
      <x:c r="G49" s="83" t="str">
        <x:v>2040; 2050</x:v>
      </x:c>
      <x:c r="H49" s="83" t="str">
        <x:v>Sensitività</x:v>
      </x:c>
      <x:c r="I49" s="83" t="str">
        <x:v>Orario</x:v>
      </x:c>
      <x:c r="J49" s="83" t="str">
        <x:v>Zona/settore</x:v>
      </x:c>
      <x:c r="K49" s="83" t="str">
        <x:v>Industria/flex</x:v>
      </x:c>
      <x:c r="L49" s="83" t="str">
        <x:v>Generator virtuale / custom</x:v>
      </x:c>
      <x:c r="M49" s="83" t="str">
        <x:v>marginal_cost or quadratic</x:v>
      </x:c>
      <x:c r="N49" s="83" t="str">
        <x:v>Curve domanda</x:v>
      </x:c>
      <x:c r="O49" s="83" t="str">
        <x:v>Opzionale</x:v>
      </x:c>
      <x:c r="P49" s="83" t="str">
        <x:v>Sì</x:v>
      </x:c>
      <x:c r="Q49" s="83" t="str">
        <x:v>Nessuna fonte primaria nel corpus</x:v>
      </x:c>
      <x:c r="R49" s="83" t="str">
        <x:v>PyPSA demand elasticity example</x:v>
      </x:c>
      <x:c r="S49" s="83" t="str">
        <x:v>Escludere dal caso base salvo evidenza.</x:v>
      </x:c>
      <x:c r="T49" s="83" t="str">
        <x:v>Fuori base</x:v>
      </x:c>
      <x:c r="U49" s="83" t="str">
        <x:v>D-E</x:v>
      </x:c>
      <x:c r="V49" s="83" t="str">
        <x:v>D27</x:v>
      </x:c>
      <x:c r="W49" s="83" t="str">
        <x:v>Fase 7</x:v>
      </x:c>
      <x:c r="X49" s="83" t="str"/>
    </x:row>
    <x:row r="50">
      <x:c r="A50" s="83" t="str">
        <x:v>REQ-046</x:v>
      </x:c>
      <x:c r="B50" s="83" t="str">
        <x:v>Generazione</x:v>
      </x:c>
      <x:c r="C50" s="83" t="str">
        <x:v>Capacità</x:v>
      </x:c>
      <x:c r="D50" s="83" t="str">
        <x:v>installed_capacity_by_technology_zone</x:v>
      </x:c>
      <x:c r="E50" s="83" t="str">
        <x:v>Capacità installata esogena per tecnologia e zona.</x:v>
      </x:c>
      <x:c r="F50" s="83" t="str">
        <x:v>MW</x:v>
      </x:c>
      <x:c r="G50" s="83" t="str">
        <x:v>2040; 2050</x:v>
      </x:c>
      <x:c r="H50" s="83" t="str">
        <x:v>Tutti</x:v>
      </x:c>
      <x:c r="I50" s="83" t="str">
        <x:v>Statico</x:v>
      </x:c>
      <x:c r="J50" s="83" t="str">
        <x:v>Zona</x:v>
      </x:c>
      <x:c r="K50" s="83" t="str">
        <x:v>Tutte le tecnologie</x:v>
      </x:c>
      <x:c r="L50" s="83" t="str">
        <x:v>Generator / Link</x:v>
      </x:c>
      <x:c r="M50" s="83" t="str">
        <x:v>p_nom</x:v>
      </x:c>
      <x:c r="N50" s="83" t="str">
        <x:v>Tabella zona-tech</x:v>
      </x:c>
      <x:c r="O50" s="83" t="str">
        <x:v>Sì</x:v>
      </x:c>
      <x:c r="P50" s="83" t="str">
        <x:v>Sì</x:v>
      </x:c>
      <x:c r="Q50" s="83" t="str">
        <x:v>S01; S07; S08</x:v>
      </x:c>
      <x:c r="R50" s="83" t="str">
        <x:v>DDS 2024; S04 filtrato; Gaudì</x:v>
      </x:c>
      <x:c r="S50" s="83" t="str">
        <x:v>Dato diretto o disaggregazione documentata.</x:v>
      </x:c>
      <x:c r="T50" s="83" t="str">
        <x:v>Da estrarre</x:v>
      </x:c>
      <x:c r="U50" s="83" t="str">
        <x:v>A-D</x:v>
      </x:c>
      <x:c r="V50" s="83" t="str">
        <x:v>D09</x:v>
      </x:c>
      <x:c r="W50" s="83" t="str">
        <x:v>Fase 3A/4</x:v>
      </x:c>
      <x:c r="X50" s="83" t="str"/>
    </x:row>
    <x:row r="51">
      <x:c r="A51" s="83" t="str">
        <x:v>REQ-047</x:v>
      </x:c>
      <x:c r="B51" s="83" t="str">
        <x:v>Generazione</x:v>
      </x:c>
      <x:c r="C51" s="83" t="str">
        <x:v>Capacità</x:v>
      </x:c>
      <x:c r="D51" s="83" t="str">
        <x:v>available_capacity_derating</x:v>
      </x:c>
      <x:c r="E51" s="83" t="str">
        <x:v>Quota di capacità disponibile per indisponibilità forzata/programmata e derating.</x:v>
      </x:c>
      <x:c r="F51" s="83" t="str">
        <x:v>p.u./MW</x:v>
      </x:c>
      <x:c r="G51" s="83" t="str">
        <x:v>2040; 2050</x:v>
      </x:c>
      <x:c r="H51" s="83" t="str">
        <x:v>Tutti</x:v>
      </x:c>
      <x:c r="I51" s="83" t="str">
        <x:v>Statico o orario</x:v>
      </x:c>
      <x:c r="J51" s="83" t="str">
        <x:v>Zona/tecnologia</x:v>
      </x:c>
      <x:c r="K51" s="83" t="str">
        <x:v>Termoelettrico; nucleare; hydro</x:v>
      </x:c>
      <x:c r="L51" s="83" t="str">
        <x:v>Generator</x:v>
      </x:c>
      <x:c r="M51" s="83" t="str">
        <x:v>p_max_pu</x:v>
      </x:c>
      <x:c r="N51" s="83" t="str">
        <x:v>Fattore statico/serie</x:v>
      </x:c>
      <x:c r="O51" s="83" t="str">
        <x:v>Sì</x:v>
      </x:c>
      <x:c r="P51" s="83" t="str">
        <x:v>Sì</x:v>
      </x:c>
      <x:c r="Q51" s="83" t="str">
        <x:v>S01; S03; S07</x:v>
      </x:c>
      <x:c r="R51" s="83" t="str">
        <x:v>Terna adequacy; ENTSO-E outages</x:v>
      </x:c>
      <x:c r="S51" s="83" t="str">
        <x:v>Applicare a p_nom senza doppio conteggio.</x:v>
      </x:c>
      <x:c r="T51" s="83" t="str">
        <x:v>Gap parziale</x:v>
      </x:c>
      <x:c r="U51" s="83" t="str">
        <x:v>B-D</x:v>
      </x:c>
      <x:c r="V51" s="83" t="str">
        <x:v>D11</x:v>
      </x:c>
      <x:c r="W51" s="83" t="str">
        <x:v>Fase 3A/3D/4</x:v>
      </x:c>
      <x:c r="X51" s="83" t="str"/>
    </x:row>
    <x:row r="52">
      <x:c r="A52" s="83" t="str">
        <x:v>REQ-048</x:v>
      </x:c>
      <x:c r="B52" s="83" t="str">
        <x:v>Generazione</x:v>
      </x:c>
      <x:c r="C52" s="83" t="str">
        <x:v>Capacità</x:v>
      </x:c>
      <x:c r="D52" s="83" t="str">
        <x:v>retirements_commissioning</x:v>
      </x:c>
      <x:c r="E52" s="83" t="str">
        <x:v>Dismissioni, nuove entrate e status certo/target/pipeline.</x:v>
      </x:c>
      <x:c r="F52" s="83" t="str">
        <x:v>year/status</x:v>
      </x:c>
      <x:c r="G52" s="83" t="str">
        <x:v>2040; 2050</x:v>
      </x:c>
      <x:c r="H52" s="83" t="str">
        <x:v>Tutti</x:v>
      </x:c>
      <x:c r="I52" s="83" t="str">
        <x:v>Statico</x:v>
      </x:c>
      <x:c r="J52" s="83" t="str">
        <x:v>Impianto/zona</x:v>
      </x:c>
      <x:c r="K52" s="83" t="str">
        <x:v>Termico; storage; nucleare; FER</x:v>
      </x:c>
      <x:c r="L52" s="83" t="str">
        <x:v>Generator/Link/Store</x:v>
      </x:c>
      <x:c r="M52" s="83" t="str">
        <x:v>active; build_year; lifetime</x:v>
      </x:c>
      <x:c r="N52" s="83" t="str">
        <x:v>Registro asset</x:v>
      </x:c>
      <x:c r="O52" s="83" t="str">
        <x:v>Sì</x:v>
      </x:c>
      <x:c r="P52" s="83" t="str">
        <x:v>Sì</x:v>
      </x:c>
      <x:c r="Q52" s="83" t="str">
        <x:v>S01; S04; S05; S07; S08</x:v>
      </x:c>
      <x:c r="R52" s="83" t="str">
        <x:v>Capacity Market; MACSE; Gaudì</x:v>
      </x:c>
      <x:c r="S52" s="83" t="str">
        <x:v>Filtro di maturità e anno scenario.</x:v>
      </x:c>
      <x:c r="T52" s="83" t="str">
        <x:v>Da estrarre</x:v>
      </x:c>
      <x:c r="U52" s="83" t="str">
        <x:v>A-D</x:v>
      </x:c>
      <x:c r="V52" s="83" t="str">
        <x:v>D09</x:v>
      </x:c>
      <x:c r="W52" s="83" t="str">
        <x:v>Fase 3A/4</x:v>
      </x:c>
      <x:c r="X52" s="83" t="str"/>
    </x:row>
    <x:row r="53">
      <x:c r="A53" s="83" t="str">
        <x:v>REQ-049</x:v>
      </x:c>
      <x:c r="B53" s="83" t="str">
        <x:v>Generazione</x:v>
      </x:c>
      <x:c r="C53" s="83" t="str">
        <x:v>Aggregazione</x:v>
      </x:c>
      <x:c r="D53" s="83" t="str">
        <x:v>thermal_cohort_definition</x:v>
      </x:c>
      <x:c r="E53" s="83" t="str">
        <x:v>Cluster termici per tecnologia, combustibile, efficienza, età e zona.</x:v>
      </x:c>
      <x:c r="F53" s="83" t="str">
        <x:v>mapping</x:v>
      </x:c>
      <x:c r="G53" s="83" t="str">
        <x:v>2040; 2050</x:v>
      </x:c>
      <x:c r="H53" s="83" t="str">
        <x:v>Tutti</x:v>
      </x:c>
      <x:c r="I53" s="83" t="str">
        <x:v>Statico</x:v>
      </x:c>
      <x:c r="J53" s="83" t="str">
        <x:v>Impianto → coorte zonale</x:v>
      </x:c>
      <x:c r="K53" s="83" t="str">
        <x:v>CCGT; OCGT; altri gas; carbone/olio</x:v>
      </x:c>
      <x:c r="L53" s="83" t="str">
        <x:v>Generator</x:v>
      </x:c>
      <x:c r="M53" s="83" t="str">
        <x:v>name; carrier; bus</x:v>
      </x:c>
      <x:c r="N53" s="83" t="str">
        <x:v>Tabella coorti</x:v>
      </x:c>
      <x:c r="O53" s="83" t="str">
        <x:v>Sì</x:v>
      </x:c>
      <x:c r="P53" s="83" t="str">
        <x:v>Sì</x:v>
      </x:c>
      <x:c r="Q53" s="83" t="str">
        <x:v>Gaudì/powerplantmatching; S01</x:v>
      </x:c>
      <x:c r="R53" s="83" t="str">
        <x:v>EIA-like plant data not applicable; Terna</x:v>
      </x:c>
      <x:c r="S53" s="83" t="str">
        <x:v>Aggregare senza perdere merit order.</x:v>
      </x:c>
      <x:c r="T53" s="83" t="str">
        <x:v>Decisione/metodo</x:v>
      </x:c>
      <x:c r="U53" s="83" t="str">
        <x:v>B-D</x:v>
      </x:c>
      <x:c r="V53" s="83" t="str">
        <x:v>D09</x:v>
      </x:c>
      <x:c r="W53" s="83" t="str">
        <x:v>Fase 3A/4</x:v>
      </x:c>
      <x:c r="X53" s="83" t="str"/>
    </x:row>
    <x:row r="54">
      <x:c r="A54" s="83" t="str">
        <x:v>REQ-050</x:v>
      </x:c>
      <x:c r="B54" s="83" t="str">
        <x:v>Generazione</x:v>
      </x:c>
      <x:c r="C54" s="83" t="str">
        <x:v>Tassonomia</x:v>
      </x:c>
      <x:c r="D54" s="83" t="str">
        <x:v>carrier_mapping</x:v>
      </x:c>
      <x:c r="E54" s="83" t="str">
        <x:v>Dizionario tra tecnologie fonte e carrier PyPSA.</x:v>
      </x:c>
      <x:c r="F54" s="83" t="str">
        <x:v>mapping</x:v>
      </x:c>
      <x:c r="G54" s="83" t="str">
        <x:v>2040; 2050</x:v>
      </x:c>
      <x:c r="H54" s="83" t="str">
        <x:v>Tutti</x:v>
      </x:c>
      <x:c r="I54" s="83" t="str">
        <x:v>Statico</x:v>
      </x:c>
      <x:c r="J54" s="83" t="str">
        <x:v>Sistema</x:v>
      </x:c>
      <x:c r="K54" s="83" t="str">
        <x:v>Tutte</x:v>
      </x:c>
      <x:c r="L54" s="83" t="str">
        <x:v>Carrier/Generator/Link</x:v>
      </x:c>
      <x:c r="M54" s="83" t="str">
        <x:v>carrier</x:v>
      </x:c>
      <x:c r="N54" s="83" t="str">
        <x:v>Dizionario</x:v>
      </x:c>
      <x:c r="O54" s="83" t="str">
        <x:v>Sì</x:v>
      </x:c>
      <x:c r="P54" s="83" t="str">
        <x:v>Sì</x:v>
      </x:c>
      <x:c r="Q54" s="83" t="str">
        <x:v>S01; S07; S08</x:v>
      </x:c>
      <x:c r="R54" s="83" t="str">
        <x:v>PyPSA-Eur technology taxonomy</x:v>
      </x:c>
      <x:c r="S54" s="83" t="str">
        <x:v>Mantenere tecnologie con costi/vincoli diversi separate.</x:v>
      </x:c>
      <x:c r="T54" s="83" t="str">
        <x:v>Da costruire</x:v>
      </x:c>
      <x:c r="U54" s="83" t="str">
        <x:v>A/B</x:v>
      </x:c>
      <x:c r="V54" s="83" t="str">
        <x:v>D36</x:v>
      </x:c>
      <x:c r="W54" s="83" t="str">
        <x:v>Fase 2/3A</x:v>
      </x:c>
      <x:c r="X54" s="83" t="str"/>
    </x:row>
    <x:row r="55">
      <x:c r="A55" s="83" t="str">
        <x:v>REQ-051</x:v>
      </x:c>
      <x:c r="B55" s="83" t="str">
        <x:v>Generazione</x:v>
      </x:c>
      <x:c r="C55" s="83" t="str">
        <x:v>Disponibilità FER</x:v>
      </x:c>
      <x:c r="D55" s="83" t="str">
        <x:v>vre_capacity_factor_profiles</x:v>
      </x:c>
      <x:c r="E55" s="83" t="str">
        <x:v>Profili orari di disponibilità per solare, eolico onshore/offshore.</x:v>
      </x:c>
      <x:c r="F55" s="83" t="str">
        <x:v>p.u.</x:v>
      </x:c>
      <x:c r="G55" s="83" t="str">
        <x:v>2040; 2050</x:v>
      </x:c>
      <x:c r="H55" s="83" t="str">
        <x:v>Tutti</x:v>
      </x:c>
      <x:c r="I55" s="83" t="str">
        <x:v>Orario</x:v>
      </x:c>
      <x:c r="J55" s="83" t="str">
        <x:v>Zona</x:v>
      </x:c>
      <x:c r="K55" s="83" t="str">
        <x:v>Solare; onwind; offwind</x:v>
      </x:c>
      <x:c r="L55" s="83" t="str">
        <x:v>Generator</x:v>
      </x:c>
      <x:c r="M55" s="83" t="str">
        <x:v>p_max_pu</x:v>
      </x:c>
      <x:c r="N55" s="83" t="str">
        <x:v>Matrice time × generator</x:v>
      </x:c>
      <x:c r="O55" s="83" t="str">
        <x:v>Sì</x:v>
      </x:c>
      <x:c r="P55" s="83" t="str">
        <x:v>Sì</x:v>
      </x:c>
      <x:c r="Q55" s="83" t="str">
        <x:v>PyPSA-Eur/atlite</x:v>
      </x:c>
      <x:c r="R55" s="83" t="str">
        <x:v>Terna historical; ERA5/SARAH</x:v>
      </x:c>
      <x:c r="S55" s="83" t="str">
        <x:v>Profilo meteo zonale normalizzato.</x:v>
      </x:c>
      <x:c r="T55" s="83" t="str">
        <x:v>Gap esterno</x:v>
      </x:c>
      <x:c r="U55" s="83" t="str">
        <x:v>A-C</x:v>
      </x:c>
      <x:c r="V55" s="83" t="str">
        <x:v>D05</x:v>
      </x:c>
      <x:c r="W55" s="83" t="str">
        <x:v>Fase 4</x:v>
      </x:c>
      <x:c r="X55" s="83" t="str"/>
    </x:row>
    <x:row r="56">
      <x:c r="A56" s="83" t="str">
        <x:v>REQ-052</x:v>
      </x:c>
      <x:c r="B56" s="83" t="str">
        <x:v>Generazione</x:v>
      </x:c>
      <x:c r="C56" s="83" t="str">
        <x:v>Disponibilità convenzionale</x:v>
      </x:c>
      <x:c r="D56" s="83" t="str">
        <x:v>conventional_p_max_pu</x:v>
      </x:c>
      <x:c r="E56" s="83" t="str">
        <x:v>Disponibilità massima oraria o statica dei generatori programmabili.</x:v>
      </x:c>
      <x:c r="F56" s="83" t="str">
        <x:v>p.u.</x:v>
      </x:c>
      <x:c r="G56" s="83" t="str">
        <x:v>2040; 2050</x:v>
      </x:c>
      <x:c r="H56" s="83" t="str">
        <x:v>Tutti</x:v>
      </x:c>
      <x:c r="I56" s="83" t="str">
        <x:v>Orario/statico</x:v>
      </x:c>
      <x:c r="J56" s="83" t="str">
        <x:v>Zona/coorte</x:v>
      </x:c>
      <x:c r="K56" s="83" t="str">
        <x:v>Termico; nucleare; biomass; geothermal</x:v>
      </x:c>
      <x:c r="L56" s="83" t="str">
        <x:v>Generator</x:v>
      </x:c>
      <x:c r="M56" s="83" t="str">
        <x:v>p_max_pu</x:v>
      </x:c>
      <x:c r="N56" s="83" t="str">
        <x:v>Fattore/serie</x:v>
      </x:c>
      <x:c r="O56" s="83" t="str">
        <x:v>Sì</x:v>
      </x:c>
      <x:c r="P56" s="83" t="str">
        <x:v>Sì</x:v>
      </x:c>
      <x:c r="Q56" s="83" t="str">
        <x:v>S01; S03; S07</x:v>
      </x:c>
      <x:c r="R56" s="83" t="str">
        <x:v>Terna adequacy; outage data</x:v>
      </x:c>
      <x:c r="S56" s="83" t="str">
        <x:v>Derating e manutenzioni.</x:v>
      </x:c>
      <x:c r="T56" s="83" t="str">
        <x:v>Gap parziale</x:v>
      </x:c>
      <x:c r="U56" s="83" t="str">
        <x:v>B-D</x:v>
      </x:c>
      <x:c r="V56" s="83" t="str">
        <x:v>D11</x:v>
      </x:c>
      <x:c r="W56" s="83" t="str">
        <x:v>Fase 3D/4</x:v>
      </x:c>
      <x:c r="X56" s="83" t="str"/>
    </x:row>
    <x:row r="57">
      <x:c r="A57" s="83" t="str">
        <x:v>REQ-053</x:v>
      </x:c>
      <x:c r="B57" s="83" t="str">
        <x:v>Generazione</x:v>
      </x:c>
      <x:c r="C57" s="83" t="str">
        <x:v>Minimo tecnico</x:v>
      </x:c>
      <x:c r="D57" s="83" t="str">
        <x:v>minimum_stable_generation</x:v>
      </x:c>
      <x:c r="E57" s="83" t="str">
        <x:v>Output minimo/must-run per unità o coorte.</x:v>
      </x:c>
      <x:c r="F57" s="83" t="str">
        <x:v>p.u.</x:v>
      </x:c>
      <x:c r="G57" s="83" t="str">
        <x:v>2040; 2050</x:v>
      </x:c>
      <x:c r="H57" s="83" t="str">
        <x:v>Base o UC sensitivity</x:v>
      </x:c>
      <x:c r="I57" s="83" t="str">
        <x:v>Orario/statico</x:v>
      </x:c>
      <x:c r="J57" s="83" t="str">
        <x:v>Zona/coorte</x:v>
      </x:c>
      <x:c r="K57" s="83" t="str">
        <x:v>Termico; CHP; geothermal; biomass</x:v>
      </x:c>
      <x:c r="L57" s="83" t="str">
        <x:v>Generator</x:v>
      </x:c>
      <x:c r="M57" s="83" t="str">
        <x:v>p_min_pu</x:v>
      </x:c>
      <x:c r="N57" s="83" t="str">
        <x:v>Fattore/serie</x:v>
      </x:c>
      <x:c r="O57" s="83" t="str">
        <x:v>Sì se applicato</x:v>
      </x:c>
      <x:c r="P57" s="83" t="str">
        <x:v>Sì</x:v>
      </x:c>
      <x:c r="Q57" s="83" t="str">
        <x:v>S01/altre fonti tecniche</x:v>
      </x:c>
      <x:c r="R57" s="83" t="str">
        <x:v>PyPSA docs; plant data</x:v>
      </x:c>
      <x:c r="S57" s="83" t="str">
        <x:v>p_min_pu&gt;0 senza UC implica must-run.</x:v>
      </x:c>
      <x:c r="T57" s="83" t="str">
        <x:v>Gap/decisione</x:v>
      </x:c>
      <x:c r="U57" s="83" t="str">
        <x:v>C-E</x:v>
      </x:c>
      <x:c r="V57" s="83" t="str">
        <x:v>D10</x:v>
      </x:c>
      <x:c r="W57" s="83" t="str">
        <x:v>Fase 3D/4</x:v>
      </x:c>
      <x:c r="X57" s="83" t="str"/>
    </x:row>
    <x:row r="58">
      <x:c r="A58" s="83" t="str">
        <x:v>REQ-054</x:v>
      </x:c>
      <x:c r="B58" s="83" t="str">
        <x:v>Generazione</x:v>
      </x:c>
      <x:c r="C58" s="83" t="str">
        <x:v>Energia annua</x:v>
      </x:c>
      <x:c r="D58" s="83" t="str">
        <x:v>annual_energy_min_max</x:v>
      </x:c>
      <x:c r="E58" s="83" t="str">
        <x:v>Vincoli annui di produzione minima/massima se necessari.</x:v>
      </x:c>
      <x:c r="F58" s="83" t="str">
        <x:v>MWh/year</x:v>
      </x:c>
      <x:c r="G58" s="83" t="str">
        <x:v>2040; 2050</x:v>
      </x:c>
      <x:c r="H58" s="83" t="str">
        <x:v>Tutti</x:v>
      </x:c>
      <x:c r="I58" s="83" t="str">
        <x:v>Annuale</x:v>
      </x:c>
      <x:c r="J58" s="83" t="str">
        <x:v>Zona/tecnologia</x:v>
      </x:c>
      <x:c r="K58" s="83" t="str">
        <x:v>Hydro; biomass; waste; CHP; imports</x:v>
      </x:c>
      <x:c r="L58" s="83" t="str">
        <x:v>Generator</x:v>
      </x:c>
      <x:c r="M58" s="83" t="str">
        <x:v>e_sum_min; e_sum_max</x:v>
      </x:c>
      <x:c r="N58" s="83" t="str">
        <x:v>Valori annuali</x:v>
      </x:c>
      <x:c r="O58" s="83" t="str">
        <x:v>Opzionale</x:v>
      </x:c>
      <x:c r="P58" s="83" t="str">
        <x:v>Sì</x:v>
      </x:c>
      <x:c r="Q58" s="83" t="str">
        <x:v>S01; S07; S08</x:v>
      </x:c>
      <x:c r="R58" s="83" t="str">
        <x:v>GSE/Terna</x:v>
      </x:c>
      <x:c r="S58" s="83" t="str">
        <x:v>Applicare solo con fondamento fisico/contrattuale.</x:v>
      </x:c>
      <x:c r="T58" s="83" t="str">
        <x:v>Da valutare</x:v>
      </x:c>
      <x:c r="U58" s="83" t="str">
        <x:v>B-D</x:v>
      </x:c>
      <x:c r="V58" s="83" t="str">
        <x:v>D15</x:v>
      </x:c>
      <x:c r="W58" s="83" t="str">
        <x:v>Fase 3A/3B/4</x:v>
      </x:c>
      <x:c r="X58" s="83" t="str"/>
    </x:row>
    <x:row r="59">
      <x:c r="A59" s="83" t="str">
        <x:v>REQ-055</x:v>
      </x:c>
      <x:c r="B59" s="83" t="str">
        <x:v>Generazione</x:v>
      </x:c>
      <x:c r="C59" s="83" t="str">
        <x:v>Combustibile</x:v>
      </x:c>
      <x:c r="D59" s="83" t="str">
        <x:v>fuel_type</x:v>
      </x:c>
      <x:c r="E59" s="83" t="str">
        <x:v>Combustibile associato a ogni coorte.</x:v>
      </x:c>
      <x:c r="F59" s="83" t="str">
        <x:v>text</x:v>
      </x:c>
      <x:c r="G59" s="83" t="str">
        <x:v>2040; 2050</x:v>
      </x:c>
      <x:c r="H59" s="83" t="str">
        <x:v>Tutti</x:v>
      </x:c>
      <x:c r="I59" s="83" t="str">
        <x:v>Statico</x:v>
      </x:c>
      <x:c r="J59" s="83" t="str">
        <x:v>Zona/coorte</x:v>
      </x:c>
      <x:c r="K59" s="83" t="str">
        <x:v>Termico; biomass; H2</x:v>
      </x:c>
      <x:c r="L59" s="83" t="str">
        <x:v>Carrier/Generator</x:v>
      </x:c>
      <x:c r="M59" s="83" t="str">
        <x:v>carrier</x:v>
      </x:c>
      <x:c r="N59" s="83" t="str">
        <x:v>Categoria</x:v>
      </x:c>
      <x:c r="O59" s="83" t="str">
        <x:v>Sì</x:v>
      </x:c>
      <x:c r="P59" s="83" t="str">
        <x:v>Sì</x:v>
      </x:c>
      <x:c r="Q59" s="83" t="str">
        <x:v>S01; S07; S08; Gaudì</x:v>
      </x:c>
      <x:c r="R59" s="83" t="str">
        <x:v>powerplantmatching</x:v>
      </x:c>
      <x:c r="S59" s="83" t="str">
        <x:v>Mapping univoco.</x:v>
      </x:c>
      <x:c r="T59" s="83" t="str">
        <x:v>Da estrarre</x:v>
      </x:c>
      <x:c r="U59" s="83" t="str">
        <x:v>A/B</x:v>
      </x:c>
      <x:c r="V59" s="83" t="str">
        <x:v>D12</x:v>
      </x:c>
      <x:c r="W59" s="83" t="str">
        <x:v>Fase 3A/3D</x:v>
      </x:c>
      <x:c r="X59" s="83" t="str"/>
    </x:row>
    <x:row r="60">
      <x:c r="A60" s="83" t="str">
        <x:v>REQ-056</x:v>
      </x:c>
      <x:c r="B60" s="83" t="str">
        <x:v>Generazione</x:v>
      </x:c>
      <x:c r="C60" s="83" t="str">
        <x:v>Efficienza</x:v>
      </x:c>
      <x:c r="D60" s="83" t="str">
        <x:v>electrical_efficiency</x:v>
      </x:c>
      <x:c r="E60" s="83" t="str">
        <x:v>Rapporto output elettrico/input energetico.</x:v>
      </x:c>
      <x:c r="F60" s="83" t="str">
        <x:v>p.u.</x:v>
      </x:c>
      <x:c r="G60" s="83" t="str">
        <x:v>2040; 2050</x:v>
      </x:c>
      <x:c r="H60" s="83" t="str">
        <x:v>Tutti</x:v>
      </x:c>
      <x:c r="I60" s="83" t="str">
        <x:v>Statico o per coorte</x:v>
      </x:c>
      <x:c r="J60" s="83" t="str">
        <x:v>Zona/coorte</x:v>
      </x:c>
      <x:c r="K60" s="83" t="str">
        <x:v>Termico; nucleare; CCS; H2</x:v>
      </x:c>
      <x:c r="L60" s="83" t="str">
        <x:v>Generator/Link</x:v>
      </x:c>
      <x:c r="M60" s="83" t="str">
        <x:v>efficiency</x:v>
      </x:c>
      <x:c r="N60" s="83" t="str">
        <x:v>Valore o serie</x:v>
      </x:c>
      <x:c r="O60" s="83" t="str">
        <x:v>Sì</x:v>
      </x:c>
      <x:c r="P60" s="83" t="str">
        <x:v>Sì</x:v>
      </x:c>
      <x:c r="Q60" s="83" t="str">
        <x:v>S01; S07; S08</x:v>
      </x:c>
      <x:c r="R60" s="83" t="str">
        <x:v>PyPSA technology-data; JRC/DEA</x:v>
      </x:c>
      <x:c r="S60" s="83" t="str">
        <x:v>Per coorte o tecnologia; coerente con fuel cost.</x:v>
      </x:c>
      <x:c r="T60" s="83" t="str">
        <x:v>Gap parziale</x:v>
      </x:c>
      <x:c r="U60" s="83" t="str">
        <x:v>A-D</x:v>
      </x:c>
      <x:c r="V60" s="83" t="str">
        <x:v>D12</x:v>
      </x:c>
      <x:c r="W60" s="83" t="str">
        <x:v>Fase 3D</x:v>
      </x:c>
      <x:c r="X60" s="83" t="str"/>
    </x:row>
    <x:row r="61">
      <x:c r="A61" s="83" t="str">
        <x:v>REQ-057</x:v>
      </x:c>
      <x:c r="B61" s="83" t="str">
        <x:v>Generazione</x:v>
      </x:c>
      <x:c r="C61" s="83" t="str">
        <x:v>Costi variabili</x:v>
      </x:c>
      <x:c r="D61" s="83" t="str">
        <x:v>variable_om</x:v>
      </x:c>
      <x:c r="E61" s="83" t="str">
        <x:v>OPEX variabile non combustibile.</x:v>
      </x:c>
      <x:c r="F61" s="83" t="str">
        <x:v>EUR/MWh_el</x:v>
      </x:c>
      <x:c r="G61" s="83" t="str">
        <x:v>2040; 2050</x:v>
      </x:c>
      <x:c r="H61" s="83" t="str">
        <x:v>Tutti</x:v>
      </x:c>
      <x:c r="I61" s="83" t="str">
        <x:v>Statico</x:v>
      </x:c>
      <x:c r="J61" s="83" t="str">
        <x:v>Tecnologia/coorte</x:v>
      </x:c>
      <x:c r="K61" s="83" t="str">
        <x:v>Tutte</x:v>
      </x:c>
      <x:c r="L61" s="83" t="str">
        <x:v>Generator/Link</x:v>
      </x:c>
      <x:c r="M61" s="83" t="str">
        <x:v>marginal_cost component</x:v>
      </x:c>
      <x:c r="N61" s="83" t="str">
        <x:v>Valore</x:v>
      </x:c>
      <x:c r="O61" s="83" t="str">
        <x:v>Sì</x:v>
      </x:c>
      <x:c r="P61" s="83" t="str">
        <x:v>Sì</x:v>
      </x:c>
      <x:c r="Q61" s="83" t="str">
        <x:v>S07; S08 se disponibili</x:v>
      </x:c>
      <x:c r="R61" s="83" t="str">
        <x:v>PyPSA technology-data; JRC/DEA</x:v>
      </x:c>
      <x:c r="S61" s="83" t="str">
        <x:v>Componente della formula marginale.</x:v>
      </x:c>
      <x:c r="T61" s="83" t="str">
        <x:v>Gap</x:v>
      </x:c>
      <x:c r="U61" s="83" t="str">
        <x:v>B-D</x:v>
      </x:c>
      <x:c r="V61" s="83" t="str">
        <x:v>D12</x:v>
      </x:c>
      <x:c r="W61" s="83" t="str">
        <x:v>Fase 3D</x:v>
      </x:c>
      <x:c r="X61" s="83" t="str"/>
    </x:row>
    <x:row r="62">
      <x:c r="A62" s="83" t="str">
        <x:v>REQ-058</x:v>
      </x:c>
      <x:c r="B62" s="83" t="str">
        <x:v>Generazione</x:v>
      </x:c>
      <x:c r="C62" s="83" t="str">
        <x:v>Costi variabili</x:v>
      </x:c>
      <x:c r="D62" s="83" t="str">
        <x:v>fuel_price</x:v>
      </x:c>
      <x:c r="E62" s="83" t="str">
        <x:v>Prezzo del combustibile coerente con scenario e anno.</x:v>
      </x:c>
      <x:c r="F62" s="83" t="str">
        <x:v>EUR/MWh_th</x:v>
      </x:c>
      <x:c r="G62" s="83" t="str">
        <x:v>2040; 2050</x:v>
      </x:c>
      <x:c r="H62" s="83" t="str">
        <x:v>Tutti</x:v>
      </x:c>
      <x:c r="I62" s="83" t="str">
        <x:v>Annuale o mensile</x:v>
      </x:c>
      <x:c r="J62" s="83" t="str">
        <x:v>Sistema/combustibile</x:v>
      </x:c>
      <x:c r="K62" s="83" t="str">
        <x:v>Gas; coal/oil residual; biomass; H2</x:v>
      </x:c>
      <x:c r="L62" s="83" t="str">
        <x:v>Preprocessing/Generator</x:v>
      </x:c>
      <x:c r="M62" s="83" t="str">
        <x:v>marginal_cost</x:v>
      </x:c>
      <x:c r="N62" s="83" t="str">
        <x:v>Serie o valore scenario</x:v>
      </x:c>
      <x:c r="O62" s="83" t="str">
        <x:v>Sì</x:v>
      </x:c>
      <x:c r="P62" s="83" t="str">
        <x:v>Sì</x:v>
      </x:c>
      <x:c r="Q62" s="83" t="str">
        <x:v>S01; S07; S08; DDS 2024</x:v>
      </x:c>
      <x:c r="R62" s="83" t="str">
        <x:v>IEA/WEO; Commissione europea</x:v>
      </x:c>
      <x:c r="S62" s="83" t="str">
        <x:v>Normalizzazione valuta/anno.</x:v>
      </x:c>
      <x:c r="T62" s="83" t="str">
        <x:v>Parziale/gap DDS</x:v>
      </x:c>
      <x:c r="U62" s="83" t="str">
        <x:v>A-C</x:v>
      </x:c>
      <x:c r="V62" s="83" t="str">
        <x:v>D13</x:v>
      </x:c>
      <x:c r="W62" s="83" t="str">
        <x:v>Fase 3D</x:v>
      </x:c>
      <x:c r="X62" s="83" t="str"/>
    </x:row>
    <x:row r="63">
      <x:c r="A63" s="83" t="str">
        <x:v>REQ-059</x:v>
      </x:c>
      <x:c r="B63" s="83" t="str">
        <x:v>Generazione</x:v>
      </x:c>
      <x:c r="C63" s="83" t="str">
        <x:v>Emissioni</x:v>
      </x:c>
      <x:c r="D63" s="83" t="str">
        <x:v>fuel_emission_factor</x:v>
      </x:c>
      <x:c r="E63" s="83" t="str">
        <x:v>Fattore emissivo del combustibile sul contenuto energetico.</x:v>
      </x:c>
      <x:c r="F63" s="83" t="str">
        <x:v>tCO2/MWh_th</x:v>
      </x:c>
      <x:c r="G63" s="83" t="str">
        <x:v>2040; 2050</x:v>
      </x:c>
      <x:c r="H63" s="83" t="str">
        <x:v>Tutti</x:v>
      </x:c>
      <x:c r="I63" s="83" t="str">
        <x:v>Statico</x:v>
      </x:c>
      <x:c r="J63" s="83" t="str">
        <x:v>Combustibile</x:v>
      </x:c>
      <x:c r="K63" s="83" t="str">
        <x:v>Fossili; biomass accounting; H2</x:v>
      </x:c>
      <x:c r="L63" s="83" t="str">
        <x:v>Carrier</x:v>
      </x:c>
      <x:c r="M63" s="83" t="str">
        <x:v>co2_emissions</x:v>
      </x:c>
      <x:c r="N63" s="83" t="str">
        <x:v>Valore</x:v>
      </x:c>
      <x:c r="O63" s="83" t="str">
        <x:v>Sì</x:v>
      </x:c>
      <x:c r="P63" s="83" t="str">
        <x:v>Sì</x:v>
      </x:c>
      <x:c r="Q63" s="83" t="str">
        <x:v>S01; S07; S08</x:v>
      </x:c>
      <x:c r="R63" s="83" t="str">
        <x:v>ISPRA; PyPSA technology-data</x:v>
      </x:c>
      <x:c r="S63" s="83" t="str">
        <x:v>Coerente con efficienza e carbon price.</x:v>
      </x:c>
      <x:c r="T63" s="83" t="str">
        <x:v>Parziale</x:v>
      </x:c>
      <x:c r="U63" s="83" t="str">
        <x:v>A-C</x:v>
      </x:c>
      <x:c r="V63" s="83" t="str">
        <x:v>D12</x:v>
      </x:c>
      <x:c r="W63" s="83" t="str">
        <x:v>Fase 3D</x:v>
      </x:c>
      <x:c r="X63" s="83" t="str"/>
    </x:row>
    <x:row r="64">
      <x:c r="A64" s="83" t="str">
        <x:v>REQ-060</x:v>
      </x:c>
      <x:c r="B64" s="83" t="str">
        <x:v>Generazione</x:v>
      </x:c>
      <x:c r="C64" s="83" t="str">
        <x:v>Emissioni</x:v>
      </x:c>
      <x:c r="D64" s="83" t="str">
        <x:v>co2_price</x:v>
      </x:c>
      <x:c r="E64" s="83" t="str">
        <x:v>Prezzo ETS/CO₂ usato nei costi variabili.</x:v>
      </x:c>
      <x:c r="F64" s="83" t="str">
        <x:v>EUR/tCO2</x:v>
      </x:c>
      <x:c r="G64" s="83" t="str">
        <x:v>2040; 2050</x:v>
      </x:c>
      <x:c r="H64" s="83" t="str">
        <x:v>Tutti</x:v>
      </x:c>
      <x:c r="I64" s="83" t="str">
        <x:v>Annuale o serie</x:v>
      </x:c>
      <x:c r="J64" s="83" t="str">
        <x:v>Sistema</x:v>
      </x:c>
      <x:c r="K64" s="83" t="str">
        <x:v>Emettitori ETS</x:v>
      </x:c>
      <x:c r="L64" s="83" t="str">
        <x:v>Preprocessing/Generator</x:v>
      </x:c>
      <x:c r="M64" s="83" t="str">
        <x:v>marginal_cost</x:v>
      </x:c>
      <x:c r="N64" s="83" t="str">
        <x:v>Valore scenario</x:v>
      </x:c>
      <x:c r="O64" s="83" t="str">
        <x:v>Sì</x:v>
      </x:c>
      <x:c r="P64" s="83" t="str">
        <x:v>Sì</x:v>
      </x:c>
      <x:c r="Q64" s="83" t="str">
        <x:v>S01; S07; S08; DDS 2024</x:v>
      </x:c>
      <x:c r="R64" s="83" t="str">
        <x:v>Commissione europea/ETS</x:v>
      </x:c>
      <x:c r="S64" s="83" t="str">
        <x:v>Applicare una sola volta.</x:v>
      </x:c>
      <x:c r="T64" s="83" t="str">
        <x:v>Parziale/gap DDS</x:v>
      </x:c>
      <x:c r="U64" s="83" t="str">
        <x:v>A-C</x:v>
      </x:c>
      <x:c r="V64" s="83" t="str">
        <x:v>D12</x:v>
      </x:c>
      <x:c r="W64" s="83" t="str">
        <x:v>Fase 3D</x:v>
      </x:c>
      <x:c r="X64" s="83" t="str"/>
    </x:row>
    <x:row r="65">
      <x:c r="A65" s="83" t="str">
        <x:v>REQ-061</x:v>
      </x:c>
      <x:c r="B65" s="83" t="str">
        <x:v>Generazione</x:v>
      </x:c>
      <x:c r="C65" s="83" t="str">
        <x:v>Costi variabili</x:v>
      </x:c>
      <x:c r="D65" s="83" t="str">
        <x:v>marginal_cost</x:v>
      </x:c>
      <x:c r="E65" s="83" t="str">
        <x:v>Costo marginale totale usato nel merit order.</x:v>
      </x:c>
      <x:c r="F65" s="83" t="str">
        <x:v>EUR/MWh_el</x:v>
      </x:c>
      <x:c r="G65" s="83" t="str">
        <x:v>2040; 2050</x:v>
      </x:c>
      <x:c r="H65" s="83" t="str">
        <x:v>Tutti</x:v>
      </x:c>
      <x:c r="I65" s="83" t="str">
        <x:v>Statico o serie</x:v>
      </x:c>
      <x:c r="J65" s="83" t="str">
        <x:v>Zona/coorte</x:v>
      </x:c>
      <x:c r="K65" s="83" t="str">
        <x:v>Tutte le tecnologie</x:v>
      </x:c>
      <x:c r="L65" s="83" t="str">
        <x:v>Generator/Link</x:v>
      </x:c>
      <x:c r="M65" s="83" t="str">
        <x:v>marginal_cost</x:v>
      </x:c>
      <x:c r="N65" s="83" t="str">
        <x:v>Valore/serie calcolata</x:v>
      </x:c>
      <x:c r="O65" s="83" t="str">
        <x:v>Sì</x:v>
      </x:c>
      <x:c r="P65" s="83" t="str">
        <x:v>Sì</x:v>
      </x:c>
      <x:c r="Q65" s="83" t="str">
        <x:v>Derivato da fuel, CO2, efficienza, VOM</x:v>
      </x:c>
      <x:c r="R65" s="83" t="str">
        <x:v>S01/S07 per cross-check prezzi</x:v>
      </x:c>
      <x:c r="S65" s="83" t="str">
        <x:v>fuel/efficiency + CO2*EF/efficiency + VOM + altri costi.</x:v>
      </x:c>
      <x:c r="T65" s="83" t="str">
        <x:v>Derivato</x:v>
      </x:c>
      <x:c r="U65" s="83" t="str">
        <x:v>A-D</x:v>
      </x:c>
      <x:c r="V65" s="83" t="str">
        <x:v>D12</x:v>
      </x:c>
      <x:c r="W65" s="83" t="str">
        <x:v>Fase 3D/4</x:v>
      </x:c>
      <x:c r="X65" s="83" t="str"/>
    </x:row>
    <x:row r="66">
      <x:c r="A66" s="83" t="str">
        <x:v>REQ-062</x:v>
      </x:c>
      <x:c r="B66" s="83" t="str">
        <x:v>Generazione</x:v>
      </x:c>
      <x:c r="C66" s="83" t="str">
        <x:v>Costi variabili</x:v>
      </x:c>
      <x:c r="D66" s="83" t="str">
        <x:v>time_varying_marginal_cost</x:v>
      </x:c>
      <x:c r="E66" s="83" t="str">
        <x:v>Eventuale variazione temporale di fuel/CO₂ o offerte.</x:v>
      </x:c>
      <x:c r="F66" s="83" t="str">
        <x:v>EUR/MWh_el</x:v>
      </x:c>
      <x:c r="G66" s="83" t="str">
        <x:v>2040; 2050</x:v>
      </x:c>
      <x:c r="H66" s="83" t="str">
        <x:v>Sensitività</x:v>
      </x:c>
      <x:c r="I66" s="83" t="str">
        <x:v>Mensile/giornaliero/orario</x:v>
      </x:c>
      <x:c r="J66" s="83" t="str">
        <x:v>Sistema/tecnologia</x:v>
      </x:c>
      <x:c r="K66" s="83" t="str">
        <x:v>Termico; imports</x:v>
      </x:c>
      <x:c r="L66" s="83" t="str">
        <x:v>Generator/Link</x:v>
      </x:c>
      <x:c r="M66" s="83" t="str">
        <x:v>marginal_cost time series</x:v>
      </x:c>
      <x:c r="N66" s="83" t="str">
        <x:v>Serie temporale</x:v>
      </x:c>
      <x:c r="O66" s="83" t="str">
        <x:v>Opzionale</x:v>
      </x:c>
      <x:c r="P66" s="83" t="str">
        <x:v>Sì</x:v>
      </x:c>
      <x:c r="Q66" s="83" t="str">
        <x:v>Scenario commodity</x:v>
      </x:c>
      <x:c r="R66" s="83" t="str">
        <x:v>Market forward assumptions</x:v>
      </x:c>
      <x:c r="S66" s="83" t="str">
        <x:v>Base annuale; sensitività temporale se giustificata.</x:v>
      </x:c>
      <x:c r="T66" s="83" t="str">
        <x:v>Decisione aperta</x:v>
      </x:c>
      <x:c r="U66" s="83" t="str">
        <x:v>B-D</x:v>
      </x:c>
      <x:c r="V66" s="83" t="str">
        <x:v>D13</x:v>
      </x:c>
      <x:c r="W66" s="83" t="str">
        <x:v>Fase 3D/4</x:v>
      </x:c>
      <x:c r="X66" s="83" t="str"/>
    </x:row>
    <x:row r="67">
      <x:c r="A67" s="83" t="str">
        <x:v>REQ-063</x:v>
      </x:c>
      <x:c r="B67" s="83" t="str">
        <x:v>Generazione</x:v>
      </x:c>
      <x:c r="C67" s="83" t="str">
        <x:v>Unit commitment</x:v>
      </x:c>
      <x:c r="D67" s="83" t="str">
        <x:v>committable_flag</x:v>
      </x:c>
      <x:c r="E67" s="83" t="str">
        <x:v>Attivazione dei vincoli di unit commitment.</x:v>
      </x:c>
      <x:c r="F67" s="83" t="str">
        <x:v>boolean</x:v>
      </x:c>
      <x:c r="G67" s="83" t="str">
        <x:v>2040; 2050</x:v>
      </x:c>
      <x:c r="H67" s="83" t="str">
        <x:v>Sensitività UC</x:v>
      </x:c>
      <x:c r="I67" s="83" t="str">
        <x:v>Orario</x:v>
      </x:c>
      <x:c r="J67" s="83" t="str">
        <x:v>Coorte/unità</x:v>
      </x:c>
      <x:c r="K67" s="83" t="str">
        <x:v>Termico; nucleare</x:v>
      </x:c>
      <x:c r="L67" s="83" t="str">
        <x:v>Generator</x:v>
      </x:c>
      <x:c r="M67" s="83" t="str">
        <x:v>committable</x:v>
      </x:c>
      <x:c r="N67" s="83" t="str">
        <x:v>Flag</x:v>
      </x:c>
      <x:c r="O67" s="83" t="str">
        <x:v>Opzionale</x:v>
      </x:c>
      <x:c r="P67" s="83" t="str">
        <x:v>Sì</x:v>
      </x:c>
      <x:c r="Q67" s="83" t="str">
        <x:v>Dati tecnici impianti</x:v>
      </x:c>
      <x:c r="R67" s="83" t="str">
        <x:v>PyPSA official docs</x:v>
      </x:c>
      <x:c r="S67" s="83" t="str">
        <x:v>Default lineare senza UC; sensitivity MILP.</x:v>
      </x:c>
      <x:c r="T67" s="83" t="str">
        <x:v>Decisione proposta</x:v>
      </x:c>
      <x:c r="U67" s="83" t="str">
        <x:v>C-E</x:v>
      </x:c>
      <x:c r="V67" s="83" t="str">
        <x:v>D10</x:v>
      </x:c>
      <x:c r="W67" s="83" t="str">
        <x:v>Fase 4/7</x:v>
      </x:c>
      <x:c r="X67" s="83" t="str"/>
    </x:row>
    <x:row r="68">
      <x:c r="A68" s="83" t="str">
        <x:v>REQ-064</x:v>
      </x:c>
      <x:c r="B68" s="83" t="str">
        <x:v>Generazione</x:v>
      </x:c>
      <x:c r="C68" s="83" t="str">
        <x:v>Unit commitment</x:v>
      </x:c>
      <x:c r="D68" s="83" t="str">
        <x:v>start_shutdown_standby_costs</x:v>
      </x:c>
      <x:c r="E68" s="83" t="str">
        <x:v>Costi di avviamento, spegnimento e stand-by.</x:v>
      </x:c>
      <x:c r="F68" s="83" t="str">
        <x:v>EUR/start; EUR/h</x:v>
      </x:c>
      <x:c r="G68" s="83" t="str">
        <x:v>2040; 2050</x:v>
      </x:c>
      <x:c r="H68" s="83" t="str">
        <x:v>Sensitività UC</x:v>
      </x:c>
      <x:c r="I68" s="83" t="str">
        <x:v>Orario</x:v>
      </x:c>
      <x:c r="J68" s="83" t="str">
        <x:v>Coorte/unità</x:v>
      </x:c>
      <x:c r="K68" s="83" t="str">
        <x:v>Termico; nucleare</x:v>
      </x:c>
      <x:c r="L68" s="83" t="str">
        <x:v>Generator</x:v>
      </x:c>
      <x:c r="M68" s="83" t="str">
        <x:v>start_up_cost; shut_down_cost; stand_by_cost</x:v>
      </x:c>
      <x:c r="N68" s="83" t="str">
        <x:v>Parametri</x:v>
      </x:c>
      <x:c r="O68" s="83" t="str">
        <x:v>Solo UC</x:v>
      </x:c>
      <x:c r="P68" s="83" t="str">
        <x:v>Sì</x:v>
      </x:c>
      <x:c r="Q68" s="83" t="str">
        <x:v>Fonti tecniche non nel corpus</x:v>
      </x:c>
      <x:c r="R68" s="83" t="str">
        <x:v>PyPSA technology-data/literature</x:v>
      </x:c>
      <x:c r="S68" s="83" t="str">
        <x:v>Richiesti solo se committable=True.</x:v>
      </x:c>
      <x:c r="T68" s="83" t="str">
        <x:v>Gap</x:v>
      </x:c>
      <x:c r="U68" s="83" t="str">
        <x:v>D-E</x:v>
      </x:c>
      <x:c r="V68" s="83" t="str">
        <x:v>D10</x:v>
      </x:c>
      <x:c r="W68" s="83" t="str">
        <x:v>Fase 3D/7</x:v>
      </x:c>
      <x:c r="X68" s="83" t="str"/>
    </x:row>
    <x:row r="69">
      <x:c r="A69" s="83" t="str">
        <x:v>REQ-065</x:v>
      </x:c>
      <x:c r="B69" s="83" t="str">
        <x:v>Generazione</x:v>
      </x:c>
      <x:c r="C69" s="83" t="str">
        <x:v>Unit commitment</x:v>
      </x:c>
      <x:c r="D69" s="83" t="str">
        <x:v>min_up_down_times</x:v>
      </x:c>
      <x:c r="E69" s="83" t="str">
        <x:v>Tempi minimi di accensione e spegnimento.</x:v>
      </x:c>
      <x:c r="F69" s="83" t="str">
        <x:v>snapshots/hours</x:v>
      </x:c>
      <x:c r="G69" s="83" t="str">
        <x:v>2040; 2050</x:v>
      </x:c>
      <x:c r="H69" s="83" t="str">
        <x:v>Sensitività UC</x:v>
      </x:c>
      <x:c r="I69" s="83" t="str">
        <x:v>Orario</x:v>
      </x:c>
      <x:c r="J69" s="83" t="str">
        <x:v>Coorte/unità</x:v>
      </x:c>
      <x:c r="K69" s="83" t="str">
        <x:v>Termico; nucleare</x:v>
      </x:c>
      <x:c r="L69" s="83" t="str">
        <x:v>Generator</x:v>
      </x:c>
      <x:c r="M69" s="83" t="str">
        <x:v>min_up_time; min_down_time</x:v>
      </x:c>
      <x:c r="N69" s="83" t="str">
        <x:v>Parametri</x:v>
      </x:c>
      <x:c r="O69" s="83" t="str">
        <x:v>Solo UC</x:v>
      </x:c>
      <x:c r="P69" s="83" t="str">
        <x:v>Sì</x:v>
      </x:c>
      <x:c r="Q69" s="83" t="str">
        <x:v>Fonti tecniche non nel corpus</x:v>
      </x:c>
      <x:c r="R69" s="83" t="str">
        <x:v>PyPSA docs/literature</x:v>
      </x:c>
      <x:c r="S69" s="83" t="str">
        <x:v>Coerenti con risoluzione oraria.</x:v>
      </x:c>
      <x:c r="T69" s="83" t="str">
        <x:v>Gap</x:v>
      </x:c>
      <x:c r="U69" s="83" t="str">
        <x:v>D-E</x:v>
      </x:c>
      <x:c r="V69" s="83" t="str">
        <x:v>D10</x:v>
      </x:c>
      <x:c r="W69" s="83" t="str">
        <x:v>Fase 3D/7</x:v>
      </x:c>
      <x:c r="X69" s="83" t="str"/>
    </x:row>
    <x:row r="70">
      <x:c r="A70" s="83" t="str">
        <x:v>REQ-066</x:v>
      </x:c>
      <x:c r="B70" s="83" t="str">
        <x:v>Generazione</x:v>
      </x:c>
      <x:c r="C70" s="83" t="str">
        <x:v>Dinamica</x:v>
      </x:c>
      <x:c r="D70" s="83" t="str">
        <x:v>ramp_limits</x:v>
      </x:c>
      <x:c r="E70" s="83" t="str">
        <x:v>Limiti di rampa up/down e start/shutdown.</x:v>
      </x:c>
      <x:c r="F70" s="83" t="str">
        <x:v>p.u./snapshot</x:v>
      </x:c>
      <x:c r="G70" s="83" t="str">
        <x:v>2040; 2050</x:v>
      </x:c>
      <x:c r="H70" s="83" t="str">
        <x:v>Base se disponibili; UC sensitivity</x:v>
      </x:c>
      <x:c r="I70" s="83" t="str">
        <x:v>Orario</x:v>
      </x:c>
      <x:c r="J70" s="83" t="str">
        <x:v>Coorte/unità</x:v>
      </x:c>
      <x:c r="K70" s="83" t="str">
        <x:v>Termico; nucleare; hydro</x:v>
      </x:c>
      <x:c r="L70" s="83" t="str">
        <x:v>Generator/Link</x:v>
      </x:c>
      <x:c r="M70" s="83" t="str">
        <x:v>ramp_limit_up; ramp_limit_down; ramp_limit_start_up; ramp_limit_shut_down</x:v>
      </x:c>
      <x:c r="N70" s="83" t="str">
        <x:v>Parametri</x:v>
      </x:c>
      <x:c r="O70" s="83" t="str">
        <x:v>Desiderabile</x:v>
      </x:c>
      <x:c r="P70" s="83" t="str">
        <x:v>Sì</x:v>
      </x:c>
      <x:c r="Q70" s="83" t="str">
        <x:v>S01 contesto; fonti tecniche</x:v>
      </x:c>
      <x:c r="R70" s="83" t="str">
        <x:v>PyPSA docs/literature</x:v>
      </x:c>
      <x:c r="S70" s="83" t="str">
        <x:v>Non usare valori generici senza sensitivity.</x:v>
      </x:c>
      <x:c r="T70" s="83" t="str">
        <x:v>Gap</x:v>
      </x:c>
      <x:c r="U70" s="83" t="str">
        <x:v>C-E</x:v>
      </x:c>
      <x:c r="V70" s="83" t="str">
        <x:v>D10</x:v>
      </x:c>
      <x:c r="W70" s="83" t="str">
        <x:v>Fase 3D/7</x:v>
      </x:c>
      <x:c r="X70" s="83" t="str"/>
    </x:row>
    <x:row r="71">
      <x:c r="A71" s="83" t="str">
        <x:v>REQ-067</x:v>
      </x:c>
      <x:c r="B71" s="83" t="str">
        <x:v>Generazione</x:v>
      </x:c>
      <x:c r="C71" s="83" t="str">
        <x:v>Indisponibilità</x:v>
      </x:c>
      <x:c r="D71" s="83" t="str">
        <x:v>planned_forced_outages</x:v>
      </x:c>
      <x:c r="E71" s="83" t="str">
        <x:v>Profilo o fattore di indisponibilità programmata e forzata.</x:v>
      </x:c>
      <x:c r="F71" s="83" t="str">
        <x:v>p.u.</x:v>
      </x:c>
      <x:c r="G71" s="83" t="str">
        <x:v>2040; 2050</x:v>
      </x:c>
      <x:c r="H71" s="83" t="str">
        <x:v>Tutti</x:v>
      </x:c>
      <x:c r="I71" s="83" t="str">
        <x:v>Orario/stagionale</x:v>
      </x:c>
      <x:c r="J71" s="83" t="str">
        <x:v>Zona/coorte</x:v>
      </x:c>
      <x:c r="K71" s="83" t="str">
        <x:v>Termico; nucleare; hydro</x:v>
      </x:c>
      <x:c r="L71" s="83" t="str">
        <x:v>Generator</x:v>
      </x:c>
      <x:c r="M71" s="83" t="str">
        <x:v>p_max_pu</x:v>
      </x:c>
      <x:c r="N71" s="83" t="str">
        <x:v>Serie/fattore</x:v>
      </x:c>
      <x:c r="O71" s="83" t="str">
        <x:v>Sì</x:v>
      </x:c>
      <x:c r="P71" s="83" t="str">
        <x:v>Sì</x:v>
      </x:c>
      <x:c r="Q71" s="83" t="str">
        <x:v>Terna adequacy; ENTSO-E</x:v>
      </x:c>
      <x:c r="R71" s="83" t="str">
        <x:v>Historical outage statistics</x:v>
      </x:c>
      <x:c r="S71" s="83" t="str">
        <x:v>Scenario probabilistico o profilo deterministico.</x:v>
      </x:c>
      <x:c r="T71" s="83" t="str">
        <x:v>Gap</x:v>
      </x:c>
      <x:c r="U71" s="83" t="str">
        <x:v>C-D</x:v>
      </x:c>
      <x:c r="V71" s="83" t="str">
        <x:v>D11</x:v>
      </x:c>
      <x:c r="W71" s="83" t="str">
        <x:v>Fase 3D/4</x:v>
      </x:c>
      <x:c r="X71" s="83" t="str"/>
    </x:row>
    <x:row r="72">
      <x:c r="A72" s="83" t="str">
        <x:v>REQ-068</x:v>
      </x:c>
      <x:c r="B72" s="83" t="str">
        <x:v>Generazione</x:v>
      </x:c>
      <x:c r="C72" s="83" t="str">
        <x:v>Must-run</x:v>
      </x:c>
      <x:c r="D72" s="83" t="str">
        <x:v>chp_must_run</x:v>
      </x:c>
      <x:c r="E72" s="83" t="str">
        <x:v>Produzione minima/esogena per cogenerazione e vincoli termici.</x:v>
      </x:c>
      <x:c r="F72" s="83" t="str">
        <x:v>MW or p.u.</x:v>
      </x:c>
      <x:c r="G72" s="83" t="str">
        <x:v>2040; 2050</x:v>
      </x:c>
      <x:c r="H72" s="83" t="str">
        <x:v>Tutti</x:v>
      </x:c>
      <x:c r="I72" s="83" t="str">
        <x:v>Orario/stagionale</x:v>
      </x:c>
      <x:c r="J72" s="83" t="str">
        <x:v>Zona/coorte</x:v>
      </x:c>
      <x:c r="K72" s="83" t="str">
        <x:v>CHP</x:v>
      </x:c>
      <x:c r="L72" s="83" t="str">
        <x:v>Generator</x:v>
      </x:c>
      <x:c r="M72" s="83" t="str">
        <x:v>p_min_pu or p_set</x:v>
      </x:c>
      <x:c r="N72" s="83" t="str">
        <x:v>Serie/fattore</x:v>
      </x:c>
      <x:c r="O72" s="83" t="str">
        <x:v>Desiderabile</x:v>
      </x:c>
      <x:c r="P72" s="83" t="str">
        <x:v>Sì</x:v>
      </x:c>
      <x:c r="Q72" s="83" t="str">
        <x:v>PNIEC/S01 se disponibili</x:v>
      </x:c>
      <x:c r="R72" s="83" t="str">
        <x:v>Industry/heat demand data</x:v>
      </x:c>
      <x:c r="S72" s="83" t="str">
        <x:v>Rappresentare solo quota elettrica rilevante.</x:v>
      </x:c>
      <x:c r="T72" s="83" t="str">
        <x:v>Gap</x:v>
      </x:c>
      <x:c r="U72" s="83" t="str">
        <x:v>C-E</x:v>
      </x:c>
      <x:c r="V72" s="83" t="str">
        <x:v>D10</x:v>
      </x:c>
      <x:c r="W72" s="83" t="str">
        <x:v>Fase 3D/4</x:v>
      </x:c>
      <x:c r="X72" s="83" t="str"/>
    </x:row>
    <x:row r="73">
      <x:c r="A73" s="83" t="str">
        <x:v>REQ-069</x:v>
      </x:c>
      <x:c r="B73" s="83" t="str">
        <x:v>Generazione</x:v>
      </x:c>
      <x:c r="C73" s="83" t="str">
        <x:v>FER programmabili</x:v>
      </x:c>
      <x:c r="D73" s="83" t="str">
        <x:v>biomass_geothermal_operation</x:v>
      </x:c>
      <x:c r="E73" s="83" t="str">
        <x:v>Disponibilità, energia annua e must-run di biomasse/geotermia.</x:v>
      </x:c>
      <x:c r="F73" s="83" t="str">
        <x:v>MW; MWh; p.u.</x:v>
      </x:c>
      <x:c r="G73" s="83" t="str">
        <x:v>2040; 2050</x:v>
      </x:c>
      <x:c r="H73" s="83" t="str">
        <x:v>Tutti</x:v>
      </x:c>
      <x:c r="I73" s="83" t="str">
        <x:v>Orario/annuale</x:v>
      </x:c>
      <x:c r="J73" s="83" t="str">
        <x:v>Zona</x:v>
      </x:c>
      <x:c r="K73" s="83" t="str">
        <x:v>Biomass; geothermal; waste</x:v>
      </x:c>
      <x:c r="L73" s="83" t="str">
        <x:v>Generator</x:v>
      </x:c>
      <x:c r="M73" s="83" t="str">
        <x:v>p_nom; p_max_pu; e_sum_max/min; marginal_cost</x:v>
      </x:c>
      <x:c r="N73" s="83" t="str">
        <x:v>Capacità + vincoli</x:v>
      </x:c>
      <x:c r="O73" s="83" t="str">
        <x:v>Sì</x:v>
      </x:c>
      <x:c r="P73" s="83" t="str">
        <x:v>Sì</x:v>
      </x:c>
      <x:c r="Q73" s="83" t="str">
        <x:v>S01; S07; S08; GSE</x:v>
      </x:c>
      <x:c r="R73" s="83" t="str">
        <x:v>Terna statistics</x:v>
      </x:c>
      <x:c r="S73" s="83" t="str">
        <x:v>Separare tecnologie e disponibilità di combustibile.</x:v>
      </x:c>
      <x:c r="T73" s="83" t="str">
        <x:v>Parziale</x:v>
      </x:c>
      <x:c r="U73" s="83" t="str">
        <x:v>B-D</x:v>
      </x:c>
      <x:c r="V73" s="83" t="str">
        <x:v>D12</x:v>
      </x:c>
      <x:c r="W73" s="83" t="str">
        <x:v>Fase 3A/3D</x:v>
      </x:c>
      <x:c r="X73" s="83" t="str"/>
    </x:row>
    <x:row r="74">
      <x:c r="A74" s="83" t="str">
        <x:v>REQ-070</x:v>
      </x:c>
      <x:c r="B74" s="83" t="str">
        <x:v>Generazione</x:v>
      </x:c>
      <x:c r="C74" s="83" t="str">
        <x:v>Tecnologie 2050</x:v>
      </x:c>
      <x:c r="D74" s="83" t="str">
        <x:v>nuclear_capacity_and_operation</x:v>
      </x:c>
      <x:c r="E74" s="83" t="str">
        <x:v>Capacità, disponibilità, efficienza/costi e minimo tecnico del nucleare.</x:v>
      </x:c>
      <x:c r="F74" s="83" t="str">
        <x:v>MW; p.u.; EUR/MWh</x:v>
      </x:c>
      <x:c r="G74" s="83" t="str">
        <x:v>2050</x:v>
      </x:c>
      <x:c r="H74" s="83" t="str">
        <x:v>Con nucleare / senza nucleare</x:v>
      </x:c>
      <x:c r="I74" s="83" t="str">
        <x:v>Orario</x:v>
      </x:c>
      <x:c r="J74" s="83" t="str">
        <x:v>Zona da definire</x:v>
      </x:c>
      <x:c r="K74" s="83" t="str">
        <x:v>Nucleare</x:v>
      </x:c>
      <x:c r="L74" s="83" t="str">
        <x:v>Generator</x:v>
      </x:c>
      <x:c r="M74" s="83" t="str">
        <x:v>p_nom; p_max_pu; p_min_pu; marginal_cost; committable optional</x:v>
      </x:c>
      <x:c r="N74" s="83" t="str">
        <x:v>Asset scenario</x:v>
      </x:c>
      <x:c r="O74" s="83" t="str">
        <x:v>Sì nel ramo nucleare</x:v>
      </x:c>
      <x:c r="P74" s="83" t="str">
        <x:v>Sì</x:v>
      </x:c>
      <x:c r="Q74" s="83" t="str">
        <x:v>S07; S08</x:v>
      </x:c>
      <x:c r="R74" s="83" t="str">
        <x:v>Fonti tecniche esterne</x:v>
      </x:c>
      <x:c r="S74" s="83" t="str">
        <x:v>Mantenere scenario separato, non mediare.</x:v>
      </x:c>
      <x:c r="T74" s="83" t="str">
        <x:v>Parziale/decisione</x:v>
      </x:c>
      <x:c r="U74" s="83" t="str">
        <x:v>B-E</x:v>
      </x:c>
      <x:c r="V74" s="83" t="str">
        <x:v>D24</x:v>
      </x:c>
      <x:c r="W74" s="83" t="str">
        <x:v>Fase 3A/3D/4</x:v>
      </x:c>
      <x:c r="X74" s="83" t="str"/>
    </x:row>
    <x:row r="75">
      <x:c r="A75" s="83" t="str">
        <x:v>REQ-071</x:v>
      </x:c>
      <x:c r="B75" s="83" t="str">
        <x:v>Generazione</x:v>
      </x:c>
      <x:c r="C75" s="83" t="str">
        <x:v>Tecnologie 2050</x:v>
      </x:c>
      <x:c r="D75" s="83" t="str">
        <x:v>ccs_generation</x:v>
      </x:c>
      <x:c r="E75" s="83" t="str">
        <x:v>Capacità CCS, capture rate, penalty di efficienza e emissioni residue.</x:v>
      </x:c>
      <x:c r="F75" s="83" t="str">
        <x:v>MW; p.u.; tCO2/MWh</x:v>
      </x:c>
      <x:c r="G75" s="83" t="str">
        <x:v>2050</x:v>
      </x:c>
      <x:c r="H75" s="83" t="str">
        <x:v>Ramo CCS se selezionato</x:v>
      </x:c>
      <x:c r="I75" s="83" t="str">
        <x:v>Orario</x:v>
      </x:c>
      <x:c r="J75" s="83" t="str">
        <x:v>Zona</x:v>
      </x:c>
      <x:c r="K75" s="83" t="str">
        <x:v>CCGT/altro con CCS</x:v>
      </x:c>
      <x:c r="L75" s="83" t="str">
        <x:v>Generator or Link/Process</x:v>
      </x:c>
      <x:c r="M75" s="83" t="str">
        <x:v>p_nom; efficiency; marginal_cost; carrier emissions</x:v>
      </x:c>
      <x:c r="N75" s="83" t="str">
        <x:v>Asset scenario</x:v>
      </x:c>
      <x:c r="O75" s="83" t="str">
        <x:v>Solo se incluso</x:v>
      </x:c>
      <x:c r="P75" s="83" t="str">
        <x:v>Sì</x:v>
      </x:c>
      <x:c r="Q75" s="83" t="str">
        <x:v>S07; S08</x:v>
      </x:c>
      <x:c r="R75" s="83" t="str">
        <x:v>JRC/IEA/PyPSA-Eur</x:v>
      </x:c>
      <x:c r="S75" s="83" t="str">
        <x:v>Preferire componente coerente con perimetro CO2.</x:v>
      </x:c>
      <x:c r="T75" s="83" t="str">
        <x:v>Parziale/decisione</x:v>
      </x:c>
      <x:c r="U75" s="83" t="str">
        <x:v>C-E</x:v>
      </x:c>
      <x:c r="V75" s="83" t="str">
        <x:v>D25</x:v>
      </x:c>
      <x:c r="W75" s="83" t="str">
        <x:v>Fase 3D/4</x:v>
      </x:c>
      <x:c r="X75" s="83" t="str"/>
    </x:row>
    <x:row r="76">
      <x:c r="A76" s="83" t="str">
        <x:v>REQ-072</x:v>
      </x:c>
      <x:c r="B76" s="83" t="str">
        <x:v>Generazione</x:v>
      </x:c>
      <x:c r="C76" s="83" t="str">
        <x:v>Tecnologie 2050</x:v>
      </x:c>
      <x:c r="D76" s="83" t="str">
        <x:v>hydrogen_synthetic_fuel_generation</x:v>
      </x:c>
      <x:c r="E76" s="83" t="str">
        <x:v>Generazione da H₂ o combustibili sintetici e prezzo del vettore.</x:v>
      </x:c>
      <x:c r="F76" s="83" t="str">
        <x:v>MW; EUR/MWh_fuel</x:v>
      </x:c>
      <x:c r="G76" s="83" t="str">
        <x:v>2050</x:v>
      </x:c>
      <x:c r="H76" s="83" t="str">
        <x:v>Sensitività/ramo</x:v>
      </x:c>
      <x:c r="I76" s="83" t="str">
        <x:v>Orario</x:v>
      </x:c>
      <x:c r="J76" s="83" t="str">
        <x:v>Zona</x:v>
      </x:c>
      <x:c r="K76" s="83" t="str">
        <x:v>H2 turbine/fuel cell</x:v>
      </x:c>
      <x:c r="L76" s="83" t="str">
        <x:v>Generator or Link</x:v>
      </x:c>
      <x:c r="M76" s="83" t="str">
        <x:v>p_nom; efficiency; marginal_cost</x:v>
      </x:c>
      <x:c r="N76" s="83" t="str">
        <x:v>Asset scenario</x:v>
      </x:c>
      <x:c r="O76" s="83" t="str">
        <x:v>Solo se incluso</x:v>
      </x:c>
      <x:c r="P76" s="83" t="str">
        <x:v>Sì</x:v>
      </x:c>
      <x:c r="Q76" s="83" t="str">
        <x:v>S07; S08</x:v>
      </x:c>
      <x:c r="R76" s="83" t="str">
        <x:v>Strategia H2; PyPSA-Eur</x:v>
      </x:c>
      <x:c r="S76" s="83" t="str">
        <x:v>Evitare doppio conteggio con elettrolizzatori.</x:v>
      </x:c>
      <x:c r="T76" s="83" t="str">
        <x:v>Gap/decisione</x:v>
      </x:c>
      <x:c r="U76" s="83" t="str">
        <x:v>C-E</x:v>
      </x:c>
      <x:c r="V76" s="83" t="str">
        <x:v>D26</x:v>
      </x:c>
      <x:c r="W76" s="83" t="str">
        <x:v>Fase 3D/4</x:v>
      </x:c>
      <x:c r="X76" s="83" t="str"/>
    </x:row>
    <x:row r="77">
      <x:c r="A77" s="83" t="str">
        <x:v>REQ-073</x:v>
      </x:c>
      <x:c r="B77" s="83" t="str">
        <x:v>Generazione</x:v>
      </x:c>
      <x:c r="C77" s="83" t="str">
        <x:v>Offerte</x:v>
      </x:c>
      <x:c r="D77" s="83" t="str">
        <x:v>renewable_bid_costs</x:v>
      </x:c>
      <x:c r="E77" s="83" t="str">
        <x:v>Costo marginale/offerta di FER, inclusi eventuali incentivi o offerte negative.</x:v>
      </x:c>
      <x:c r="F77" s="83" t="str">
        <x:v>EUR/MWh</x:v>
      </x:c>
      <x:c r="G77" s="83" t="str">
        <x:v>2040; 2050</x:v>
      </x:c>
      <x:c r="H77" s="83" t="str">
        <x:v>Base e sensitivity</x:v>
      </x:c>
      <x:c r="I77" s="83" t="str">
        <x:v>Statico/serie</x:v>
      </x:c>
      <x:c r="J77" s="83" t="str">
        <x:v>Zona/tecnologia</x:v>
      </x:c>
      <x:c r="K77" s="83" t="str">
        <x:v>VRE; hydro; biomass</x:v>
      </x:c>
      <x:c r="L77" s="83" t="str">
        <x:v>Generator</x:v>
      </x:c>
      <x:c r="M77" s="83" t="str">
        <x:v>marginal_cost</x:v>
      </x:c>
      <x:c r="N77" s="83" t="str">
        <x:v>Valore/serie</x:v>
      </x:c>
      <x:c r="O77" s="83" t="str">
        <x:v>Sì</x:v>
      </x:c>
      <x:c r="P77" s="83" t="str">
        <x:v>Sì</x:v>
      </x:c>
      <x:c r="Q77" s="83" t="str">
        <x:v>S01/S07 contesto</x:v>
      </x:c>
      <x:c r="R77" s="83" t="str">
        <x:v>Regole di mercato/incentivi</x:v>
      </x:c>
      <x:c r="S77" s="83" t="str">
        <x:v>Default costo tecnico ~0; negative bids solo in sensitivity.</x:v>
      </x:c>
      <x:c r="T77" s="83" t="str">
        <x:v>Decisione proposta</x:v>
      </x:c>
      <x:c r="U77" s="83" t="str">
        <x:v>B-D</x:v>
      </x:c>
      <x:c r="V77" s="83" t="str">
        <x:v>D14</x:v>
      </x:c>
      <x:c r="W77" s="83" t="str">
        <x:v>Fase 3D/4</x:v>
      </x:c>
      <x:c r="X77" s="83" t="str"/>
    </x:row>
    <x:row r="78">
      <x:c r="A78" s="83" t="str">
        <x:v>REQ-074</x:v>
      </x:c>
      <x:c r="B78" s="83" t="str">
        <x:v>Idroelettrico</x:v>
      </x:c>
      <x:c r="C78" s="83" t="str">
        <x:v>Run-of-river</x:v>
      </x:c>
      <x:c r="D78" s="83" t="str">
        <x:v>ror_capacity</x:v>
      </x:c>
      <x:c r="E78" s="83" t="str">
        <x:v>Potenza degli impianti ad acqua fluente per zona.</x:v>
      </x:c>
      <x:c r="F78" s="83" t="str">
        <x:v>MW</x:v>
      </x:c>
      <x:c r="G78" s="83" t="str">
        <x:v>2040; 2050</x:v>
      </x:c>
      <x:c r="H78" s="83" t="str">
        <x:v>Tutti</x:v>
      </x:c>
      <x:c r="I78" s="83" t="str">
        <x:v>Statico</x:v>
      </x:c>
      <x:c r="J78" s="83" t="str">
        <x:v>Zona</x:v>
      </x:c>
      <x:c r="K78" s="83" t="str">
        <x:v>Run-of-river</x:v>
      </x:c>
      <x:c r="L78" s="83" t="str">
        <x:v>Generator</x:v>
      </x:c>
      <x:c r="M78" s="83" t="str">
        <x:v>p_nom</x:v>
      </x:c>
      <x:c r="N78" s="83" t="str">
        <x:v>Tabella zona</x:v>
      </x:c>
      <x:c r="O78" s="83" t="str">
        <x:v>Sì</x:v>
      </x:c>
      <x:c r="P78" s="83" t="str">
        <x:v>Sì</x:v>
      </x:c>
      <x:c r="Q78" s="83" t="str">
        <x:v>S01; S07; S08</x:v>
      </x:c>
      <x:c r="R78" s="83" t="str">
        <x:v>Gaudì/GSE</x:v>
      </x:c>
      <x:c r="S78" s="83" t="str">
        <x:v>Separare da serbatoio e pompaggio.</x:v>
      </x:c>
      <x:c r="T78" s="83" t="str">
        <x:v>Da estrarre</x:v>
      </x:c>
      <x:c r="U78" s="83" t="str">
        <x:v>A-C</x:v>
      </x:c>
      <x:c r="V78" s="83" t="str">
        <x:v>D15</x:v>
      </x:c>
      <x:c r="W78" s="83" t="str">
        <x:v>Fase 3B</x:v>
      </x:c>
      <x:c r="X78" s="83" t="str"/>
    </x:row>
    <x:row r="79">
      <x:c r="A79" s="83" t="str">
        <x:v>REQ-075</x:v>
      </x:c>
      <x:c r="B79" s="83" t="str">
        <x:v>Idroelettrico</x:v>
      </x:c>
      <x:c r="C79" s="83" t="str">
        <x:v>Run-of-river</x:v>
      </x:c>
      <x:c r="D79" s="83" t="str">
        <x:v>ror_inflow_profile</x:v>
      </x:c>
      <x:c r="E79" s="83" t="str">
        <x:v>Profilo orario di producibilità/inflow per acqua fluente.</x:v>
      </x:c>
      <x:c r="F79" s="83" t="str">
        <x:v>p.u. or MW</x:v>
      </x:c>
      <x:c r="G79" s="83" t="str">
        <x:v>2040; 2050</x:v>
      </x:c>
      <x:c r="H79" s="83" t="str">
        <x:v>Tutti</x:v>
      </x:c>
      <x:c r="I79" s="83" t="str">
        <x:v>Orario</x:v>
      </x:c>
      <x:c r="J79" s="83" t="str">
        <x:v>Zona</x:v>
      </x:c>
      <x:c r="K79" s="83" t="str">
        <x:v>Run-of-river</x:v>
      </x:c>
      <x:c r="L79" s="83" t="str">
        <x:v>Generator</x:v>
      </x:c>
      <x:c r="M79" s="83" t="str">
        <x:v>p_max_pu</x:v>
      </x:c>
      <x:c r="N79" s="83" t="str">
        <x:v>Serie temporale</x:v>
      </x:c>
      <x:c r="O79" s="83" t="str">
        <x:v>Sì</x:v>
      </x:c>
      <x:c r="P79" s="83" t="str">
        <x:v>Sì</x:v>
      </x:c>
      <x:c r="Q79" s="83" t="str">
        <x:v>PyPSA-Eur hydro; Terna historical</x:v>
      </x:c>
      <x:c r="R79" s="83" t="str">
        <x:v>ENTSO-E</x:v>
      </x:c>
      <x:c r="S79" s="83" t="str">
        <x:v>Profilo meteo-idrologico scalato.</x:v>
      </x:c>
      <x:c r="T79" s="83" t="str">
        <x:v>Gap esterno</x:v>
      </x:c>
      <x:c r="U79" s="83" t="str">
        <x:v>B-D</x:v>
      </x:c>
      <x:c r="V79" s="83" t="str">
        <x:v>D15</x:v>
      </x:c>
      <x:c r="W79" s="83" t="str">
        <x:v>Fase 3B/4</x:v>
      </x:c>
      <x:c r="X79" s="83" t="str"/>
    </x:row>
    <x:row r="80">
      <x:c r="A80" s="83" t="str">
        <x:v>REQ-076</x:v>
      </x:c>
      <x:c r="B80" s="83" t="str">
        <x:v>Idroelettrico</x:v>
      </x:c>
      <x:c r="C80" s="83" t="str">
        <x:v>Serbatoio</x:v>
      </x:c>
      <x:c r="D80" s="83" t="str">
        <x:v>reservoir_turbine_power</x:v>
      </x:c>
      <x:c r="E80" s="83" t="str">
        <x:v>Potenza di turbina degli impianti a serbatoio per zona.</x:v>
      </x:c>
      <x:c r="F80" s="83" t="str">
        <x:v>MW</x:v>
      </x:c>
      <x:c r="G80" s="83" t="str">
        <x:v>2040; 2050</x:v>
      </x:c>
      <x:c r="H80" s="83" t="str">
        <x:v>Tutti</x:v>
      </x:c>
      <x:c r="I80" s="83" t="str">
        <x:v>Statico</x:v>
      </x:c>
      <x:c r="J80" s="83" t="str">
        <x:v>Zona</x:v>
      </x:c>
      <x:c r="K80" s="83" t="str">
        <x:v>Hydro reservoir</x:v>
      </x:c>
      <x:c r="L80" s="83" t="str">
        <x:v>StorageUnit or Link</x:v>
      </x:c>
      <x:c r="M80" s="83" t="str">
        <x:v>p_nom</x:v>
      </x:c>
      <x:c r="N80" s="83" t="str">
        <x:v>Tabella zona</x:v>
      </x:c>
      <x:c r="O80" s="83" t="str">
        <x:v>Sì</x:v>
      </x:c>
      <x:c r="P80" s="83" t="str">
        <x:v>Sì</x:v>
      </x:c>
      <x:c r="Q80" s="83" t="str">
        <x:v>S01; S07; Gaudì</x:v>
      </x:c>
      <x:c r="R80" s="83" t="str">
        <x:v>PyPSA-Eur hydro</x:v>
      </x:c>
      <x:c r="S80" s="83" t="str">
        <x:v>Separare potenza da energia immagazzinabile.</x:v>
      </x:c>
      <x:c r="T80" s="83" t="str">
        <x:v>Parziale</x:v>
      </x:c>
      <x:c r="U80" s="83" t="str">
        <x:v>A-C</x:v>
      </x:c>
      <x:c r="V80" s="83" t="str">
        <x:v>D15</x:v>
      </x:c>
      <x:c r="W80" s="83" t="str">
        <x:v>Fase 3B</x:v>
      </x:c>
      <x:c r="X80" s="83" t="str"/>
    </x:row>
    <x:row r="81">
      <x:c r="A81" s="83" t="str">
        <x:v>REQ-077</x:v>
      </x:c>
      <x:c r="B81" s="83" t="str">
        <x:v>Idroelettrico</x:v>
      </x:c>
      <x:c r="C81" s="83" t="str">
        <x:v>Serbatoio</x:v>
      </x:c>
      <x:c r="D81" s="83" t="str">
        <x:v>reservoir_energy_capacity</x:v>
      </x:c>
      <x:c r="E81" s="83" t="str">
        <x:v>Energia utile del serbatoio o max_hours equivalente.</x:v>
      </x:c>
      <x:c r="F81" s="83" t="str">
        <x:v>MWh</x:v>
      </x:c>
      <x:c r="G81" s="83" t="str">
        <x:v>2040; 2050</x:v>
      </x:c>
      <x:c r="H81" s="83" t="str">
        <x:v>Tutti</x:v>
      </x:c>
      <x:c r="I81" s="83" t="str">
        <x:v>Statico</x:v>
      </x:c>
      <x:c r="J81" s="83" t="str">
        <x:v>Zona/impianto</x:v>
      </x:c>
      <x:c r="K81" s="83" t="str">
        <x:v>Hydro reservoir</x:v>
      </x:c>
      <x:c r="L81" s="83" t="str">
        <x:v>Store or StorageUnit</x:v>
      </x:c>
      <x:c r="M81" s="83" t="str">
        <x:v>e_nom or max_hours</x:v>
      </x:c>
      <x:c r="N81" s="83" t="str">
        <x:v>Valore energia</x:v>
      </x:c>
      <x:c r="O81" s="83" t="str">
        <x:v>Sì</x:v>
      </x:c>
      <x:c r="P81" s="83" t="str">
        <x:v>Sì</x:v>
      </x:c>
      <x:c r="Q81" s="83" t="str">
        <x:v>S07 se disponibile</x:v>
      </x:c>
      <x:c r="R81" s="83" t="str">
        <x:v>JRC/PyPSA-Eur hydro database</x:v>
      </x:c>
      <x:c r="S81" s="83" t="str">
        <x:v>Preferire e_nom se potenza/energia indipendenti.</x:v>
      </x:c>
      <x:c r="T81" s="83" t="str">
        <x:v>Critical gap — external hydro data</x:v>
      </x:c>
      <x:c r="U81" s="83" t="str">
        <x:v>B-D</x:v>
      </x:c>
      <x:c r="V81" s="83" t="str">
        <x:v>D15</x:v>
      </x:c>
      <x:c r="W81" s="83" t="str">
        <x:v>Fase 3B</x:v>
      </x:c>
      <x:c r="X81" s="83" t="str"/>
    </x:row>
    <x:row r="82">
      <x:c r="A82" s="83" t="str">
        <x:v>REQ-078</x:v>
      </x:c>
      <x:c r="B82" s="83" t="str">
        <x:v>Idroelettrico</x:v>
      </x:c>
      <x:c r="C82" s="83" t="str">
        <x:v>Serbatoio</x:v>
      </x:c>
      <x:c r="D82" s="83" t="str">
        <x:v>reservoir_inflow</x:v>
      </x:c>
      <x:c r="E82" s="83" t="str">
        <x:v>Inflow orario o mensile ai serbatoi.</x:v>
      </x:c>
      <x:c r="F82" s="83" t="str">
        <x:v>MW</x:v>
      </x:c>
      <x:c r="G82" s="83" t="str">
        <x:v>2040; 2050</x:v>
      </x:c>
      <x:c r="H82" s="83" t="str">
        <x:v>Tutti</x:v>
      </x:c>
      <x:c r="I82" s="83" t="str">
        <x:v>Orario/mensile</x:v>
      </x:c>
      <x:c r="J82" s="83" t="str">
        <x:v>Zona/impianto</x:v>
      </x:c>
      <x:c r="K82" s="83" t="str">
        <x:v>Hydro reservoir</x:v>
      </x:c>
      <x:c r="L82" s="83" t="str">
        <x:v>StorageUnit or auxiliary Generator/Load</x:v>
      </x:c>
      <x:c r="M82" s="83" t="str">
        <x:v>inflow</x:v>
      </x:c>
      <x:c r="N82" s="83" t="str">
        <x:v>Serie temporale</x:v>
      </x:c>
      <x:c r="O82" s="83" t="str">
        <x:v>Sì</x:v>
      </x:c>
      <x:c r="P82" s="83" t="str">
        <x:v>Sì</x:v>
      </x:c>
      <x:c r="Q82" s="83" t="str">
        <x:v>PyPSA-Eur hydro; Terna historical</x:v>
      </x:c>
      <x:c r="R82" s="83" t="str">
        <x:v>ENTSO-E/JRC</x:v>
      </x:c>
      <x:c r="S82" s="83" t="str">
        <x:v>Conservare energia annua e stagionalità.</x:v>
      </x:c>
      <x:c r="T82" s="83" t="str">
        <x:v>Critical gap — external time series</x:v>
      </x:c>
      <x:c r="U82" s="83" t="str">
        <x:v>B-D</x:v>
      </x:c>
      <x:c r="V82" s="83" t="str">
        <x:v>D15</x:v>
      </x:c>
      <x:c r="W82" s="83" t="str">
        <x:v>Fase 3B/4</x:v>
      </x:c>
      <x:c r="X82" s="83" t="str"/>
    </x:row>
    <x:row r="83">
      <x:c r="A83" s="83" t="str">
        <x:v>REQ-079</x:v>
      </x:c>
      <x:c r="B83" s="83" t="str">
        <x:v>Idroelettrico</x:v>
      </x:c>
      <x:c r="C83" s="83" t="str">
        <x:v>Serbatoio</x:v>
      </x:c>
      <x:c r="D83" s="83" t="str">
        <x:v>reservoir_initial_terminal_soc</x:v>
      </x:c>
      <x:c r="E83" s="83" t="str">
        <x:v>Stato iniziale e condizione finale/ciclica.</x:v>
      </x:c>
      <x:c r="F83" s="83" t="str">
        <x:v>MWh or p.u.</x:v>
      </x:c>
      <x:c r="G83" s="83" t="str">
        <x:v>2040; 2050</x:v>
      </x:c>
      <x:c r="H83" s="83" t="str">
        <x:v>Tutti</x:v>
      </x:c>
      <x:c r="I83" s="83" t="str">
        <x:v>Inizio/fine anno</x:v>
      </x:c>
      <x:c r="J83" s="83" t="str">
        <x:v>Zona/impianto</x:v>
      </x:c>
      <x:c r="K83" s="83" t="str">
        <x:v>Hydro reservoir; pumping</x:v>
      </x:c>
      <x:c r="L83" s="83" t="str">
        <x:v>Store/StorageUnit</x:v>
      </x:c>
      <x:c r="M83" s="83" t="str">
        <x:v>e_initial; e_cyclic; state_of_charge_initial; cyclic_state_of_charge</x:v>
      </x:c>
      <x:c r="N83" s="83" t="str">
        <x:v>Parametri</x:v>
      </x:c>
      <x:c r="O83" s="83" t="str">
        <x:v>Sì</x:v>
      </x:c>
      <x:c r="P83" s="83" t="str">
        <x:v>Sì</x:v>
      </x:c>
      <x:c r="Q83" s="83" t="str">
        <x:v>Terna historical se disponibile</x:v>
      </x:c>
      <x:c r="R83" s="83" t="str">
        <x:v>PyPSA docs</x:v>
      </x:c>
      <x:c r="S83" s="83" t="str">
        <x:v>Evitare uso gratuito dell'acqua iniziale.</x:v>
      </x:c>
      <x:c r="T83" s="83" t="str">
        <x:v>Decision open — cyclic/calibrated target</x:v>
      </x:c>
      <x:c r="U83" s="83" t="str">
        <x:v>B-D</x:v>
      </x:c>
      <x:c r="V83" s="83" t="str">
        <x:v>D16</x:v>
      </x:c>
      <x:c r="W83" s="83" t="str">
        <x:v>Fase 3B/4</x:v>
      </x:c>
      <x:c r="X83" s="83" t="str"/>
    </x:row>
    <x:row r="84">
      <x:c r="A84" s="83" t="str">
        <x:v>REQ-080</x:v>
      </x:c>
      <x:c r="B84" s="83" t="str">
        <x:v>Idroelettrico</x:v>
      </x:c>
      <x:c r="C84" s="83" t="str">
        <x:v>Serbatoio</x:v>
      </x:c>
      <x:c r="D84" s="83" t="str">
        <x:v>hydro_spillage</x:v>
      </x:c>
      <x:c r="E84" s="83" t="str">
        <x:v>Possibilità e output di spillage.</x:v>
      </x:c>
      <x:c r="F84" s="83" t="str">
        <x:v>MW/MWh</x:v>
      </x:c>
      <x:c r="G84" s="83" t="str">
        <x:v>2040; 2050</x:v>
      </x:c>
      <x:c r="H84" s="83" t="str">
        <x:v>Tutti</x:v>
      </x:c>
      <x:c r="I84" s="83" t="str">
        <x:v>Orario</x:v>
      </x:c>
      <x:c r="J84" s="83" t="str">
        <x:v>Zona/impianto</x:v>
      </x:c>
      <x:c r="K84" s="83" t="str">
        <x:v>Hydro reservoir</x:v>
      </x:c>
      <x:c r="L84" s="83" t="str">
        <x:v>StorageUnit</x:v>
      </x:c>
      <x:c r="M84" s="83" t="str">
        <x:v>spill</x:v>
      </x:c>
      <x:c r="N84" s="83" t="str">
        <x:v>Output/constraint</x:v>
      </x:c>
      <x:c r="O84" s="83" t="str">
        <x:v>Sì</x:v>
      </x:c>
      <x:c r="P84" s="83" t="str">
        <x:v>No</x:v>
      </x:c>
      <x:c r="Q84" s="83" t="str">
        <x:v>PyPSA docs</x:v>
      </x:c>
      <x:c r="R84" s="83" t="str">
        <x:v>Terna hydro</x:v>
      </x:c>
      <x:c r="S84" s="83" t="str">
        <x:v>Consentire spillage e validarlo.</x:v>
      </x:c>
      <x:c r="T84" s="83" t="str">
        <x:v>Definito concettualmente</x:v>
      </x:c>
      <x:c r="U84" s="83" t="str">
        <x:v>B</x:v>
      </x:c>
      <x:c r="V84" s="83" t="str">
        <x:v>D15</x:v>
      </x:c>
      <x:c r="W84" s="83" t="str">
        <x:v>Fase 3B/7</x:v>
      </x:c>
      <x:c r="X84" s="83" t="str"/>
    </x:row>
    <x:row r="85">
      <x:c r="A85" s="83" t="str">
        <x:v>REQ-081</x:v>
      </x:c>
      <x:c r="B85" s="83" t="str">
        <x:v>Idroelettrico</x:v>
      </x:c>
      <x:c r="C85" s="83" t="str">
        <x:v>Pompaggio</x:v>
      </x:c>
      <x:c r="D85" s="83" t="str">
        <x:v>pumped_hydro_power</x:v>
      </x:c>
      <x:c r="E85" s="83" t="str">
        <x:v>Potenza di generazione e pompaggio, anche asimmetriche.</x:v>
      </x:c>
      <x:c r="F85" s="83" t="str">
        <x:v>MW</x:v>
      </x:c>
      <x:c r="G85" s="83" t="str">
        <x:v>2040; 2050</x:v>
      </x:c>
      <x:c r="H85" s="83" t="str">
        <x:v>Tutti</x:v>
      </x:c>
      <x:c r="I85" s="83" t="str">
        <x:v>Statico</x:v>
      </x:c>
      <x:c r="J85" s="83" t="str">
        <x:v>Zona/impianto</x:v>
      </x:c>
      <x:c r="K85" s="83" t="str">
        <x:v>Pumped hydro</x:v>
      </x:c>
      <x:c r="L85" s="83" t="str">
        <x:v>StorageUnit or Links</x:v>
      </x:c>
      <x:c r="M85" s="83" t="str">
        <x:v>p_nom or separate p_nom</x:v>
      </x:c>
      <x:c r="N85" s="83" t="str">
        <x:v>Potenza charge/discharge</x:v>
      </x:c>
      <x:c r="O85" s="83" t="str">
        <x:v>Sì</x:v>
      </x:c>
      <x:c r="P85" s="83" t="str">
        <x:v>Sì</x:v>
      </x:c>
      <x:c r="Q85" s="83" t="str">
        <x:v>S01; S04; S07</x:v>
      </x:c>
      <x:c r="R85" s="83" t="str">
        <x:v>Gaudì/PyPSA-Eur</x:v>
      </x:c>
      <x:c r="S85" s="83" t="str">
        <x:v>Separare se rating asimmetrici.</x:v>
      </x:c>
      <x:c r="T85" s="83" t="str">
        <x:v>Extracted aggregate; zonal plant detail open</x:v>
      </x:c>
      <x:c r="U85" s="83" t="str">
        <x:v>A-C</x:v>
      </x:c>
      <x:c r="V85" s="83" t="str">
        <x:v>D15</x:v>
      </x:c>
      <x:c r="W85" s="83" t="str">
        <x:v>Fase 3B</x:v>
      </x:c>
      <x:c r="X85" s="83" t="str"/>
    </x:row>
    <x:row r="86">
      <x:c r="A86" s="83" t="str">
        <x:v>REQ-082</x:v>
      </x:c>
      <x:c r="B86" s="83" t="str">
        <x:v>Idroelettrico</x:v>
      </x:c>
      <x:c r="C86" s="83" t="str">
        <x:v>Pompaggio</x:v>
      </x:c>
      <x:c r="D86" s="83" t="str">
        <x:v>pumped_hydro_energy</x:v>
      </x:c>
      <x:c r="E86" s="83" t="str">
        <x:v>Capacità energetica utile del pompaggio.</x:v>
      </x:c>
      <x:c r="F86" s="83" t="str">
        <x:v>MWh</x:v>
      </x:c>
      <x:c r="G86" s="83" t="str">
        <x:v>2040; 2050</x:v>
      </x:c>
      <x:c r="H86" s="83" t="str">
        <x:v>Tutti</x:v>
      </x:c>
      <x:c r="I86" s="83" t="str">
        <x:v>Statico</x:v>
      </x:c>
      <x:c r="J86" s="83" t="str">
        <x:v>Zona/impianto</x:v>
      </x:c>
      <x:c r="K86" s="83" t="str">
        <x:v>Pumped hydro</x:v>
      </x:c>
      <x:c r="L86" s="83" t="str">
        <x:v>Store or StorageUnit</x:v>
      </x:c>
      <x:c r="M86" s="83" t="str">
        <x:v>e_nom or max_hours</x:v>
      </x:c>
      <x:c r="N86" s="83" t="str">
        <x:v>Energia</x:v>
      </x:c>
      <x:c r="O86" s="83" t="str">
        <x:v>Sì</x:v>
      </x:c>
      <x:c r="P86" s="83" t="str">
        <x:v>Sì</x:v>
      </x:c>
      <x:c r="Q86" s="83" t="str">
        <x:v>S01; S07</x:v>
      </x:c>
      <x:c r="R86" s="83" t="str">
        <x:v>Gaudì/PyPSA-Eur</x:v>
      </x:c>
      <x:c r="S86" s="83" t="str">
        <x:v>Non inferire da potenza senza durata documentata.</x:v>
      </x:c>
      <x:c r="T86" s="83" t="str">
        <x:v>Extracted aggregate; 53 GWh physical / 50 GWh DDS convention</x:v>
      </x:c>
      <x:c r="U86" s="83" t="str">
        <x:v>B-D</x:v>
      </x:c>
      <x:c r="V86" s="83" t="str">
        <x:v>D15</x:v>
      </x:c>
      <x:c r="W86" s="83" t="str">
        <x:v>Fase 3B</x:v>
      </x:c>
      <x:c r="X86" s="83" t="str"/>
    </x:row>
    <x:row r="87">
      <x:c r="A87" s="83" t="str">
        <x:v>REQ-083</x:v>
      </x:c>
      <x:c r="B87" s="83" t="str">
        <x:v>Idroelettrico</x:v>
      </x:c>
      <x:c r="C87" s="83" t="str">
        <x:v>Pompaggio</x:v>
      </x:c>
      <x:c r="D87" s="83" t="str">
        <x:v>pumped_hydro_efficiencies</x:v>
      </x:c>
      <x:c r="E87" s="83" t="str">
        <x:v>Efficienze di pompaggio e generazione.</x:v>
      </x:c>
      <x:c r="F87" s="83" t="str">
        <x:v>p.u.</x:v>
      </x:c>
      <x:c r="G87" s="83" t="str">
        <x:v>2040; 2050</x:v>
      </x:c>
      <x:c r="H87" s="83" t="str">
        <x:v>Tutti</x:v>
      </x:c>
      <x:c r="I87" s="83" t="str">
        <x:v>Statico</x:v>
      </x:c>
      <x:c r="J87" s="83" t="str">
        <x:v>Tecnologia/impianto</x:v>
      </x:c>
      <x:c r="K87" s="83" t="str">
        <x:v>Pumped hydro</x:v>
      </x:c>
      <x:c r="L87" s="83" t="str">
        <x:v>StorageUnit or Links</x:v>
      </x:c>
      <x:c r="M87" s="83" t="str">
        <x:v>efficiency_store; efficiency_dispatch; efficiency</x:v>
      </x:c>
      <x:c r="N87" s="83" t="str">
        <x:v>Parametri</x:v>
      </x:c>
      <x:c r="O87" s="83" t="str">
        <x:v>Sì</x:v>
      </x:c>
      <x:c r="P87" s="83" t="str">
        <x:v>Sì</x:v>
      </x:c>
      <x:c r="Q87" s="83" t="str">
        <x:v>S07/S01 se disponibili</x:v>
      </x:c>
      <x:c r="R87" s="83" t="str">
        <x:v>PyPSA technology-data/JRC</x:v>
      </x:c>
      <x:c r="S87" s="83" t="str">
        <x:v>Coerenza col round-trip.</x:v>
      </x:c>
      <x:c r="T87" s="83" t="str">
        <x:v>Gap — Phase 3D/4</x:v>
      </x:c>
      <x:c r="U87" s="83" t="str">
        <x:v>B-D</x:v>
      </x:c>
      <x:c r="V87" s="83" t="str">
        <x:v>D15</x:v>
      </x:c>
      <x:c r="W87" s="83" t="str">
        <x:v>Fase 3D</x:v>
      </x:c>
      <x:c r="X87" s="83" t="str"/>
    </x:row>
    <x:row r="88">
      <x:c r="A88" s="83" t="str">
        <x:v>REQ-084</x:v>
      </x:c>
      <x:c r="B88" s="83" t="str">
        <x:v>Idroelettrico</x:v>
      </x:c>
      <x:c r="C88" s="83" t="str">
        <x:v>Vincoli</x:v>
      </x:c>
      <x:c r="D88" s="83" t="str">
        <x:v>hydro_minimum_flows</x:v>
      </x:c>
      <x:c r="E88" s="83" t="str">
        <x:v>Vincoli ambientali o produzione minima.</x:v>
      </x:c>
      <x:c r="F88" s="83" t="str">
        <x:v>MW/MWh</x:v>
      </x:c>
      <x:c r="G88" s="83" t="str">
        <x:v>2040; 2050</x:v>
      </x:c>
      <x:c r="H88" s="83" t="str">
        <x:v>Tutti</x:v>
      </x:c>
      <x:c r="I88" s="83" t="str">
        <x:v>Orario/mensile</x:v>
      </x:c>
      <x:c r="J88" s="83" t="str">
        <x:v>Zona/impianto</x:v>
      </x:c>
      <x:c r="K88" s="83" t="str">
        <x:v>Hydro</x:v>
      </x:c>
      <x:c r="L88" s="83" t="str">
        <x:v>Generator/StorageUnit/custom</x:v>
      </x:c>
      <x:c r="M88" s="83" t="str">
        <x:v>p_min_pu or custom</x:v>
      </x:c>
      <x:c r="N88" s="83" t="str">
        <x:v>Serie/vincolo</x:v>
      </x:c>
      <x:c r="O88" s="83" t="str">
        <x:v>Opzionale</x:v>
      </x:c>
      <x:c r="P88" s="83" t="str">
        <x:v>Sì</x:v>
      </x:c>
      <x:c r="Q88" s="83" t="str">
        <x:v>Fonti idrologiche non nel corpus</x:v>
      </x:c>
      <x:c r="R88" s="83" t="str">
        <x:v>PyPSA hydro data</x:v>
      </x:c>
      <x:c r="S88" s="83" t="str">
        <x:v>Inserire solo se materialmente disponibile.</x:v>
      </x:c>
      <x:c r="T88" s="83" t="str">
        <x:v>Gap/fuori base</x:v>
      </x:c>
      <x:c r="U88" s="83" t="str">
        <x:v>D-E</x:v>
      </x:c>
      <x:c r="V88" s="83" t="str">
        <x:v>D15</x:v>
      </x:c>
      <x:c r="W88" s="83" t="str">
        <x:v>Fase 7</x:v>
      </x:c>
      <x:c r="X88" s="83" t="str"/>
    </x:row>
    <x:row r="89">
      <x:c r="A89" s="83" t="str">
        <x:v>REQ-085</x:v>
      </x:c>
      <x:c r="B89" s="83" t="str">
        <x:v>Idroelettrico</x:v>
      </x:c>
      <x:c r="C89" s="83" t="str">
        <x:v>Calibrazione</x:v>
      </x:c>
      <x:c r="D89" s="83" t="str">
        <x:v>annual_hydro_generation</x:v>
      </x:c>
      <x:c r="E89" s="83" t="str">
        <x:v>Produzione annua attesa per calibrare profili e inflow.</x:v>
      </x:c>
      <x:c r="F89" s="83" t="str">
        <x:v>MWh/year</x:v>
      </x:c>
      <x:c r="G89" s="83" t="str">
        <x:v>2040; 2050</x:v>
      </x:c>
      <x:c r="H89" s="83" t="str">
        <x:v>Tutti</x:v>
      </x:c>
      <x:c r="I89" s="83" t="str">
        <x:v>Annuale</x:v>
      </x:c>
      <x:c r="J89" s="83" t="str">
        <x:v>Zona/nazionale</x:v>
      </x:c>
      <x:c r="K89" s="83" t="str">
        <x:v>Hydro</x:v>
      </x:c>
      <x:c r="L89" s="83" t="str">
        <x:v>QA / Generator / Storage</x:v>
      </x:c>
      <x:c r="M89" s="83" t="str">
        <x:v>sum(p); e_sum constraints optional</x:v>
      </x:c>
      <x:c r="N89" s="83" t="str">
        <x:v>Target annuale</x:v>
      </x:c>
      <x:c r="O89" s="83" t="str">
        <x:v>Sì</x:v>
      </x:c>
      <x:c r="P89" s="83" t="str">
        <x:v>Sì</x:v>
      </x:c>
      <x:c r="Q89" s="83" t="str">
        <x:v>S01; S07; S08</x:v>
      </x:c>
      <x:c r="R89" s="83" t="str">
        <x:v>Terna/GSE</x:v>
      </x:c>
      <x:c r="S89" s="83" t="str">
        <x:v>Confronto con output senza forzare se meteo-specifico.</x:v>
      </x:c>
      <x:c r="T89" s="83" t="str">
        <x:v>Extracted historical and DDS scenario QA</x:v>
      </x:c>
      <x:c r="U89" s="83" t="str">
        <x:v>A-C</x:v>
      </x:c>
      <x:c r="V89" s="83" t="str">
        <x:v>D15</x:v>
      </x:c>
      <x:c r="W89" s="83" t="str">
        <x:v>Fase 3B/4</x:v>
      </x:c>
      <x:c r="X89" s="83" t="str"/>
    </x:row>
    <x:row r="90">
      <x:c r="A90" s="83" t="str">
        <x:v>REQ-086</x:v>
      </x:c>
      <x:c r="B90" s="83" t="str">
        <x:v>Accumuli</x:v>
      </x:c>
      <x:c r="C90" s="83" t="str">
        <x:v>Batterie</x:v>
      </x:c>
      <x:c r="D90" s="83" t="str">
        <x:v>battery_power_capacity</x:v>
      </x:c>
      <x:c r="E90" s="83" t="str">
        <x:v>Potenza di carica/scarica installata per zona e classe.</x:v>
      </x:c>
      <x:c r="F90" s="83" t="str">
        <x:v>MW</x:v>
      </x:c>
      <x:c r="G90" s="83" t="str">
        <x:v>2040; 2050</x:v>
      </x:c>
      <x:c r="H90" s="83" t="str">
        <x:v>Tutti</x:v>
      </x:c>
      <x:c r="I90" s="83" t="str">
        <x:v>Statico</x:v>
      </x:c>
      <x:c r="J90" s="83" t="str">
        <x:v>Zona</x:v>
      </x:c>
      <x:c r="K90" s="83" t="str">
        <x:v>BESS</x:v>
      </x:c>
      <x:c r="L90" s="83" t="str">
        <x:v>Links or StorageUnit</x:v>
      </x:c>
      <x:c r="M90" s="83" t="str">
        <x:v>p_nom</x:v>
      </x:c>
      <x:c r="N90" s="83" t="str">
        <x:v>Tabella zona-durata</x:v>
      </x:c>
      <x:c r="O90" s="83" t="str">
        <x:v>Sì</x:v>
      </x:c>
      <x:c r="P90" s="83" t="str">
        <x:v>Sì</x:v>
      </x:c>
      <x:c r="Q90" s="83" t="str">
        <x:v>S01; S04; S07; S08</x:v>
      </x:c>
      <x:c r="R90" s="83" t="str">
        <x:v>MACSE; Capacity Market</x:v>
      </x:c>
      <x:c r="S90" s="83" t="str">
        <x:v>Separare capacità operativa da pipeline.</x:v>
      </x:c>
      <x:c r="T90" s="83" t="str">
        <x:v>Partial — direct for history/2050 nuclear; derived for utility 8h; other classes open</x:v>
      </x:c>
      <x:c r="U90" s="83" t="str">
        <x:v>A-D</x:v>
      </x:c>
      <x:c r="V90" s="83" t="str">
        <x:v>D17</x:v>
      </x:c>
      <x:c r="W90" s="83" t="str">
        <x:v>Fase 3B</x:v>
      </x:c>
      <x:c r="X90" s="83" t="str"/>
    </x:row>
    <x:row r="91">
      <x:c r="A91" s="83" t="str">
        <x:v>REQ-087</x:v>
      </x:c>
      <x:c r="B91" s="83" t="str">
        <x:v>Accumuli</x:v>
      </x:c>
      <x:c r="C91" s="83" t="str">
        <x:v>Batterie</x:v>
      </x:c>
      <x:c r="D91" s="83" t="str">
        <x:v>battery_energy_capacity</x:v>
      </x:c>
      <x:c r="E91" s="83" t="str">
        <x:v>Capacità energetica installata per zona e classe.</x:v>
      </x:c>
      <x:c r="F91" s="83" t="str">
        <x:v>MWh</x:v>
      </x:c>
      <x:c r="G91" s="83" t="str">
        <x:v>2040; 2050</x:v>
      </x:c>
      <x:c r="H91" s="83" t="str">
        <x:v>Tutti</x:v>
      </x:c>
      <x:c r="I91" s="83" t="str">
        <x:v>Statico</x:v>
      </x:c>
      <x:c r="J91" s="83" t="str">
        <x:v>Zona</x:v>
      </x:c>
      <x:c r="K91" s="83" t="str">
        <x:v>BESS</x:v>
      </x:c>
      <x:c r="L91" s="83" t="str">
        <x:v>Store or StorageUnit</x:v>
      </x:c>
      <x:c r="M91" s="83" t="str">
        <x:v>e_nom or max_hours</x:v>
      </x:c>
      <x:c r="N91" s="83" t="str">
        <x:v>Tabella zona-durata</x:v>
      </x:c>
      <x:c r="O91" s="83" t="str">
        <x:v>Sì</x:v>
      </x:c>
      <x:c r="P91" s="83" t="str">
        <x:v>Sì</x:v>
      </x:c>
      <x:c r="Q91" s="83" t="str">
        <x:v>S01; S04; S07; S08</x:v>
      </x:c>
      <x:c r="R91" s="83" t="str">
        <x:v>MACSE</x:v>
      </x:c>
      <x:c r="S91" s="83" t="str">
        <x:v>Preferire dato MWh esplicito.</x:v>
      </x:c>
      <x:c r="T91" s="83" t="str">
        <x:v>Extracted — national and zonal DDS; 2050 national</x:v>
      </x:c>
      <x:c r="U91" s="83" t="str">
        <x:v>A-D</x:v>
      </x:c>
      <x:c r="V91" s="83" t="str">
        <x:v>D17</x:v>
      </x:c>
      <x:c r="W91" s="83" t="str">
        <x:v>Fase 3B</x:v>
      </x:c>
      <x:c r="X91" s="83" t="str"/>
    </x:row>
    <x:row r="92">
      <x:c r="A92" s="83" t="str">
        <x:v>REQ-088</x:v>
      </x:c>
      <x:c r="B92" s="83" t="str">
        <x:v>Accumuli</x:v>
      </x:c>
      <x:c r="C92" s="83" t="str">
        <x:v>Batterie</x:v>
      </x:c>
      <x:c r="D92" s="83" t="str">
        <x:v>battery_duration_classes</x:v>
      </x:c>
      <x:c r="E92" s="83" t="str">
        <x:v>Classi di durata e rapporto energia/potenza.</x:v>
      </x:c>
      <x:c r="F92" s="83" t="str">
        <x:v>hours</x:v>
      </x:c>
      <x:c r="G92" s="83" t="str">
        <x:v>2040; 2050</x:v>
      </x:c>
      <x:c r="H92" s="83" t="str">
        <x:v>Tutti</x:v>
      </x:c>
      <x:c r="I92" s="83" t="str">
        <x:v>Statico</x:v>
      </x:c>
      <x:c r="J92" s="83" t="str">
        <x:v>Zona/tecnologia</x:v>
      </x:c>
      <x:c r="K92" s="83" t="str">
        <x:v>BESS</x:v>
      </x:c>
      <x:c r="L92" s="83" t="str">
        <x:v>StorageUnit or Store+Links</x:v>
      </x:c>
      <x:c r="M92" s="83" t="str">
        <x:v>max_hours or e_nom/p_nom</x:v>
      </x:c>
      <x:c r="N92" s="83" t="str">
        <x:v>Categorie</x:v>
      </x:c>
      <x:c r="O92" s="83" t="str">
        <x:v>Sì</x:v>
      </x:c>
      <x:c r="P92" s="83" t="str">
        <x:v>Sì</x:v>
      </x:c>
      <x:c r="Q92" s="83" t="str">
        <x:v>S04; S07; MACSE</x:v>
      </x:c>
      <x:c r="R92" s="83" t="str">
        <x:v>Technology data</x:v>
      </x:c>
      <x:c r="S92" s="83" t="str">
        <x:v>Non aggregare durate materialmente diverse.</x:v>
      </x:c>
      <x:c r="T92" s="83" t="str">
        <x:v>Extracted — small 2/4h, utility 8h; CM open</x:v>
      </x:c>
      <x:c r="U92" s="83" t="str">
        <x:v>A-D</x:v>
      </x:c>
      <x:c r="V92" s="83" t="str">
        <x:v>D18</x:v>
      </x:c>
      <x:c r="W92" s="83" t="str">
        <x:v>Fase 3B</x:v>
      </x:c>
      <x:c r="X92" s="83" t="str"/>
    </x:row>
    <x:row r="93">
      <x:c r="A93" s="83" t="str">
        <x:v>REQ-089</x:v>
      </x:c>
      <x:c r="B93" s="83" t="str">
        <x:v>Accumuli</x:v>
      </x:c>
      <x:c r="C93" s="83" t="str">
        <x:v>Batterie</x:v>
      </x:c>
      <x:c r="D93" s="83" t="str">
        <x:v>battery_charge_discharge_efficiency</x:v>
      </x:c>
      <x:c r="E93" s="83" t="str">
        <x:v>Efficienza di carica e scarica.</x:v>
      </x:c>
      <x:c r="F93" s="83" t="str">
        <x:v>p.u.</x:v>
      </x:c>
      <x:c r="G93" s="83" t="str">
        <x:v>2040; 2050</x:v>
      </x:c>
      <x:c r="H93" s="83" t="str">
        <x:v>Tutti</x:v>
      </x:c>
      <x:c r="I93" s="83" t="str">
        <x:v>Statico</x:v>
      </x:c>
      <x:c r="J93" s="83" t="str">
        <x:v>Tecnologia/classe</x:v>
      </x:c>
      <x:c r="K93" s="83" t="str">
        <x:v>BESS</x:v>
      </x:c>
      <x:c r="L93" s="83" t="str">
        <x:v>Links or StorageUnit</x:v>
      </x:c>
      <x:c r="M93" s="83" t="str">
        <x:v>efficiency; efficiency_store; efficiency_dispatch</x:v>
      </x:c>
      <x:c r="N93" s="83" t="str">
        <x:v>Parametri</x:v>
      </x:c>
      <x:c r="O93" s="83" t="str">
        <x:v>Sì</x:v>
      </x:c>
      <x:c r="P93" s="83" t="str">
        <x:v>Sì</x:v>
      </x:c>
      <x:c r="Q93" s="83" t="str">
        <x:v>S07 se disponibile</x:v>
      </x:c>
      <x:c r="R93" s="83" t="str">
        <x:v>PyPSA technology-data/DEA</x:v>
      </x:c>
      <x:c r="S93" s="83" t="str">
        <x:v>Coerente con round-trip.</x:v>
      </x:c>
      <x:c r="T93" s="83" t="str">
        <x:v>Gap — Phase 3D technical source</x:v>
      </x:c>
      <x:c r="U93" s="83" t="str">
        <x:v>B-D</x:v>
      </x:c>
      <x:c r="V93" s="83" t="str">
        <x:v>D17</x:v>
      </x:c>
      <x:c r="W93" s="83" t="str">
        <x:v>Fase 3D</x:v>
      </x:c>
      <x:c r="X93" s="83" t="str"/>
    </x:row>
    <x:row r="94">
      <x:c r="A94" s="83" t="str">
        <x:v>REQ-090</x:v>
      </x:c>
      <x:c r="B94" s="83" t="str">
        <x:v>Accumuli</x:v>
      </x:c>
      <x:c r="C94" s="83" t="str">
        <x:v>Batterie</x:v>
      </x:c>
      <x:c r="D94" s="83" t="str">
        <x:v>battery_standing_loss</x:v>
      </x:c>
      <x:c r="E94" s="83" t="str">
        <x:v>Perdita oraria dello stato di carica.</x:v>
      </x:c>
      <x:c r="F94" s="83" t="str">
        <x:v>p.u./hour</x:v>
      </x:c>
      <x:c r="G94" s="83" t="str">
        <x:v>2040; 2050</x:v>
      </x:c>
      <x:c r="H94" s="83" t="str">
        <x:v>Tutti</x:v>
      </x:c>
      <x:c r="I94" s="83" t="str">
        <x:v>Statico</x:v>
      </x:c>
      <x:c r="J94" s="83" t="str">
        <x:v>Tecnologia</x:v>
      </x:c>
      <x:c r="K94" s="83" t="str">
        <x:v>BESS</x:v>
      </x:c>
      <x:c r="L94" s="83" t="str">
        <x:v>Store/StorageUnit</x:v>
      </x:c>
      <x:c r="M94" s="83" t="str">
        <x:v>standing_loss</x:v>
      </x:c>
      <x:c r="N94" s="83" t="str">
        <x:v>Parametro</x:v>
      </x:c>
      <x:c r="O94" s="83" t="str">
        <x:v>Desiderabile</x:v>
      </x:c>
      <x:c r="P94" s="83" t="str">
        <x:v>Sì</x:v>
      </x:c>
      <x:c r="Q94" s="83" t="str">
        <x:v>S07 se disponibile</x:v>
      </x:c>
      <x:c r="R94" s="83" t="str">
        <x:v>PyPSA technology-data</x:v>
      </x:c>
      <x:c r="S94" s="83" t="str">
        <x:v>Convertire da self-discharge giornaliero se necessario.</x:v>
      </x:c>
      <x:c r="T94" s="83" t="str">
        <x:v>Gap — Phase 3D technical source</x:v>
      </x:c>
      <x:c r="U94" s="83" t="str">
        <x:v>C-D</x:v>
      </x:c>
      <x:c r="V94" s="83" t="str">
        <x:v>D17</x:v>
      </x:c>
      <x:c r="W94" s="83" t="str">
        <x:v>Fase 3D</x:v>
      </x:c>
      <x:c r="X94" s="83" t="str"/>
    </x:row>
    <x:row r="95">
      <x:c r="A95" s="83" t="str">
        <x:v>REQ-091</x:v>
      </x:c>
      <x:c r="B95" s="83" t="str">
        <x:v>Accumuli</x:v>
      </x:c>
      <x:c r="C95" s="83" t="str">
        <x:v>Stato di carica</x:v>
      </x:c>
      <x:c r="D95" s="83" t="str">
        <x:v>battery_initial_terminal_soc</x:v>
      </x:c>
      <x:c r="E95" s="83" t="str">
        <x:v>SOC iniziale e condizione ciclica/finale.</x:v>
      </x:c>
      <x:c r="F95" s="83" t="str">
        <x:v>MWh or p.u.</x:v>
      </x:c>
      <x:c r="G95" s="83" t="str">
        <x:v>2040; 2050</x:v>
      </x:c>
      <x:c r="H95" s="83" t="str">
        <x:v>Tutti</x:v>
      </x:c>
      <x:c r="I95" s="83" t="str">
        <x:v>Inizio/fine anno</x:v>
      </x:c>
      <x:c r="J95" s="83" t="str">
        <x:v>Zona/classe</x:v>
      </x:c>
      <x:c r="K95" s="83" t="str">
        <x:v>BESS</x:v>
      </x:c>
      <x:c r="L95" s="83" t="str">
        <x:v>Store/StorageUnit</x:v>
      </x:c>
      <x:c r="M95" s="83" t="str">
        <x:v>e_initial/e_cyclic; state_of_charge_initial/cyclic_state_of_charge</x:v>
      </x:c>
      <x:c r="N95" s="83" t="str">
        <x:v>Parametri</x:v>
      </x:c>
      <x:c r="O95" s="83" t="str">
        <x:v>Sì</x:v>
      </x:c>
      <x:c r="P95" s="83" t="str">
        <x:v>Sì</x:v>
      </x:c>
      <x:c r="Q95" s="83" t="str">
        <x:v>PyPSA docs</x:v>
      </x:c>
      <x:c r="R95" s="83" t="str">
        <x:v>Historical operation</x:v>
      </x:c>
      <x:c r="S95" s="83" t="str">
        <x:v>Default ciclico per anno completo.</x:v>
      </x:c>
      <x:c r="T95" s="83" t="str">
        <x:v>Decisione proposta</x:v>
      </x:c>
      <x:c r="U95" s="83" t="str">
        <x:v>B</x:v>
      </x:c>
      <x:c r="V95" s="83" t="str">
        <x:v>D18</x:v>
      </x:c>
      <x:c r="W95" s="83" t="str">
        <x:v>Fase 4</x:v>
      </x:c>
      <x:c r="X95" s="83" t="str"/>
    </x:row>
    <x:row r="96">
      <x:c r="A96" s="83" t="str">
        <x:v>REQ-092</x:v>
      </x:c>
      <x:c r="B96" s="83" t="str">
        <x:v>Accumuli</x:v>
      </x:c>
      <x:c r="C96" s="83" t="str">
        <x:v>Costi operativi</x:v>
      </x:c>
      <x:c r="D96" s="83" t="str">
        <x:v>storage_marginal_cost</x:v>
      </x:c>
      <x:c r="E96" s="83" t="str">
        <x:v>Costo variabile di scarica/ciclo.</x:v>
      </x:c>
      <x:c r="F96" s="83" t="str">
        <x:v>EUR/MWh</x:v>
      </x:c>
      <x:c r="G96" s="83" t="str">
        <x:v>2040; 2050</x:v>
      </x:c>
      <x:c r="H96" s="83" t="str">
        <x:v>Tutti</x:v>
      </x:c>
      <x:c r="I96" s="83" t="str">
        <x:v>Statico</x:v>
      </x:c>
      <x:c r="J96" s="83" t="str">
        <x:v>Tecnologia</x:v>
      </x:c>
      <x:c r="K96" s="83" t="str">
        <x:v>BESS; hydro storage</x:v>
      </x:c>
      <x:c r="L96" s="83" t="str">
        <x:v>Store/StorageUnit/Link</x:v>
      </x:c>
      <x:c r="M96" s="83" t="str">
        <x:v>marginal_cost</x:v>
      </x:c>
      <x:c r="N96" s="83" t="str">
        <x:v>Parametro</x:v>
      </x:c>
      <x:c r="O96" s="83" t="str">
        <x:v>Sì</x:v>
      </x:c>
      <x:c r="P96" s="83" t="str">
        <x:v>Sì</x:v>
      </x:c>
      <x:c r="Q96" s="83" t="str">
        <x:v>S07 se disponibile</x:v>
      </x:c>
      <x:c r="R96" s="83" t="str">
        <x:v>PyPSA technology-data</x:v>
      </x:c>
      <x:c r="S96" s="83" t="str">
        <x:v>Attenzione: Store applica costo a carica e scarica; StorageUnit allo scarico.</x:v>
      </x:c>
      <x:c r="T96" s="83" t="str">
        <x:v>Gap</x:v>
      </x:c>
      <x:c r="U96" s="83" t="str">
        <x:v>B-D</x:v>
      </x:c>
      <x:c r="V96" s="83" t="str">
        <x:v>D17</x:v>
      </x:c>
      <x:c r="W96" s="83" t="str">
        <x:v>Fase 3D</x:v>
      </x:c>
      <x:c r="X96" s="83" t="str"/>
    </x:row>
    <x:row r="97">
      <x:c r="A97" s="83" t="str">
        <x:v>REQ-093</x:v>
      </x:c>
      <x:c r="B97" s="83" t="str">
        <x:v>Accumuli</x:v>
      </x:c>
      <x:c r="C97" s="83" t="str">
        <x:v>Disponibilità</x:v>
      </x:c>
      <x:c r="D97" s="83" t="str">
        <x:v>storage_availability</x:v>
      </x:c>
      <x:c r="E97" s="83" t="str">
        <x:v>Disponibilità operativa e indisponibilità.</x:v>
      </x:c>
      <x:c r="F97" s="83" t="str">
        <x:v>p.u.</x:v>
      </x:c>
      <x:c r="G97" s="83" t="str">
        <x:v>2040; 2050</x:v>
      </x:c>
      <x:c r="H97" s="83" t="str">
        <x:v>Tutti</x:v>
      </x:c>
      <x:c r="I97" s="83" t="str">
        <x:v>Orario/statico</x:v>
      </x:c>
      <x:c r="J97" s="83" t="str">
        <x:v>Zona/classe</x:v>
      </x:c>
      <x:c r="K97" s="83" t="str">
        <x:v>BESS; pumping</x:v>
      </x:c>
      <x:c r="L97" s="83" t="str">
        <x:v>Link/StorageUnit</x:v>
      </x:c>
      <x:c r="M97" s="83" t="str">
        <x:v>p_max_pu; active</x:v>
      </x:c>
      <x:c r="N97" s="83" t="str">
        <x:v>Fattore/serie</x:v>
      </x:c>
      <x:c r="O97" s="83" t="str">
        <x:v>Desiderabile</x:v>
      </x:c>
      <x:c r="P97" s="83" t="str">
        <x:v>Sì</x:v>
      </x:c>
      <x:c r="Q97" s="83" t="str">
        <x:v>MACSE/technical data</x:v>
      </x:c>
      <x:c r="R97" s="83" t="str">
        <x:v>Historical availability</x:v>
      </x:c>
      <x:c r="S97" s="83" t="str">
        <x:v>Applicare derating documentato.</x:v>
      </x:c>
      <x:c r="T97" s="83" t="str">
        <x:v>Gap</x:v>
      </x:c>
      <x:c r="U97" s="83" t="str">
        <x:v>C-D</x:v>
      </x:c>
      <x:c r="V97" s="83" t="str">
        <x:v>D11</x:v>
      </x:c>
      <x:c r="W97" s="83" t="str">
        <x:v>Fase 3D/4</x:v>
      </x:c>
      <x:c r="X97" s="83" t="str"/>
    </x:row>
    <x:row r="98">
      <x:c r="A98" s="83" t="str">
        <x:v>REQ-094</x:v>
      </x:c>
      <x:c r="B98" s="83" t="str">
        <x:v>Accumuli</x:v>
      </x:c>
      <x:c r="C98" s="83" t="str">
        <x:v>Rappresentazione</x:v>
      </x:c>
      <x:c r="D98" s="83" t="str">
        <x:v>battery_component_architecture</x:v>
      </x:c>
      <x:c r="E98" s="83" t="str">
        <x:v>Scelta tra StorageUnit e Store con Link separati.</x:v>
      </x:c>
      <x:c r="F98" s="83" t="str">
        <x:v>text</x:v>
      </x:c>
      <x:c r="G98" s="83" t="str">
        <x:v>2040; 2050</x:v>
      </x:c>
      <x:c r="H98" s="83" t="str">
        <x:v>Tutti</x:v>
      </x:c>
      <x:c r="I98" s="83" t="str">
        <x:v>Statico</x:v>
      </x:c>
      <x:c r="J98" s="83" t="str">
        <x:v>Zona/classe</x:v>
      </x:c>
      <x:c r="K98" s="83" t="str">
        <x:v>BESS</x:v>
      </x:c>
      <x:c r="L98" s="83" t="str">
        <x:v>Store + Links (default)</x:v>
      </x:c>
      <x:c r="M98" s="83" t="str">
        <x:v>e_nom; Link.p_nom; efficiencies</x:v>
      </x:c>
      <x:c r="N98" s="83" t="str">
        <x:v>Design model</x:v>
      </x:c>
      <x:c r="O98" s="83" t="str">
        <x:v>Sì</x:v>
      </x:c>
      <x:c r="P98" s="83" t="str">
        <x:v>Sì</x:v>
      </x:c>
      <x:c r="Q98" s="83" t="str">
        <x:v>Dati MW/MWh delle fonti</x:v>
      </x:c>
      <x:c r="R98" s="83" t="str">
        <x:v>PyPSA official docs</x:v>
      </x:c>
      <x:c r="S98" s="83" t="str">
        <x:v>Default Store+Links per potenza ed energia indipendenti.</x:v>
      </x:c>
      <x:c r="T98" s="83" t="str">
        <x:v>Decisione proposta</x:v>
      </x:c>
      <x:c r="U98" s="83" t="str">
        <x:v>A</x:v>
      </x:c>
      <x:c r="V98" s="83" t="str">
        <x:v>D17</x:v>
      </x:c>
      <x:c r="W98" s="83" t="str">
        <x:v>Prima della Fase 3B</x:v>
      </x:c>
      <x:c r="X98" s="83" t="str"/>
    </x:row>
    <x:row r="99">
      <x:c r="A99" s="83" t="str">
        <x:v>REQ-095</x:v>
      </x:c>
      <x:c r="B99" s="83" t="str">
        <x:v>Accumuli</x:v>
      </x:c>
      <x:c r="C99" s="83" t="str">
        <x:v>Rappresentazione</x:v>
      </x:c>
      <x:c r="D99" s="83" t="str">
        <x:v>storage_technology_classes</x:v>
      </x:c>
      <x:c r="E99" s="83" t="str">
        <x:v>Separazione per tecnologia/durata/contratto.</x:v>
      </x:c>
      <x:c r="F99" s="83" t="str">
        <x:v>mapping</x:v>
      </x:c>
      <x:c r="G99" s="83" t="str">
        <x:v>2040; 2050</x:v>
      </x:c>
      <x:c r="H99" s="83" t="str">
        <x:v>Tutti</x:v>
      </x:c>
      <x:c r="I99" s="83" t="str">
        <x:v>Statico</x:v>
      </x:c>
      <x:c r="J99" s="83" t="str">
        <x:v>Zona</x:v>
      </x:c>
      <x:c r="K99" s="83" t="str">
        <x:v>Li-ion; long-duration; pumping; other</x:v>
      </x:c>
      <x:c r="L99" s="83" t="str">
        <x:v>Store/StorageUnit/Links</x:v>
      </x:c>
      <x:c r="M99" s="83" t="str">
        <x:v>carrier; name</x:v>
      </x:c>
      <x:c r="N99" s="83" t="str">
        <x:v>Tassonomia</x:v>
      </x:c>
      <x:c r="O99" s="83" t="str">
        <x:v>Sì</x:v>
      </x:c>
      <x:c r="P99" s="83" t="str">
        <x:v>Sì</x:v>
      </x:c>
      <x:c r="Q99" s="83" t="str">
        <x:v>S07; MACSE</x:v>
      </x:c>
      <x:c r="R99" s="83" t="str">
        <x:v>Technology data</x:v>
      </x:c>
      <x:c r="S99" s="83" t="str">
        <x:v>Classi con efficienza/durata differente.</x:v>
      </x:c>
      <x:c r="T99" s="83" t="str">
        <x:v>Da costruire</x:v>
      </x:c>
      <x:c r="U99" s="83" t="str">
        <x:v>A-C</x:v>
      </x:c>
      <x:c r="V99" s="83" t="str">
        <x:v>D18</x:v>
      </x:c>
      <x:c r="W99" s="83" t="str">
        <x:v>Fase 3B</x:v>
      </x:c>
      <x:c r="X99" s="83" t="str"/>
    </x:row>
    <x:row r="100">
      <x:c r="A100" s="83" t="str">
        <x:v>REQ-096</x:v>
      </x:c>
      <x:c r="B100" s="83" t="str">
        <x:v>Accumuli</x:v>
      </x:c>
      <x:c r="C100" s="83" t="str">
        <x:v>Status</x:v>
      </x:c>
      <x:c r="D100" s="83" t="str">
        <x:v>macse_capacity_market_treatment</x:v>
      </x:c>
      <x:c r="E100" s="83" t="str">
        <x:v>Trattamento di capacità target, assegnata o solo prevista da MACSE/Capacity Market.</x:v>
      </x:c>
      <x:c r="F100" s="83" t="str">
        <x:v>status/year</x:v>
      </x:c>
      <x:c r="G100" s="83" t="str">
        <x:v>2040; 2050</x:v>
      </x:c>
      <x:c r="H100" s="83" t="str">
        <x:v>Tutti</x:v>
      </x:c>
      <x:c r="I100" s="83" t="str">
        <x:v>Statico</x:v>
      </x:c>
      <x:c r="J100" s="83" t="str">
        <x:v>Zona/asset</x:v>
      </x:c>
      <x:c r="K100" s="83" t="str">
        <x:v>Storage; thermal</x:v>
      </x:c>
      <x:c r="L100" s="83" t="str">
        <x:v>Generator/Store/Link</x:v>
      </x:c>
      <x:c r="M100" s="83" t="str">
        <x:v>active; build_year; p_nom/e_nom</x:v>
      </x:c>
      <x:c r="N100" s="83" t="str">
        <x:v>Registro maturità</x:v>
      </x:c>
      <x:c r="O100" s="83" t="str">
        <x:v>Sì</x:v>
      </x:c>
      <x:c r="P100" s="83" t="str">
        <x:v>Sì</x:v>
      </x:c>
      <x:c r="Q100" s="83" t="str">
        <x:v>MACSE; Capacity Market; S04</x:v>
      </x:c>
      <x:c r="R100" s="83" t="str">
        <x:v>Terna auction results</x:v>
      </x:c>
      <x:c r="S100" s="83" t="str">
        <x:v>Includere solo secondo regola di maturità scenario.</x:v>
      </x:c>
      <x:c r="T100" s="83" t="str">
        <x:v>Gap documenti</x:v>
      </x:c>
      <x:c r="U100" s="83" t="str">
        <x:v>A-D</x:v>
      </x:c>
      <x:c r="V100" s="83" t="str">
        <x:v>D19</x:v>
      </x:c>
      <x:c r="W100" s="83" t="str">
        <x:v>Fase 3B/4</x:v>
      </x:c>
      <x:c r="X100" s="83" t="str"/>
    </x:row>
    <x:row r="101">
      <x:c r="A101" s="83" t="str">
        <x:v>REQ-097</x:v>
      </x:c>
      <x:c r="B101" s="83" t="str">
        <x:v>Accumuli</x:v>
      </x:c>
      <x:c r="C101" s="83" t="str">
        <x:v>Degrado</x:v>
      </x:c>
      <x:c r="D101" s="83" t="str">
        <x:v>cycle_or_degradation_limit</x:v>
      </x:c>
      <x:c r="E101" s="83" t="str">
        <x:v>Limite di cicli o costo di degradazione.</x:v>
      </x:c>
      <x:c r="F101" s="83" t="str">
        <x:v>cycles/year; EUR/MWh</x:v>
      </x:c>
      <x:c r="G101" s="83" t="str">
        <x:v>2040; 2050</x:v>
      </x:c>
      <x:c r="H101" s="83" t="str">
        <x:v>Sensitività</x:v>
      </x:c>
      <x:c r="I101" s="83" t="str">
        <x:v>Orario/annuale</x:v>
      </x:c>
      <x:c r="J101" s="83" t="str">
        <x:v>Zona/classe</x:v>
      </x:c>
      <x:c r="K101" s="83" t="str">
        <x:v>BESS</x:v>
      </x:c>
      <x:c r="L101" s="83" t="str">
        <x:v>Store/Link/custom</x:v>
      </x:c>
      <x:c r="M101" s="83" t="str">
        <x:v>marginal_cost; custom energy throughput</x:v>
      </x:c>
      <x:c r="N101" s="83" t="str">
        <x:v>Parametro/vincolo</x:v>
      </x:c>
      <x:c r="O101" s="83" t="str">
        <x:v>Opzionale</x:v>
      </x:c>
      <x:c r="P101" s="83" t="str">
        <x:v>Sì</x:v>
      </x:c>
      <x:c r="Q101" s="83" t="str">
        <x:v>Fonti tecnologiche esterne</x:v>
      </x:c>
      <x:c r="R101" s="83" t="str">
        <x:v>PyPSA custom constraint</x:v>
      </x:c>
      <x:c r="S101" s="83" t="str">
        <x:v>Escludere dal base se dati non robusti.</x:v>
      </x:c>
      <x:c r="T101" s="83" t="str">
        <x:v>Gap/fuori base</x:v>
      </x:c>
      <x:c r="U101" s="83" t="str">
        <x:v>D-E</x:v>
      </x:c>
      <x:c r="V101" s="83" t="str">
        <x:v>D18</x:v>
      </x:c>
      <x:c r="W101" s="83" t="str">
        <x:v>Fase 7</x:v>
      </x:c>
      <x:c r="X101" s="83" t="str"/>
    </x:row>
    <x:row r="102">
      <x:c r="A102" s="83" t="str">
        <x:v>REQ-098</x:v>
      </x:c>
      <x:c r="B102" s="83" t="str">
        <x:v>Trasmissione</x:v>
      </x:c>
      <x:c r="C102" s="83" t="str">
        <x:v>Interzonale</x:v>
      </x:c>
      <x:c r="D102" s="83" t="str">
        <x:v>interzonal_transfer_capacity</x:v>
      </x:c>
      <x:c r="E102" s="83" t="str">
        <x:v>Capacità di scambio tra zone, distinta per direzione.</x:v>
      </x:c>
      <x:c r="F102" s="83" t="str">
        <x:v>MW</x:v>
      </x:c>
      <x:c r="G102" s="83" t="str">
        <x:v>2040; 2050</x:v>
      </x:c>
      <x:c r="H102" s="83" t="str">
        <x:v>Tutti</x:v>
      </x:c>
      <x:c r="I102" s="83" t="str">
        <x:v>Statico o time series</x:v>
      </x:c>
      <x:c r="J102" s="83" t="str">
        <x:v>Coppia di zone</x:v>
      </x:c>
      <x:c r="K102" s="83" t="str">
        <x:v>Interzonali</x:v>
      </x:c>
      <x:c r="L102" s="83" t="str">
        <x:v>Link</x:v>
      </x:c>
      <x:c r="M102" s="83" t="str">
        <x:v>p_nom; p_min_pu; p_max_pu</x:v>
      </x:c>
      <x:c r="N102" s="83" t="str">
        <x:v>Edge list direzionale</x:v>
      </x:c>
      <x:c r="O102" s="83" t="str">
        <x:v>Sì</x:v>
      </x:c>
      <x:c r="P102" s="83" t="str">
        <x:v>Sì</x:v>
      </x:c>
      <x:c r="Q102" s="83" t="str">
        <x:v>S03; S05; S01</x:v>
      </x:c>
      <x:c r="R102" s="83" t="str">
        <x:v>Terna NTC/limiti di transito</x:v>
      </x:c>
      <x:c r="S102" s="83" t="str">
        <x:v>Usare capacità di mercato, non sola capacità nominale progetto.</x:v>
      </x:c>
      <x:c r="T102" s="83" t="str">
        <x:v>Da estrarre/riconciliare</x:v>
      </x:c>
      <x:c r="U102" s="83" t="str">
        <x:v>A-D</x:v>
      </x:c>
      <x:c r="V102" s="83" t="str">
        <x:v>D20</x:v>
      </x:c>
      <x:c r="W102" s="83" t="str">
        <x:v>Fase 3C</x:v>
      </x:c>
      <x:c r="X102" s="83" t="str"/>
    </x:row>
    <x:row r="103">
      <x:c r="A103" s="83" t="str">
        <x:v>REQ-099</x:v>
      </x:c>
      <x:c r="B103" s="83" t="str">
        <x:v>Trasmissione</x:v>
      </x:c>
      <x:c r="C103" s="83" t="str">
        <x:v>Interzonale</x:v>
      </x:c>
      <x:c r="D103" s="83" t="str">
        <x:v>seasonal_timevarying_ntc</x:v>
      </x:c>
      <x:c r="E103" s="83" t="str">
        <x:v>Variazione stagionale/oraria dei limiti di transito.</x:v>
      </x:c>
      <x:c r="F103" s="83" t="str">
        <x:v>MW</x:v>
      </x:c>
      <x:c r="G103" s="83" t="str">
        <x:v>2040; 2050</x:v>
      </x:c>
      <x:c r="H103" s="83" t="str">
        <x:v>Tutti</x:v>
      </x:c>
      <x:c r="I103" s="83" t="str">
        <x:v>Stagionale/orario</x:v>
      </x:c>
      <x:c r="J103" s="83" t="str">
        <x:v>Coppia di zone</x:v>
      </x:c>
      <x:c r="K103" s="83" t="str">
        <x:v>Interzonali</x:v>
      </x:c>
      <x:c r="L103" s="83" t="str">
        <x:v>Link</x:v>
      </x:c>
      <x:c r="M103" s="83" t="str">
        <x:v>p_max_pu; p_min_pu or p_nom_t custom</x:v>
      </x:c>
      <x:c r="N103" s="83" t="str">
        <x:v>Serie limiti</x:v>
      </x:c>
      <x:c r="O103" s="83" t="str">
        <x:v>Sì se disponibile</x:v>
      </x:c>
      <x:c r="P103" s="83" t="str">
        <x:v>Sì</x:v>
      </x:c>
      <x:c r="Q103" s="83" t="str">
        <x:v>S01 limiti 2024; Terna NTC</x:v>
      </x:c>
      <x:c r="R103" s="83" t="str">
        <x:v>S03/S05</x:v>
      </x:c>
      <x:c r="S103" s="83" t="str">
        <x:v>Statico annuale solo se non disponibile una serie.</x:v>
      </x:c>
      <x:c r="T103" s="83" t="str">
        <x:v>Gap futuro</x:v>
      </x:c>
      <x:c r="U103" s="83" t="str">
        <x:v>A-C</x:v>
      </x:c>
      <x:c r="V103" s="83" t="str">
        <x:v>D21</x:v>
      </x:c>
      <x:c r="W103" s="83" t="str">
        <x:v>Fase 3C/4</x:v>
      </x:c>
      <x:c r="X103" s="83" t="str"/>
    </x:row>
    <x:row r="104">
      <x:c r="A104" s="83" t="str">
        <x:v>REQ-100</x:v>
      </x:c>
      <x:c r="B104" s="83" t="str">
        <x:v>Trasmissione</x:v>
      </x:c>
      <x:c r="C104" s="83" t="str">
        <x:v>Progetti</x:v>
      </x:c>
      <x:c r="D104" s="83" t="str">
        <x:v>project_commissioning_status</x:v>
      </x:c>
      <x:c r="E104" s="83" t="str">
        <x:v>Anno di entrata in servizio e maturità degli interventi.</x:v>
      </x:c>
      <x:c r="F104" s="83" t="str">
        <x:v>year/status</x:v>
      </x:c>
      <x:c r="G104" s="83" t="str">
        <x:v>2040; 2050</x:v>
      </x:c>
      <x:c r="H104" s="83" t="str">
        <x:v>Base e conservative</x:v>
      </x:c>
      <x:c r="I104" s="83" t="str">
        <x:v>Statico</x:v>
      </x:c>
      <x:c r="J104" s="83" t="str">
        <x:v>Corridoio/progetto</x:v>
      </x:c>
      <x:c r="K104" s="83" t="str">
        <x:v>AC/HVDC</x:v>
      </x:c>
      <x:c r="L104" s="83" t="str">
        <x:v>Link</x:v>
      </x:c>
      <x:c r="M104" s="83" t="str">
        <x:v>active; build_year; p_nom</x:v>
      </x:c>
      <x:c r="N104" s="83" t="str">
        <x:v>Registro progetti</x:v>
      </x:c>
      <x:c r="O104" s="83" t="str">
        <x:v>Sì</x:v>
      </x:c>
      <x:c r="P104" s="83" t="str">
        <x:v>Sì</x:v>
      </x:c>
      <x:c r="Q104" s="83" t="str">
        <x:v>S05; S03; S02</x:v>
      </x:c>
      <x:c r="R104" s="83" t="str">
        <x:v>TYNDP/PCI</x:v>
      </x:c>
      <x:c r="S104" s="83" t="str">
        <x:v>Regole di inclusione per base e sensitivity.</x:v>
      </x:c>
      <x:c r="T104" s="83" t="str">
        <x:v>Da estrarre</x:v>
      </x:c>
      <x:c r="U104" s="83" t="str">
        <x:v>A-D</x:v>
      </x:c>
      <x:c r="V104" s="83" t="str">
        <x:v>D22</x:v>
      </x:c>
      <x:c r="W104" s="83" t="str">
        <x:v>Fase 3C/4</x:v>
      </x:c>
      <x:c r="X104" s="83" t="str"/>
    </x:row>
    <x:row r="105">
      <x:c r="A105" s="83" t="str">
        <x:v>REQ-101</x:v>
      </x:c>
      <x:c r="B105" s="83" t="str">
        <x:v>Trasmissione</x:v>
      </x:c>
      <x:c r="C105" s="83" t="str">
        <x:v>Direzionalità</x:v>
      </x:c>
      <x:c r="D105" s="83" t="str">
        <x:v>bidirectional_asymmetric_links</x:v>
      </x:c>
      <x:c r="E105" s="83" t="str">
        <x:v>Rappresentazione di limiti simmetrici o asimmetrici.</x:v>
      </x:c>
      <x:c r="F105" s="83" t="str">
        <x:v>p.u./MW</x:v>
      </x:c>
      <x:c r="G105" s="83" t="str">
        <x:v>2040; 2050</x:v>
      </x:c>
      <x:c r="H105" s="83" t="str">
        <x:v>Tutti</x:v>
      </x:c>
      <x:c r="I105" s="83" t="str">
        <x:v>Statico/time series</x:v>
      </x:c>
      <x:c r="J105" s="83" t="str">
        <x:v>Coppia di zone</x:v>
      </x:c>
      <x:c r="K105" s="83" t="str">
        <x:v>Interzonali; HVDC</x:v>
      </x:c>
      <x:c r="L105" s="83" t="str">
        <x:v>Link</x:v>
      </x:c>
      <x:c r="M105" s="83" t="str">
        <x:v>p_min_pu; p_max_pu; separate Links</x:v>
      </x:c>
      <x:c r="N105" s="83" t="str">
        <x:v>Design edge</x:v>
      </x:c>
      <x:c r="O105" s="83" t="str">
        <x:v>Sì</x:v>
      </x:c>
      <x:c r="P105" s="83" t="str">
        <x:v>Sì</x:v>
      </x:c>
      <x:c r="Q105" s="83" t="str">
        <x:v>Terna NTC</x:v>
      </x:c>
      <x:c r="R105" s="83" t="str">
        <x:v>PyPSA official docs</x:v>
      </x:c>
      <x:c r="S105" s="83" t="str">
        <x:v>Un Link con p_min_pu&lt;0 se simmetrico; due Link se asimmetrico.</x:v>
      </x:c>
      <x:c r="T105" s="83" t="str">
        <x:v>Decisione proposta</x:v>
      </x:c>
      <x:c r="U105" s="83" t="str">
        <x:v>A</x:v>
      </x:c>
      <x:c r="V105" s="83" t="str">
        <x:v>D21</x:v>
      </x:c>
      <x:c r="W105" s="83" t="str">
        <x:v>Fase 3C</x:v>
      </x:c>
      <x:c r="X105" s="83" t="str"/>
    </x:row>
    <x:row r="106">
      <x:c r="A106" s="83" t="str">
        <x:v>REQ-102</x:v>
      </x:c>
      <x:c r="B106" s="83" t="str">
        <x:v>Trasmissione</x:v>
      </x:c>
      <x:c r="C106" s="83" t="str">
        <x:v>Perdite</x:v>
      </x:c>
      <x:c r="D106" s="83" t="str">
        <x:v>link_transfer_efficiency</x:v>
      </x:c>
      <x:c r="E106" s="83" t="str">
        <x:v>Perdite di trasmissione applicate ai corridoi.</x:v>
      </x:c>
      <x:c r="F106" s="83" t="str">
        <x:v>p.u.</x:v>
      </x:c>
      <x:c r="G106" s="83" t="str">
        <x:v>2040; 2050</x:v>
      </x:c>
      <x:c r="H106" s="83" t="str">
        <x:v>Tutti</x:v>
      </x:c>
      <x:c r="I106" s="83" t="str">
        <x:v>Statico/time series</x:v>
      </x:c>
      <x:c r="J106" s="83" t="str">
        <x:v>Corridoio</x:v>
      </x:c>
      <x:c r="K106" s="83" t="str">
        <x:v>AC aggregate; HVDC</x:v>
      </x:c>
      <x:c r="L106" s="83" t="str">
        <x:v>Link</x:v>
      </x:c>
      <x:c r="M106" s="83" t="str">
        <x:v>efficiency</x:v>
      </x:c>
      <x:c r="N106" s="83" t="str">
        <x:v>Parametro</x:v>
      </x:c>
      <x:c r="O106" s="83" t="str">
        <x:v>Desiderabile</x:v>
      </x:c>
      <x:c r="P106" s="83" t="str">
        <x:v>Sì</x:v>
      </x:c>
      <x:c r="Q106" s="83" t="str">
        <x:v>S03 perdite; S05 caratteristiche</x:v>
      </x:c>
      <x:c r="R106" s="83" t="str">
        <x:v>PyPSA-Eur</x:v>
      </x:c>
      <x:c r="S106" s="83" t="str">
        <x:v>Applicare solo se non già incluse nella domanda.</x:v>
      </x:c>
      <x:c r="T106" s="83" t="str">
        <x:v>Gap/metodo</x:v>
      </x:c>
      <x:c r="U106" s="83" t="str">
        <x:v>B-D</x:v>
      </x:c>
      <x:c r="V106" s="83" t="str">
        <x:v>D23</x:v>
      </x:c>
      <x:c r="W106" s="83" t="str">
        <x:v>Fase 3C/4</x:v>
      </x:c>
      <x:c r="X106" s="83" t="str"/>
    </x:row>
    <x:row r="107">
      <x:c r="A107" s="83" t="str">
        <x:v>REQ-103</x:v>
      </x:c>
      <x:c r="B107" s="83" t="str">
        <x:v>Trasmissione</x:v>
      </x:c>
      <x:c r="C107" s="83" t="str">
        <x:v>Disponibilità</x:v>
      </x:c>
      <x:c r="D107" s="83" t="str">
        <x:v>link_availability_outages</x:v>
      </x:c>
      <x:c r="E107" s="83" t="str">
        <x:v>Disponibilità e indisponibilità dei corridoi.</x:v>
      </x:c>
      <x:c r="F107" s="83" t="str">
        <x:v>p.u.</x:v>
      </x:c>
      <x:c r="G107" s="83" t="str">
        <x:v>2040; 2050</x:v>
      </x:c>
      <x:c r="H107" s="83" t="str">
        <x:v>Sensitività</x:v>
      </x:c>
      <x:c r="I107" s="83" t="str">
        <x:v>Orario/statico</x:v>
      </x:c>
      <x:c r="J107" s="83" t="str">
        <x:v>Corridoio</x:v>
      </x:c>
      <x:c r="K107" s="83" t="str">
        <x:v>Interzonali/interconnector</x:v>
      </x:c>
      <x:c r="L107" s="83" t="str">
        <x:v>Link</x:v>
      </x:c>
      <x:c r="M107" s="83" t="str">
        <x:v>p_max_pu; p_min_pu; active</x:v>
      </x:c>
      <x:c r="N107" s="83" t="str">
        <x:v>Serie/fattore</x:v>
      </x:c>
      <x:c r="O107" s="83" t="str">
        <x:v>Opzionale</x:v>
      </x:c>
      <x:c r="P107" s="83" t="str">
        <x:v>Sì</x:v>
      </x:c>
      <x:c r="Q107" s="83" t="str">
        <x:v>Terna outage/NTC</x:v>
      </x:c>
      <x:c r="R107" s="83" t="str">
        <x:v>ENTSO-E</x:v>
      </x:c>
      <x:c r="S107" s="83" t="str">
        <x:v>Base con capacità normale; sensitivity N-1/outage.</x:v>
      </x:c>
      <x:c r="T107" s="83" t="str">
        <x:v>Gap</x:v>
      </x:c>
      <x:c r="U107" s="83" t="str">
        <x:v>C-D</x:v>
      </x:c>
      <x:c r="V107" s="83" t="str">
        <x:v>D22</x:v>
      </x:c>
      <x:c r="W107" s="83" t="str">
        <x:v>Fase 4/7</x:v>
      </x:c>
      <x:c r="X107" s="83" t="str"/>
    </x:row>
    <x:row r="108">
      <x:c r="A108" s="83" t="str">
        <x:v>REQ-104</x:v>
      </x:c>
      <x:c r="B108" s="83" t="str">
        <x:v>Trasmissione</x:v>
      </x:c>
      <x:c r="C108" s="83" t="str">
        <x:v>Frontiere</x:v>
      </x:c>
      <x:c r="D108" s="83" t="str">
        <x:v>foreign_interconnector_capacity</x:v>
      </x:c>
      <x:c r="E108" s="83" t="str">
        <x:v>Capacità di import/export con ogni sistema estero.</x:v>
      </x:c>
      <x:c r="F108" s="83" t="str">
        <x:v>MW</x:v>
      </x:c>
      <x:c r="G108" s="83" t="str">
        <x:v>2040; 2050</x:v>
      </x:c>
      <x:c r="H108" s="83" t="str">
        <x:v>Tutti</x:v>
      </x:c>
      <x:c r="I108" s="83" t="str">
        <x:v>Statico/time series</x:v>
      </x:c>
      <x:c r="J108" s="83" t="str">
        <x:v>Frontiera</x:v>
      </x:c>
      <x:c r="K108" s="83" t="str">
        <x:v>Interconnector</x:v>
      </x:c>
      <x:c r="L108" s="83" t="str">
        <x:v>Link</x:v>
      </x:c>
      <x:c r="M108" s="83" t="str">
        <x:v>p_nom; p_min_pu; p_max_pu</x:v>
      </x:c>
      <x:c r="N108" s="83" t="str">
        <x:v>Edge list</x:v>
      </x:c>
      <x:c r="O108" s="83" t="str">
        <x:v>Sì</x:v>
      </x:c>
      <x:c r="P108" s="83" t="str">
        <x:v>Sì</x:v>
      </x:c>
      <x:c r="Q108" s="83" t="str">
        <x:v>S03; S05; S08; S01</x:v>
      </x:c>
      <x:c r="R108" s="83" t="str">
        <x:v>TYNDP/NTC</x:v>
      </x:c>
      <x:c r="S108" s="83" t="str">
        <x:v>Distinguere progetto nominale e capacità mercato.</x:v>
      </x:c>
      <x:c r="T108" s="83" t="str">
        <x:v>Da estrarre/riconciliare</x:v>
      </x:c>
      <x:c r="U108" s="83" t="str">
        <x:v>A-D</x:v>
      </x:c>
      <x:c r="V108" s="83" t="str">
        <x:v>D20</x:v>
      </x:c>
      <x:c r="W108" s="83" t="str">
        <x:v>Fase 3C</x:v>
      </x:c>
      <x:c r="X108" s="83" t="str"/>
    </x:row>
    <x:row r="109">
      <x:c r="A109" s="83" t="str">
        <x:v>REQ-105</x:v>
      </x:c>
      <x:c r="B109" s="83" t="str">
        <x:v>Trasmissione</x:v>
      </x:c>
      <x:c r="C109" s="83" t="str">
        <x:v>Varianti</x:v>
      </x:c>
      <x:c r="D109" s="83" t="str">
        <x:v>grid_scenario_variant</x:v>
      </x:c>
      <x:c r="E109" s="83" t="str">
        <x:v>Variante Base/Conservative/High Grid.</x:v>
      </x:c>
      <x:c r="F109" s="83" t="str">
        <x:v>category</x:v>
      </x:c>
      <x:c r="G109" s="83" t="str">
        <x:v>2040; 2050</x:v>
      </x:c>
      <x:c r="H109" s="83" t="str">
        <x:v>Sensitività</x:v>
      </x:c>
      <x:c r="I109" s="83" t="str">
        <x:v>Statico</x:v>
      </x:c>
      <x:c r="J109" s="83" t="str">
        <x:v>Sistema</x:v>
      </x:c>
      <x:c r="K109" s="83" t="str">
        <x:v>Rete</x:v>
      </x:c>
      <x:c r="L109" s="83" t="str">
        <x:v>Config / Link</x:v>
      </x:c>
      <x:c r="M109" s="83" t="str">
        <x:v>p_nom; active</x:v>
      </x:c>
      <x:c r="N109" s="83" t="str">
        <x:v>Scenario override</x:v>
      </x:c>
      <x:c r="O109" s="83" t="str">
        <x:v>Sì</x:v>
      </x:c>
      <x:c r="P109" s="83" t="str">
        <x:v>Sì</x:v>
      </x:c>
      <x:c r="Q109" s="83" t="str">
        <x:v>S03; S05</x:v>
      </x:c>
      <x:c r="R109" s="83" t="str">
        <x:v>TYNDP</x:v>
      </x:c>
      <x:c r="S109" s="83" t="str">
        <x:v>Applicare differenze solo su progetti/capacità documentate.</x:v>
      </x:c>
      <x:c r="T109" s="83" t="str">
        <x:v>Definito nel piano</x:v>
      </x:c>
      <x:c r="U109" s="83" t="str">
        <x:v>A-C</x:v>
      </x:c>
      <x:c r="V109" s="83" t="str">
        <x:v>D22</x:v>
      </x:c>
      <x:c r="W109" s="83" t="str">
        <x:v>Fase 4</x:v>
      </x:c>
      <x:c r="X109" s="83" t="str"/>
    </x:row>
    <x:row r="110">
      <x:c r="A110" s="83" t="str">
        <x:v>REQ-106</x:v>
      </x:c>
      <x:c r="B110" s="83" t="str">
        <x:v>Trasmissione</x:v>
      </x:c>
      <x:c r="C110" s="83" t="str">
        <x:v>Formulazione</x:v>
      </x:c>
      <x:c r="D110" s="83" t="str">
        <x:v>transport_vs_ac_network</x:v>
      </x:c>
      <x:c r="E110" s="83" t="str">
        <x:v>Scelta tra modello di trasporto zonale e rete AC/DC nodale.</x:v>
      </x:c>
      <x:c r="F110" s="83" t="str">
        <x:v>text</x:v>
      </x:c>
      <x:c r="G110" s="83" t="str">
        <x:v>2040; 2050</x:v>
      </x:c>
      <x:c r="H110" s="83" t="str">
        <x:v>Base e sensitivity</x:v>
      </x:c>
      <x:c r="I110" s="83" t="str">
        <x:v>Statico</x:v>
      </x:c>
      <x:c r="J110" s="83" t="str">
        <x:v>Italia/Europa</x:v>
      </x:c>
      <x:c r="K110" s="83" t="str">
        <x:v>Rete</x:v>
      </x:c>
      <x:c r="L110" s="83" t="str">
        <x:v>Link (base) / Line (sensitivity)</x:v>
      </x:c>
      <x:c r="M110" s="83" t="str">
        <x:v>p_nom or s_nom; x; r</x:v>
      </x:c>
      <x:c r="N110" s="83" t="str">
        <x:v>Design model</x:v>
      </x:c>
      <x:c r="O110" s="83" t="str">
        <x:v>Sì</x:v>
      </x:c>
      <x:c r="P110" s="83" t="str">
        <x:v>Sì</x:v>
      </x:c>
      <x:c r="Q110" s="83" t="str">
        <x:v>Obiettivo prezzi MGP; dati Terna zonali</x:v>
      </x:c>
      <x:c r="R110" s="83" t="str">
        <x:v>PyPSA/PyPSA-Eur</x:v>
      </x:c>
      <x:c r="S110" s="83" t="str">
        <x:v>Default: transport model zonale con Link controllabili.</x:v>
      </x:c>
      <x:c r="T110" s="83" t="str">
        <x:v>Decisione proposta</x:v>
      </x:c>
      <x:c r="U110" s="83" t="str">
        <x:v>A</x:v>
      </x:c>
      <x:c r="V110" s="83" t="str">
        <x:v>D01</x:v>
      </x:c>
      <x:c r="W110" s="83" t="str">
        <x:v>Prima della Fase 3C</x:v>
      </x:c>
      <x:c r="X110" s="83" t="str"/>
    </x:row>
    <x:row r="111">
      <x:c r="A111" s="83" t="str">
        <x:v>REQ-107</x:v>
      </x:c>
      <x:c r="B111" s="83" t="str">
        <x:v>Trasmissione</x:v>
      </x:c>
      <x:c r="C111" s="83" t="str">
        <x:v>Definizioni</x:v>
      </x:c>
      <x:c r="D111" s="83" t="str">
        <x:v>nominal_vs_market_capacity</x:v>
      </x:c>
      <x:c r="E111" s="83" t="str">
        <x:v>Classificazione tra rating fisico, incremento progetto, target capacity e limite di mercato.</x:v>
      </x:c>
      <x:c r="F111" s="83" t="str">
        <x:v>MW/type</x:v>
      </x:c>
      <x:c r="G111" s="83" t="str">
        <x:v>2040; 2050</x:v>
      </x:c>
      <x:c r="H111" s="83" t="str">
        <x:v>Tutti</x:v>
      </x:c>
      <x:c r="I111" s="83" t="str">
        <x:v>Statico</x:v>
      </x:c>
      <x:c r="J111" s="83" t="str">
        <x:v>Corridoio</x:v>
      </x:c>
      <x:c r="K111" s="83" t="str">
        <x:v>Rete</x:v>
      </x:c>
      <x:c r="L111" s="83" t="str">
        <x:v>Preprocessing / Link</x:v>
      </x:c>
      <x:c r="M111" s="83" t="str">
        <x:v>p_nom selection</x:v>
      </x:c>
      <x:c r="N111" s="83" t="str">
        <x:v>Registro riconciliazione</x:v>
      </x:c>
      <x:c r="O111" s="83" t="str">
        <x:v>Sì</x:v>
      </x:c>
      <x:c r="P111" s="83" t="str">
        <x:v>Sì</x:v>
      </x:c>
      <x:c r="Q111" s="83" t="str">
        <x:v>S03; S05; S01</x:v>
      </x:c>
      <x:c r="R111" s="83" t="str">
        <x:v>Terna NTC</x:v>
      </x:c>
      <x:c r="S111" s="83" t="str">
        <x:v>Non sostituire automaticamente l'una all'altra.</x:v>
      </x:c>
      <x:c r="T111" s="83" t="str">
        <x:v>Gap di riconciliazione</x:v>
      </x:c>
      <x:c r="U111" s="83" t="str">
        <x:v>A-D</x:v>
      </x:c>
      <x:c r="V111" s="83" t="str">
        <x:v>D20</x:v>
      </x:c>
      <x:c r="W111" s="83" t="str">
        <x:v>Fase 3C/4</x:v>
      </x:c>
      <x:c r="X111" s="83" t="str"/>
    </x:row>
    <x:row r="112">
      <x:c r="A112" s="83" t="str">
        <x:v>REQ-108</x:v>
      </x:c>
      <x:c r="B112" s="83" t="str">
        <x:v>Trasmissione</x:v>
      </x:c>
      <x:c r="C112" s="83" t="str">
        <x:v>Output</x:v>
      </x:c>
      <x:c r="D112" s="83" t="str">
        <x:v>flows_congestion_rents</x:v>
      </x:c>
      <x:c r="E112" s="83" t="str">
        <x:v>Flussi, saturazione, ore di congestione e rendite.</x:v>
      </x:c>
      <x:c r="F112" s="83" t="str">
        <x:v>MW; MWh; EUR</x:v>
      </x:c>
      <x:c r="G112" s="83" t="str">
        <x:v>2040; 2050</x:v>
      </x:c>
      <x:c r="H112" s="83" t="str">
        <x:v>Tutti</x:v>
      </x:c>
      <x:c r="I112" s="83" t="str">
        <x:v>Orario/annuale</x:v>
      </x:c>
      <x:c r="J112" s="83" t="str">
        <x:v>Corridoio</x:v>
      </x:c>
      <x:c r="K112" s="83" t="str">
        <x:v>Rete</x:v>
      </x:c>
      <x:c r="L112" s="83" t="str">
        <x:v>Link output</x:v>
      </x:c>
      <x:c r="M112" s="83" t="str">
        <x:v>p0; p1; mu_upper/lower</x:v>
      </x:c>
      <x:c r="N112" s="83" t="str">
        <x:v>Output</x:v>
      </x:c>
      <x:c r="O112" s="83" t="str">
        <x:v>Sì</x:v>
      </x:c>
      <x:c r="P112" s="83" t="str">
        <x:v>No</x:v>
      </x:c>
      <x:c r="Q112" s="83" t="str">
        <x:v>PyPSA outputs</x:v>
      </x:c>
      <x:c r="R112" s="83" t="str">
        <x:v>S03 per validazione</x:v>
      </x:c>
      <x:c r="S112" s="83" t="str">
        <x:v>Post-processing.</x:v>
      </x:c>
      <x:c r="T112" s="83" t="str">
        <x:v>Definito concettualmente</x:v>
      </x:c>
      <x:c r="U112" s="83" t="str">
        <x:v>A/B</x:v>
      </x:c>
      <x:c r="V112" s="83" t="str">
        <x:v>D20</x:v>
      </x:c>
      <x:c r="W112" s="83" t="str">
        <x:v>Fase 7</x:v>
      </x:c>
      <x:c r="X112" s="83" t="str"/>
    </x:row>
    <x:row r="113">
      <x:c r="A113" s="83" t="str">
        <x:v>REQ-109</x:v>
      </x:c>
      <x:c r="B113" s="83" t="str">
        <x:v>Sistemi esteri</x:v>
      </x:c>
      <x:c r="C113" s="83" t="str">
        <x:v>Perimetro</x:v>
      </x:c>
      <x:c r="D113" s="83" t="str">
        <x:v>foreign_system_representation</x:v>
      </x:c>
      <x:c r="E113" s="83" t="str">
        <x:v>Rappresentazione endogena dei Paesi vicini o prezzi/import esogeni.</x:v>
      </x:c>
      <x:c r="F113" s="83" t="str">
        <x:v>text</x:v>
      </x:c>
      <x:c r="G113" s="83" t="str">
        <x:v>2040; 2050</x:v>
      </x:c>
      <x:c r="H113" s="83" t="str">
        <x:v>Base e sensitivity</x:v>
      </x:c>
      <x:c r="I113" s="83" t="str">
        <x:v>Orario</x:v>
      </x:c>
      <x:c r="J113" s="83" t="str">
        <x:v>Paese/zona estera</x:v>
      </x:c>
      <x:c r="K113" s="83" t="str">
        <x:v>Generazione, domanda, storage esteri</x:v>
      </x:c>
      <x:c r="L113" s="83" t="str">
        <x:v>Bus/Generator/Load/Link</x:v>
      </x:c>
      <x:c r="M113" s="83" t="str">
        <x:v>multiple</x:v>
      </x:c>
      <x:c r="N113" s="83" t="str">
        <x:v>Design model</x:v>
      </x:c>
      <x:c r="O113" s="83" t="str">
        <x:v>Sì</x:v>
      </x:c>
      <x:c r="P113" s="83" t="str">
        <x:v>Sì</x:v>
      </x:c>
      <x:c r="Q113" s="83" t="str">
        <x:v>PyPSA-Eur; TYNDP; S01/S03/S05</x:v>
      </x:c>
      <x:c r="R113" s="83" t="str">
        <x:v>ENTSO-E</x:v>
      </x:c>
      <x:c r="S113" s="83" t="str">
        <x:v>Default raccomandato: nodi esteri aggregati endogeni se gestibile.</x:v>
      </x:c>
      <x:c r="T113" s="83" t="str">
        <x:v>Decisione aperta</x:v>
      </x:c>
      <x:c r="U113" s="83" t="str">
        <x:v>B</x:v>
      </x:c>
      <x:c r="V113" s="83" t="str">
        <x:v>D03</x:v>
      </x:c>
      <x:c r="W113" s="83" t="str">
        <x:v>Prima della Fase 3C/4</x:v>
      </x:c>
      <x:c r="X113" s="83" t="str"/>
    </x:row>
    <x:row r="114">
      <x:c r="A114" s="83" t="str">
        <x:v>REQ-110</x:v>
      </x:c>
      <x:c r="B114" s="83" t="str">
        <x:v>Sistemi esteri</x:v>
      </x:c>
      <x:c r="C114" s="83" t="str">
        <x:v>Esogeno</x:v>
      </x:c>
      <x:c r="D114" s="83" t="str">
        <x:v>foreign_price_profiles</x:v>
      </x:c>
      <x:c r="E114" s="83" t="str">
        <x:v>Prezzo orario estero se l'estero è modellato esogenamente.</x:v>
      </x:c>
      <x:c r="F114" s="83" t="str">
        <x:v>EUR/MWh</x:v>
      </x:c>
      <x:c r="G114" s="83" t="str">
        <x:v>2040; 2050</x:v>
      </x:c>
      <x:c r="H114" s="83" t="str">
        <x:v>Tutti</x:v>
      </x:c>
      <x:c r="I114" s="83" t="str">
        <x:v>Orario</x:v>
      </x:c>
      <x:c r="J114" s="83" t="str">
        <x:v>Frontiera/Paese</x:v>
      </x:c>
      <x:c r="K114" s="83" t="str">
        <x:v>Import/export</x:v>
      </x:c>
      <x:c r="L114" s="83" t="str">
        <x:v>Generator/Load at foreign bus</x:v>
      </x:c>
      <x:c r="M114" s="83" t="str">
        <x:v>marginal_cost; p_set</x:v>
      </x:c>
      <x:c r="N114" s="83" t="str">
        <x:v>Serie temporale</x:v>
      </x:c>
      <x:c r="O114" s="83" t="str">
        <x:v>Sì se esogeno</x:v>
      </x:c>
      <x:c r="P114" s="83" t="str">
        <x:v>Sì</x:v>
      </x:c>
      <x:c r="Q114" s="83" t="str">
        <x:v>TYNDP/PyPSA-Eur scenario outputs</x:v>
      </x:c>
      <x:c r="R114" s="83" t="str">
        <x:v>Historical ENTSO-E/GME</x:v>
      </x:c>
      <x:c r="S114" s="83" t="str">
        <x:v>Profilo coerente con scenario e meteo.</x:v>
      </x:c>
      <x:c r="T114" s="83" t="str">
        <x:v>Gap</x:v>
      </x:c>
      <x:c r="U114" s="83" t="str">
        <x:v>C-E</x:v>
      </x:c>
      <x:c r="V114" s="83" t="str">
        <x:v>D03</x:v>
      </x:c>
      <x:c r="W114" s="83" t="str">
        <x:v>Fase 4</x:v>
      </x:c>
      <x:c r="X114" s="83" t="str"/>
    </x:row>
    <x:row r="115">
      <x:c r="A115" s="83" t="str">
        <x:v>REQ-111</x:v>
      </x:c>
      <x:c r="B115" s="83" t="str">
        <x:v>Sistemi esteri</x:v>
      </x:c>
      <x:c r="C115" s="83" t="str">
        <x:v>Endogeno</x:v>
      </x:c>
      <x:c r="D115" s="83" t="str">
        <x:v>foreign_generation_capacity_profiles</x:v>
      </x:c>
      <x:c r="E115" s="83" t="str">
        <x:v>Capacità, domanda e profili esteri se endogeni.</x:v>
      </x:c>
      <x:c r="F115" s="83" t="str">
        <x:v>MW; MWh; p.u.</x:v>
      </x:c>
      <x:c r="G115" s="83" t="str">
        <x:v>2040; 2050</x:v>
      </x:c>
      <x:c r="H115" s="83" t="str">
        <x:v>Tutti</x:v>
      </x:c>
      <x:c r="I115" s="83" t="str">
        <x:v>Orario</x:v>
      </x:c>
      <x:c r="J115" s="83" t="str">
        <x:v>Paese/zona estera</x:v>
      </x:c>
      <x:c r="K115" s="83" t="str">
        <x:v>Foreign generation/load/storage</x:v>
      </x:c>
      <x:c r="L115" s="83" t="str">
        <x:v>Generator/Load/Storage/Link</x:v>
      </x:c>
      <x:c r="M115" s="83" t="str">
        <x:v>multiple</x:v>
      </x:c>
      <x:c r="N115" s="83" t="str">
        <x:v>Network subset</x:v>
      </x:c>
      <x:c r="O115" s="83" t="str">
        <x:v>Sì se endogeno</x:v>
      </x:c>
      <x:c r="P115" s="83" t="str">
        <x:v>Sì</x:v>
      </x:c>
      <x:c r="Q115" s="83" t="str">
        <x:v>PyPSA-Eur/TYNDP</x:v>
      </x:c>
      <x:c r="R115" s="83" t="str">
        <x:v>ENTSO-E</x:v>
      </x:c>
      <x:c r="S115" s="83" t="str">
        <x:v>Mantenere consistenza con anno/scenario Italia.</x:v>
      </x:c>
      <x:c r="T115" s="83" t="str">
        <x:v>Disponibile via PyPSA-Eur</x:v>
      </x:c>
      <x:c r="U115" s="83" t="str">
        <x:v>B</x:v>
      </x:c>
      <x:c r="V115" s="83" t="str">
        <x:v>D03</x:v>
      </x:c>
      <x:c r="W115" s="83" t="str">
        <x:v>Fase 4/7</x:v>
      </x:c>
      <x:c r="X115" s="83" t="str"/>
    </x:row>
    <x:row r="116">
      <x:c r="A116" s="83" t="str">
        <x:v>REQ-112</x:v>
      </x:c>
      <x:c r="B116" s="83" t="str">
        <x:v>Sistemi esteri</x:v>
      </x:c>
      <x:c r="C116" s="83" t="str">
        <x:v>Emissioni</x:v>
      </x:c>
      <x:c r="D116" s="83" t="str">
        <x:v>import_carbon_treatment</x:v>
      </x:c>
      <x:c r="E116" s="83" t="str">
        <x:v>Trattamento emissivo degli import per reporting o vincoli.</x:v>
      </x:c>
      <x:c r="F116" s="83" t="str">
        <x:v>tCO2/MWh</x:v>
      </x:c>
      <x:c r="G116" s="83" t="str">
        <x:v>2040; 2050</x:v>
      </x:c>
      <x:c r="H116" s="83" t="str">
        <x:v>Tutti</x:v>
      </x:c>
      <x:c r="I116" s="83" t="str">
        <x:v>Orario/annuale</x:v>
      </x:c>
      <x:c r="J116" s="83" t="str">
        <x:v>Frontiera</x:v>
      </x:c>
      <x:c r="K116" s="83" t="str">
        <x:v>Import</x:v>
      </x:c>
      <x:c r="L116" s="83" t="str">
        <x:v>Carrier/metadata</x:v>
      </x:c>
      <x:c r="M116" s="83" t="str">
        <x:v>co2_emissions or post-processing</x:v>
      </x:c>
      <x:c r="N116" s="83" t="str">
        <x:v>Serie/fattore</x:v>
      </x:c>
      <x:c r="O116" s="83" t="str">
        <x:v>Opzionale</x:v>
      </x:c>
      <x:c r="P116" s="83" t="str">
        <x:v>No</x:v>
      </x:c>
      <x:c r="Q116" s="83" t="str">
        <x:v>TYNDP/PyPSA-Eur</x:v>
      </x:c>
      <x:c r="R116" s="83" t="str">
        <x:v>ENTSO-E mix</x:v>
      </x:c>
      <x:c r="S116" s="83" t="str">
        <x:v>Non necessario alla formazione prezzo se estero endogeno.</x:v>
      </x:c>
      <x:c r="T116" s="83" t="str">
        <x:v>Da definire</x:v>
      </x:c>
      <x:c r="U116" s="83" t="str">
        <x:v>C-D</x:v>
      </x:c>
      <x:c r="V116" s="83" t="str">
        <x:v>D03</x:v>
      </x:c>
      <x:c r="W116" s="83" t="str">
        <x:v>Fase 6/7</x:v>
      </x:c>
      <x:c r="X116" s="83" t="str"/>
    </x:row>
    <x:row r="117">
      <x:c r="A117" s="83" t="str">
        <x:v>REQ-113</x:v>
      </x:c>
      <x:c r="B117" s="83" t="str">
        <x:v>Sistemi esteri</x:v>
      </x:c>
      <x:c r="C117" s="83" t="str">
        <x:v>Vincoli</x:v>
      </x:c>
      <x:c r="D117" s="83" t="str">
        <x:v>net_transfer_constraints</x:v>
      </x:c>
      <x:c r="E117" s="83" t="str">
        <x:v>Limiti netti aggregati o vincoli multi-frontiera.</x:v>
      </x:c>
      <x:c r="F117" s="83" t="str">
        <x:v>MW</x:v>
      </x:c>
      <x:c r="G117" s="83" t="str">
        <x:v>2040; 2050</x:v>
      </x:c>
      <x:c r="H117" s="83" t="str">
        <x:v>Tutti</x:v>
      </x:c>
      <x:c r="I117" s="83" t="str">
        <x:v>Orario/statico</x:v>
      </x:c>
      <x:c r="J117" s="83" t="str">
        <x:v>Frontiera/insieme</x:v>
      </x:c>
      <x:c r="K117" s="83" t="str">
        <x:v>Interconnector</x:v>
      </x:c>
      <x:c r="L117" s="83" t="str">
        <x:v>Link/custom constraint</x:v>
      </x:c>
      <x:c r="M117" s="83" t="str">
        <x:v>p_nom; custom</x:v>
      </x:c>
      <x:c r="N117" s="83" t="str">
        <x:v>Vincolo</x:v>
      </x:c>
      <x:c r="O117" s="83" t="str">
        <x:v>Solo se richiesto</x:v>
      </x:c>
      <x:c r="P117" s="83" t="str">
        <x:v>Sì</x:v>
      </x:c>
      <x:c r="Q117" s="83" t="str">
        <x:v>Terna/ENTSO-E</x:v>
      </x:c>
      <x:c r="R117" s="83" t="str">
        <x:v>PyPSA custom constraints</x:v>
      </x:c>
      <x:c r="S117" s="83" t="str">
        <x:v>Applicare solo se la somma dei Link non basta.</x:v>
      </x:c>
      <x:c r="T117" s="83" t="str">
        <x:v>Da valutare</x:v>
      </x:c>
      <x:c r="U117" s="83" t="str">
        <x:v>C-D</x:v>
      </x:c>
      <x:c r="V117" s="83" t="str">
        <x:v>D20</x:v>
      </x:c>
      <x:c r="W117" s="83" t="str">
        <x:v>Fase 3C/7</x:v>
      </x:c>
      <x:c r="X117" s="83" t="str"/>
    </x:row>
    <x:row r="118">
      <x:c r="A118" s="83" t="str">
        <x:v>REQ-114</x:v>
      </x:c>
      <x:c r="B118" s="83" t="str">
        <x:v>Mercato e output</x:v>
      </x:c>
      <x:c r="C118" s="83" t="str">
        <x:v>Prezzi</x:v>
      </x:c>
      <x:c r="D118" s="83" t="str">
        <x:v>zonal_marginal_prices</x:v>
      </x:c>
      <x:c r="E118" s="83" t="str">
        <x:v>Prezzi marginali orari per zona dal duale del bilancio nodale.</x:v>
      </x:c>
      <x:c r="F118" s="83" t="str">
        <x:v>EUR/MWh</x:v>
      </x:c>
      <x:c r="G118" s="83" t="str">
        <x:v>2040; 2050</x:v>
      </x:c>
      <x:c r="H118" s="83" t="str">
        <x:v>Tutti</x:v>
      </x:c>
      <x:c r="I118" s="83" t="str">
        <x:v>Orario</x:v>
      </x:c>
      <x:c r="J118" s="83" t="str">
        <x:v>Zona</x:v>
      </x:c>
      <x:c r="K118" s="83" t="str">
        <x:v>Mercato</x:v>
      </x:c>
      <x:c r="L118" s="83" t="str">
        <x:v>Bus output</x:v>
      </x:c>
      <x:c r="M118" s="83" t="str">
        <x:v>marginal_price</x:v>
      </x:c>
      <x:c r="N118" s="83" t="str">
        <x:v>Output time series</x:v>
      </x:c>
      <x:c r="O118" s="83" t="str">
        <x:v>Sì</x:v>
      </x:c>
      <x:c r="P118" s="83" t="str">
        <x:v>Sì</x:v>
      </x:c>
      <x:c r="Q118" s="83" t="str">
        <x:v>PyPSA official docs/examples</x:v>
      </x:c>
      <x:c r="R118" s="83" t="str">
        <x:v>GME/Terna per validazione</x:v>
      </x:c>
      <x:c r="S118" s="83" t="str">
        <x:v>Output primario del modello.</x:v>
      </x:c>
      <x:c r="T118" s="83" t="str">
        <x:v>Definito</x:v>
      </x:c>
      <x:c r="U118" s="83" t="str">
        <x:v>A</x:v>
      </x:c>
      <x:c r="V118" s="83" t="str">
        <x:v>D29</x:v>
      </x:c>
      <x:c r="W118" s="83" t="str">
        <x:v>Fase 7</x:v>
      </x:c>
      <x:c r="X118" s="83" t="str"/>
    </x:row>
    <x:row r="119">
      <x:c r="A119" s="83" t="str">
        <x:v>REQ-115</x:v>
      </x:c>
      <x:c r="B119" s="83" t="str">
        <x:v>Mercato e output</x:v>
      </x:c>
      <x:c r="C119" s="83" t="str">
        <x:v>Prezzi</x:v>
      </x:c>
      <x:c r="D119" s="83" t="str">
        <x:v>national_pun_proxy</x:v>
      </x:c>
      <x:c r="E119" s="83" t="str">
        <x:v>Indicatore nazionale post-processato da prezzi zonali e acquisti/domanda.</x:v>
      </x:c>
      <x:c r="F119" s="83" t="str">
        <x:v>EUR/MWh</x:v>
      </x:c>
      <x:c r="G119" s="83" t="str">
        <x:v>2040; 2050</x:v>
      </x:c>
      <x:c r="H119" s="83" t="str">
        <x:v>Tutti</x:v>
      </x:c>
      <x:c r="I119" s="83" t="str">
        <x:v>Orario/annuale</x:v>
      </x:c>
      <x:c r="J119" s="83" t="str">
        <x:v>Italia</x:v>
      </x:c>
      <x:c r="K119" s="83" t="str">
        <x:v>Mercato</x:v>
      </x:c>
      <x:c r="L119" s="83" t="str">
        <x:v>Post-processing</x:v>
      </x:c>
      <x:c r="M119" s="83" t="str">
        <x:v>weighted zonal prices</x:v>
      </x:c>
      <x:c r="N119" s="83" t="str">
        <x:v>Formula post-process</x:v>
      </x:c>
      <x:c r="O119" s="83" t="str">
        <x:v>Sì</x:v>
      </x:c>
      <x:c r="P119" s="83" t="str">
        <x:v>Sì</x:v>
      </x:c>
      <x:c r="Q119" s="83" t="str">
        <x:v>S01/GME metodologia PUN</x:v>
      </x:c>
      <x:c r="R119" s="83" t="str">
        <x:v>Output Load/Bus</x:v>
      </x:c>
      <x:c r="S119" s="83" t="str">
        <x:v>Definire formula coerente col perimetro futuro.</x:v>
      </x:c>
      <x:c r="T119" s="83" t="str">
        <x:v>Decisione aperta</x:v>
      </x:c>
      <x:c r="U119" s="83" t="str">
        <x:v>A-C</x:v>
      </x:c>
      <x:c r="V119" s="83" t="str">
        <x:v>D29</x:v>
      </x:c>
      <x:c r="W119" s="83" t="str">
        <x:v>Fase 4/7</x:v>
      </x:c>
      <x:c r="X119" s="83" t="str"/>
    </x:row>
    <x:row r="120">
      <x:c r="A120" s="83" t="str">
        <x:v>REQ-116</x:v>
      </x:c>
      <x:c r="B120" s="83" t="str">
        <x:v>Mercato e output</x:v>
      </x:c>
      <x:c r="C120" s="83" t="str">
        <x:v>Prezzi</x:v>
      </x:c>
      <x:c r="D120" s="83" t="str">
        <x:v>price_cap_floor</x:v>
      </x:c>
      <x:c r="E120" s="83" t="str">
        <x:v>Trattamento di cap/floor e prezzi negativi.</x:v>
      </x:c>
      <x:c r="F120" s="83" t="str">
        <x:v>EUR/MWh</x:v>
      </x:c>
      <x:c r="G120" s="83" t="str">
        <x:v>2040; 2050</x:v>
      </x:c>
      <x:c r="H120" s="83" t="str">
        <x:v>Base/sensitivity</x:v>
      </x:c>
      <x:c r="I120" s="83" t="str">
        <x:v>Orario</x:v>
      </x:c>
      <x:c r="J120" s="83" t="str">
        <x:v>Sistema/zona</x:v>
      </x:c>
      <x:c r="K120" s="83" t="str">
        <x:v>Mercato</x:v>
      </x:c>
      <x:c r="L120" s="83" t="str">
        <x:v>Generator costs / post-processing</x:v>
      </x:c>
      <x:c r="M120" s="83" t="str">
        <x:v>marginal_cost; VOLL</x:v>
      </x:c>
      <x:c r="N120" s="83" t="str">
        <x:v>Regola scenario</x:v>
      </x:c>
      <x:c r="O120" s="83" t="str">
        <x:v>Sì</x:v>
      </x:c>
      <x:c r="P120" s="83" t="str">
        <x:v>Sì</x:v>
      </x:c>
      <x:c r="Q120" s="83" t="str">
        <x:v>Regole GME/UE</x:v>
      </x:c>
      <x:c r="R120" s="83" t="str">
        <x:v>PyPSA</x:v>
      </x:c>
      <x:c r="S120" s="83" t="str">
        <x:v>Non tagliare ex post salvo reporting; configurare offerte/costi.</x:v>
      </x:c>
      <x:c r="T120" s="83" t="str">
        <x:v>Decisione aperta</x:v>
      </x:c>
      <x:c r="U120" s="83" t="str">
        <x:v>B-D</x:v>
      </x:c>
      <x:c r="V120" s="83" t="str">
        <x:v>D30</x:v>
      </x:c>
      <x:c r="W120" s="83" t="str">
        <x:v>Fase 3D/4</x:v>
      </x:c>
      <x:c r="X120" s="83" t="str"/>
    </x:row>
    <x:row r="121">
      <x:c r="A121" s="83" t="str">
        <x:v>REQ-117</x:v>
      </x:c>
      <x:c r="B121" s="83" t="str">
        <x:v>Mercato e output</x:v>
      </x:c>
      <x:c r="C121" s="83" t="str">
        <x:v>Curtailment</x:v>
      </x:c>
      <x:c r="D121" s="83" t="str">
        <x:v>renewable_curtailment</x:v>
      </x:c>
      <x:c r="E121" s="83" t="str">
        <x:v>Energia disponibile non generata per FER.</x:v>
      </x:c>
      <x:c r="F121" s="83" t="str">
        <x:v>MWh; %</x:v>
      </x:c>
      <x:c r="G121" s="83" t="str">
        <x:v>2040; 2050</x:v>
      </x:c>
      <x:c r="H121" s="83" t="str">
        <x:v>Tutti</x:v>
      </x:c>
      <x:c r="I121" s="83" t="str">
        <x:v>Orario/annuale</x:v>
      </x:c>
      <x:c r="J121" s="83" t="str">
        <x:v>Zona/tecnologia</x:v>
      </x:c>
      <x:c r="K121" s="83" t="str">
        <x:v>VRE; hydro</x:v>
      </x:c>
      <x:c r="L121" s="83" t="str">
        <x:v>Generator output</x:v>
      </x:c>
      <x:c r="M121" s="83" t="str">
        <x:v>p_max_pu*p_nom - p</x:v>
      </x:c>
      <x:c r="N121" s="83" t="str">
        <x:v>Output derivato</x:v>
      </x:c>
      <x:c r="O121" s="83" t="str">
        <x:v>Sì</x:v>
      </x:c>
      <x:c r="P121" s="83" t="str">
        <x:v>No</x:v>
      </x:c>
      <x:c r="Q121" s="83" t="str">
        <x:v>PyPSA outputs</x:v>
      </x:c>
      <x:c r="R121" s="83" t="str">
        <x:v>S03/S07 per validazione</x:v>
      </x:c>
      <x:c r="S121" s="83" t="str">
        <x:v>Calcolo con disponibilità coerente.</x:v>
      </x:c>
      <x:c r="T121" s="83" t="str">
        <x:v>Definito</x:v>
      </x:c>
      <x:c r="U121" s="83" t="str">
        <x:v>A/B</x:v>
      </x:c>
      <x:c r="V121" s="83" t="str">
        <x:v>D14</x:v>
      </x:c>
      <x:c r="W121" s="83" t="str">
        <x:v>Fase 7</x:v>
      </x:c>
      <x:c r="X121" s="83" t="str"/>
    </x:row>
    <x:row r="122">
      <x:c r="A122" s="83" t="str">
        <x:v>REQ-118</x:v>
      </x:c>
      <x:c r="B122" s="83" t="str">
        <x:v>Mercato e output</x:v>
      </x:c>
      <x:c r="C122" s="83" t="str">
        <x:v>Merit order</x:v>
      </x:c>
      <x:c r="D122" s="83" t="str">
        <x:v>marginal_generator_identification</x:v>
      </x:c>
      <x:c r="E122" s="83" t="str">
        <x:v>Tecnologia/asset marginale e ore di price setting.</x:v>
      </x:c>
      <x:c r="F122" s="83" t="str">
        <x:v>text/hours</x:v>
      </x:c>
      <x:c r="G122" s="83" t="str">
        <x:v>2040; 2050</x:v>
      </x:c>
      <x:c r="H122" s="83" t="str">
        <x:v>Tutti</x:v>
      </x:c>
      <x:c r="I122" s="83" t="str">
        <x:v>Orario</x:v>
      </x:c>
      <x:c r="J122" s="83" t="str">
        <x:v>Zona</x:v>
      </x:c>
      <x:c r="K122" s="83" t="str">
        <x:v>Generazione/import/storage</x:v>
      </x:c>
      <x:c r="L122" s="83" t="str">
        <x:v>Post-processing</x:v>
      </x:c>
      <x:c r="M122" s="83" t="str">
        <x:v>dispatch + marginal prices</x:v>
      </x:c>
      <x:c r="N122" s="83" t="str">
        <x:v>Algoritmo</x:v>
      </x:c>
      <x:c r="O122" s="83" t="str">
        <x:v>Desiderabile</x:v>
      </x:c>
      <x:c r="P122" s="83" t="str">
        <x:v>No</x:v>
      </x:c>
      <x:c r="Q122" s="83" t="str">
        <x:v>Output PyPSA</x:v>
      </x:c>
      <x:c r="R122" s="83" t="str">
        <x:v>S07 contesto gas-MGP</x:v>
      </x:c>
      <x:c r="S122" s="83" t="str">
        <x:v>Inferire con tolleranza e binding constraints.</x:v>
      </x:c>
      <x:c r="T122" s="83" t="str">
        <x:v>Da progettare</x:v>
      </x:c>
      <x:c r="U122" s="83" t="str">
        <x:v>B-D</x:v>
      </x:c>
      <x:c r="V122" s="83" t="str">
        <x:v>D29</x:v>
      </x:c>
      <x:c r="W122" s="83" t="str">
        <x:v>Fase 7</x:v>
      </x:c>
      <x:c r="X122" s="83" t="str"/>
    </x:row>
    <x:row r="123">
      <x:c r="A123" s="83" t="str">
        <x:v>REQ-119</x:v>
      </x:c>
      <x:c r="B123" s="83" t="str">
        <x:v>Mercato e output</x:v>
      </x:c>
      <x:c r="C123" s="83" t="str">
        <x:v>Output</x:v>
      </x:c>
      <x:c r="D123" s="83" t="str">
        <x:v>generation_by_technology</x:v>
      </x:c>
      <x:c r="E123" s="83" t="str">
        <x:v>Generazione oraria e annua per tecnologia/zona.</x:v>
      </x:c>
      <x:c r="F123" s="83" t="str">
        <x:v>MW; MWh</x:v>
      </x:c>
      <x:c r="G123" s="83" t="str">
        <x:v>2040; 2050</x:v>
      </x:c>
      <x:c r="H123" s="83" t="str">
        <x:v>Tutti</x:v>
      </x:c>
      <x:c r="I123" s="83" t="str">
        <x:v>Orario/annuale</x:v>
      </x:c>
      <x:c r="J123" s="83" t="str">
        <x:v>Zona/tecnologia</x:v>
      </x:c>
      <x:c r="K123" s="83" t="str">
        <x:v>Tutte</x:v>
      </x:c>
      <x:c r="L123" s="83" t="str">
        <x:v>Generator/Link output</x:v>
      </x:c>
      <x:c r="M123" s="83" t="str">
        <x:v>p; p1</x:v>
      </x:c>
      <x:c r="N123" s="83" t="str">
        <x:v>Output</x:v>
      </x:c>
      <x:c r="O123" s="83" t="str">
        <x:v>Sì</x:v>
      </x:c>
      <x:c r="P123" s="83" t="str">
        <x:v>No</x:v>
      </x:c>
      <x:c r="Q123" s="83" t="str">
        <x:v>PyPSA outputs</x:v>
      </x:c>
      <x:c r="R123" s="83" t="str">
        <x:v>S01/S07 bilanci</x:v>
      </x:c>
      <x:c r="S123" s="83" t="str">
        <x:v>Aggregazione e riconciliazione.</x:v>
      </x:c>
      <x:c r="T123" s="83" t="str">
        <x:v>Definito</x:v>
      </x:c>
      <x:c r="U123" s="83" t="str">
        <x:v>A</x:v>
      </x:c>
      <x:c r="V123" s="83" t="str">
        <x:v>D32</x:v>
      </x:c>
      <x:c r="W123" s="83" t="str">
        <x:v>Fase 7</x:v>
      </x:c>
      <x:c r="X123" s="83" t="str"/>
    </x:row>
    <x:row r="124">
      <x:c r="A124" s="83" t="str">
        <x:v>REQ-120</x:v>
      </x:c>
      <x:c r="B124" s="83" t="str">
        <x:v>Mercato e output</x:v>
      </x:c>
      <x:c r="C124" s="83" t="str">
        <x:v>Output</x:v>
      </x:c>
      <x:c r="D124" s="83" t="str">
        <x:v>storage_dispatch_soc</x:v>
      </x:c>
      <x:c r="E124" s="83" t="str">
        <x:v>Carica, scarica, SOC, cicli e rendimenti.</x:v>
      </x:c>
      <x:c r="F124" s="83" t="str">
        <x:v>MW; MWh</x:v>
      </x:c>
      <x:c r="G124" s="83" t="str">
        <x:v>2040; 2050</x:v>
      </x:c>
      <x:c r="H124" s="83" t="str">
        <x:v>Tutti</x:v>
      </x:c>
      <x:c r="I124" s="83" t="str">
        <x:v>Orario/annuale</x:v>
      </x:c>
      <x:c r="J124" s="83" t="str">
        <x:v>Zona/tecnologia</x:v>
      </x:c>
      <x:c r="K124" s="83" t="str">
        <x:v>Storage</x:v>
      </x:c>
      <x:c r="L124" s="83" t="str">
        <x:v>Store/StorageUnit/Link output</x:v>
      </x:c>
      <x:c r="M124" s="83" t="str">
        <x:v>p; p0/p1; e; state_of_charge</x:v>
      </x:c>
      <x:c r="N124" s="83" t="str">
        <x:v>Output</x:v>
      </x:c>
      <x:c r="O124" s="83" t="str">
        <x:v>Sì</x:v>
      </x:c>
      <x:c r="P124" s="83" t="str">
        <x:v>No</x:v>
      </x:c>
      <x:c r="Q124" s="83" t="str">
        <x:v>PyPSA outputs</x:v>
      </x:c>
      <x:c r="R124" s="83" t="str">
        <x:v>S07 per validazione</x:v>
      </x:c>
      <x:c r="S124" s="83" t="str">
        <x:v>Post-processing.</x:v>
      </x:c>
      <x:c r="T124" s="83" t="str">
        <x:v>Definito</x:v>
      </x:c>
      <x:c r="U124" s="83" t="str">
        <x:v>A</x:v>
      </x:c>
      <x:c r="V124" s="83" t="str">
        <x:v>D18</x:v>
      </x:c>
      <x:c r="W124" s="83" t="str">
        <x:v>Fase 7</x:v>
      </x:c>
      <x:c r="X124" s="83" t="str"/>
    </x:row>
    <x:row r="125">
      <x:c r="A125" s="83" t="str">
        <x:v>REQ-121</x:v>
      </x:c>
      <x:c r="B125" s="83" t="str">
        <x:v>Mercato e output</x:v>
      </x:c>
      <x:c r="C125" s="83" t="str">
        <x:v>Servizi</x:v>
      </x:c>
      <x:c r="D125" s="83" t="str">
        <x:v>reserve_ancillary_scope</x:v>
      </x:c>
      <x:c r="E125" s="83" t="str">
        <x:v>Inclusione o esclusione di riserva e servizi ancillari.</x:v>
      </x:c>
      <x:c r="F125" s="83" t="str">
        <x:v>text/MW</x:v>
      </x:c>
      <x:c r="G125" s="83" t="str">
        <x:v>2040; 2050</x:v>
      </x:c>
      <x:c r="H125" s="83" t="str">
        <x:v>Sensitività</x:v>
      </x:c>
      <x:c r="I125" s="83" t="str">
        <x:v>Orario</x:v>
      </x:c>
      <x:c r="J125" s="83" t="str">
        <x:v>Sistema/zona</x:v>
      </x:c>
      <x:c r="K125" s="83" t="str">
        <x:v>Generators/storage/DR</x:v>
      </x:c>
      <x:c r="L125" s="83" t="str">
        <x:v>Custom constraints</x:v>
      </x:c>
      <x:c r="M125" s="83" t="str">
        <x:v>reserve variables/constraints</x:v>
      </x:c>
      <x:c r="N125" s="83" t="str">
        <x:v>Design model</x:v>
      </x:c>
      <x:c r="O125" s="83" t="str">
        <x:v>Opzionale</x:v>
      </x:c>
      <x:c r="P125" s="83" t="str">
        <x:v>Sì</x:v>
      </x:c>
      <x:c r="Q125" s="83" t="str">
        <x:v>S01 cap.3-4; S03</x:v>
      </x:c>
      <x:c r="R125" s="83" t="str">
        <x:v>PyPSA reserve example</x:v>
      </x:c>
      <x:c r="S125" s="83" t="str">
        <x:v>Default: esclusi dal MGP base; documentare limite.</x:v>
      </x:c>
      <x:c r="T125" s="83" t="str">
        <x:v>Decisione proposta</x:v>
      </x:c>
      <x:c r="U125" s="83" t="str">
        <x:v>C-E</x:v>
      </x:c>
      <x:c r="V125" s="83" t="str">
        <x:v>D31</x:v>
      </x:c>
      <x:c r="W125" s="83" t="str">
        <x:v>Fase 4/7</x:v>
      </x:c>
      <x:c r="X125" s="83" t="str"/>
    </x:row>
    <x:row r="126">
      <x:c r="A126" s="83" t="str">
        <x:v>REQ-122</x:v>
      </x:c>
      <x:c r="B126" s="83" t="str">
        <x:v>Mercato e output</x:v>
      </x:c>
      <x:c r="C126" s="83" t="str">
        <x:v>Congestione</x:v>
      </x:c>
      <x:c r="D126" s="83" t="str">
        <x:v>price_separation_hours</x:v>
      </x:c>
      <x:c r="E126" s="83" t="str">
        <x:v>Ore di separazione dei prezzi e spread tra zone.</x:v>
      </x:c>
      <x:c r="F126" s="83" t="str">
        <x:v>hours; EUR/MWh</x:v>
      </x:c>
      <x:c r="G126" s="83" t="str">
        <x:v>2040; 2050</x:v>
      </x:c>
      <x:c r="H126" s="83" t="str">
        <x:v>Tutti</x:v>
      </x:c>
      <x:c r="I126" s="83" t="str">
        <x:v>Orario/annuale</x:v>
      </x:c>
      <x:c r="J126" s="83" t="str">
        <x:v>Coppia di zone</x:v>
      </x:c>
      <x:c r="K126" s="83" t="str">
        <x:v>Mercato/rete</x:v>
      </x:c>
      <x:c r="L126" s="83" t="str">
        <x:v>Post-processing</x:v>
      </x:c>
      <x:c r="M126" s="83" t="str">
        <x:v>Bus.marginal_price; Link.p</x:v>
      </x:c>
      <x:c r="N126" s="83" t="str">
        <x:v>Output derivato</x:v>
      </x:c>
      <x:c r="O126" s="83" t="str">
        <x:v>Sì</x:v>
      </x:c>
      <x:c r="P126" s="83" t="str">
        <x:v>No</x:v>
      </x:c>
      <x:c r="Q126" s="83" t="str">
        <x:v>PyPSA outputs</x:v>
      </x:c>
      <x:c r="R126" s="83" t="str">
        <x:v>S03 per validazione</x:v>
      </x:c>
      <x:c r="S126" s="83" t="str">
        <x:v>Tolleranza prezzi definita.</x:v>
      </x:c>
      <x:c r="T126" s="83" t="str">
        <x:v>Definito concettualmente</x:v>
      </x:c>
      <x:c r="U126" s="83" t="str">
        <x:v>A/B</x:v>
      </x:c>
      <x:c r="V126" s="83" t="str">
        <x:v>D20</x:v>
      </x:c>
      <x:c r="W126" s="83" t="str">
        <x:v>Fase 7</x:v>
      </x:c>
      <x:c r="X126" s="83" t="str"/>
    </x:row>
    <x:row r="127">
      <x:c r="A127" s="83" t="str">
        <x:v>REQ-123</x:v>
      </x:c>
      <x:c r="B127" s="83" t="str">
        <x:v>Mercato e output</x:v>
      </x:c>
      <x:c r="C127" s="83" t="str">
        <x:v>Validazione</x:v>
      </x:c>
      <x:c r="D127" s="83" t="str">
        <x:v>historical_backcast</x:v>
      </x:c>
      <x:c r="E127" s="83" t="str">
        <x:v>Run storico di calibrazione con struttura e dati osservati.</x:v>
      </x:c>
      <x:c r="F127" s="83" t="str">
        <x:v>run</x:v>
      </x:c>
      <x:c r="G127" s="83" t="str">
        <x:v>2023/2024</x:v>
      </x:c>
      <x:c r="H127" s="83" t="str">
        <x:v>Calibrazione</x:v>
      </x:c>
      <x:c r="I127" s="83" t="str">
        <x:v>Orario</x:v>
      </x:c>
      <x:c r="J127" s="83" t="str">
        <x:v>Italia/estero</x:v>
      </x:c>
      <x:c r="K127" s="83" t="str">
        <x:v>Tutte</x:v>
      </x:c>
      <x:c r="L127" s="83" t="str">
        <x:v>Network</x:v>
      </x:c>
      <x:c r="M127" s="83" t="str">
        <x:v>all relevant</x:v>
      </x:c>
      <x:c r="N127" s="83" t="str">
        <x:v>Scenario storico</x:v>
      </x:c>
      <x:c r="O127" s="83" t="str">
        <x:v>Fortemente raccomandato</x:v>
      </x:c>
      <x:c r="P127" s="83" t="str">
        <x:v>Sì</x:v>
      </x:c>
      <x:c r="Q127" s="83" t="str">
        <x:v>S01 storico; GME; Terna</x:v>
      </x:c>
      <x:c r="R127" s="83" t="str">
        <x:v>ENTSO-E/PyPSA-Eur</x:v>
      </x:c>
      <x:c r="S127" s="83" t="str">
        <x:v>Calibrare prima dei run futuri.</x:v>
      </x:c>
      <x:c r="T127" s="83" t="str">
        <x:v>Decisione proposta</x:v>
      </x:c>
      <x:c r="U127" s="83" t="str">
        <x:v>A-C</x:v>
      </x:c>
      <x:c r="V127" s="83" t="str">
        <x:v>D32</x:v>
      </x:c>
      <x:c r="W127" s="83" t="str">
        <x:v>Fase 7 prima dei run finali</x:v>
      </x:c>
      <x:c r="X127" s="83" t="str"/>
    </x:row>
    <x:row r="128">
      <x:c r="A128" s="83" t="str">
        <x:v>REQ-124</x:v>
      </x:c>
      <x:c r="B128" s="83" t="str">
        <x:v>Mercato e output</x:v>
      </x:c>
      <x:c r="C128" s="83" t="str">
        <x:v>Adeguatezza</x:v>
      </x:c>
      <x:c r="D128" s="83" t="str">
        <x:v>load_shedding_adequacy_outputs</x:v>
      </x:c>
      <x:c r="E128" s="83" t="str">
        <x:v>Ore ed energia di mancato servizio, picco e distribuzione.</x:v>
      </x:c>
      <x:c r="F128" s="83" t="str">
        <x:v>hours; MWh; MW</x:v>
      </x:c>
      <x:c r="G128" s="83" t="str">
        <x:v>2040; 2050</x:v>
      </x:c>
      <x:c r="H128" s="83" t="str">
        <x:v>Tutti</x:v>
      </x:c>
      <x:c r="I128" s="83" t="str">
        <x:v>Orario/annuale</x:v>
      </x:c>
      <x:c r="J128" s="83" t="str">
        <x:v>Zona</x:v>
      </x:c>
      <x:c r="K128" s="83" t="str">
        <x:v>Load shedding</x:v>
      </x:c>
      <x:c r="L128" s="83" t="str">
        <x:v>Generator output</x:v>
      </x:c>
      <x:c r="M128" s="83" t="str">
        <x:v>p</x:v>
      </x:c>
      <x:c r="N128" s="83" t="str">
        <x:v>Output</x:v>
      </x:c>
      <x:c r="O128" s="83" t="str">
        <x:v>Sì</x:v>
      </x:c>
      <x:c r="P128" s="83" t="str">
        <x:v>No</x:v>
      </x:c>
      <x:c r="Q128" s="83" t="str">
        <x:v>PyPSA outputs</x:v>
      </x:c>
      <x:c r="R128" s="83" t="str">
        <x:v>S03/Terna adequacy</x:v>
      </x:c>
      <x:c r="S128" s="83" t="str">
        <x:v>LOLE proxy e EENS dal load shedding.</x:v>
      </x:c>
      <x:c r="T128" s="83" t="str">
        <x:v>Definito</x:v>
      </x:c>
      <x:c r="U128" s="83" t="str">
        <x:v>A/B</x:v>
      </x:c>
      <x:c r="V128" s="83" t="str">
        <x:v>D28</x:v>
      </x:c>
      <x:c r="W128" s="83" t="str">
        <x:v>Fase 7</x:v>
      </x:c>
      <x:c r="X128" s="83" t="str"/>
    </x:row>
    <x:row r="129">
      <x:c r="A129" s="83" t="str">
        <x:v>REQ-125</x:v>
      </x:c>
      <x:c r="B129" s="83" t="str">
        <x:v>Mercato e output</x:v>
      </x:c>
      <x:c r="C129" s="83" t="str">
        <x:v>Duals</x:v>
      </x:c>
      <x:c r="D129" s="83" t="str">
        <x:v>shadow_prices</x:v>
      </x:c>
      <x:c r="E129" s="83" t="str">
        <x:v>Duali di vincoli di capacità, energia, rete e storage.</x:v>
      </x:c>
      <x:c r="F129" s="83" t="str">
        <x:v>EUR/MW or EUR/MWh</x:v>
      </x:c>
      <x:c r="G129" s="83" t="str">
        <x:v>2040; 2050</x:v>
      </x:c>
      <x:c r="H129" s="83" t="str">
        <x:v>Tutti</x:v>
      </x:c>
      <x:c r="I129" s="83" t="str">
        <x:v>Orario/annuale</x:v>
      </x:c>
      <x:c r="J129" s="83" t="str">
        <x:v>Asset/corridoio</x:v>
      </x:c>
      <x:c r="K129" s="83" t="str">
        <x:v>Tutte</x:v>
      </x:c>
      <x:c r="L129" s="83" t="str">
        <x:v>PyPSA outputs</x:v>
      </x:c>
      <x:c r="M129" s="83" t="str">
        <x:v>mu_*</x:v>
      </x:c>
      <x:c r="N129" s="83" t="str">
        <x:v>Output</x:v>
      </x:c>
      <x:c r="O129" s="83" t="str">
        <x:v>Desiderabile</x:v>
      </x:c>
      <x:c r="P129" s="83" t="str">
        <x:v>No</x:v>
      </x:c>
      <x:c r="Q129" s="83" t="str">
        <x:v>PyPSA official docs</x:v>
      </x:c>
      <x:c r="R129" s="83" t="str">
        <x:v>S03 cost-benefit context</x:v>
      </x:c>
      <x:c r="S129" s="83" t="str">
        <x:v>Usare per interpretare scarsità e congestione.</x:v>
      </x:c>
      <x:c r="T129" s="83" t="str">
        <x:v>Definito concettualmente</x:v>
      </x:c>
      <x:c r="U129" s="83" t="str">
        <x:v>A/B</x:v>
      </x:c>
      <x:c r="V129" s="83" t="str">
        <x:v>D29</x:v>
      </x:c>
      <x:c r="W129" s="83" t="str">
        <x:v>Fase 7</x:v>
      </x:c>
      <x:c r="X129" s="83" t="str"/>
    </x:row>
    <x:row r="130">
      <x:c r="A130" s="83" t="str">
        <x:v>REQ-126</x:v>
      </x:c>
      <x:c r="B130" s="83" t="str">
        <x:v>Mercato e output</x:v>
      </x:c>
      <x:c r="C130" s="83" t="str">
        <x:v>Solver</x:v>
      </x:c>
      <x:c r="D130" s="83" t="str">
        <x:v>solver_configuration</x:v>
      </x:c>
      <x:c r="E130" s="83" t="str">
        <x:v>Solver, gap, time limit, presolve e logging.</x:v>
      </x:c>
      <x:c r="F130" s="83" t="str">
        <x:v>text/number</x:v>
      </x:c>
      <x:c r="G130" s="83" t="str">
        <x:v>Tutti</x:v>
      </x:c>
      <x:c r="H130" s="83" t="str">
        <x:v>Tutti</x:v>
      </x:c>
      <x:c r="I130" s="83" t="str">
        <x:v>Statico</x:v>
      </x:c>
      <x:c r="J130" s="83" t="str">
        <x:v>Sistema</x:v>
      </x:c>
      <x:c r="K130" s="83" t="str">
        <x:v>Tutte</x:v>
      </x:c>
      <x:c r="L130" s="83" t="str">
        <x:v>Config</x:v>
      </x:c>
      <x:c r="M130" s="83" t="str">
        <x:v>solving.solver; options</x:v>
      </x:c>
      <x:c r="N130" s="83" t="str">
        <x:v>YAML</x:v>
      </x:c>
      <x:c r="O130" s="83" t="str">
        <x:v>Sì</x:v>
      </x:c>
      <x:c r="P130" s="83" t="str">
        <x:v>Sì</x:v>
      </x:c>
      <x:c r="Q130" s="83" t="str">
        <x:v>PyPSA-Eur config</x:v>
      </x:c>
      <x:c r="R130" s="83" t="str">
        <x:v>Project CLI repo</x:v>
      </x:c>
      <x:c r="S130" s="83" t="str">
        <x:v>Configurazione riproducibile.</x:v>
      </x:c>
      <x:c r="T130" s="83" t="str">
        <x:v>Da coordinare</x:v>
      </x:c>
      <x:c r="U130" s="83" t="str">
        <x:v>A</x:v>
      </x:c>
      <x:c r="V130" s="83" t="str">
        <x:v>D36</x:v>
      </x:c>
      <x:c r="W130" s="83" t="str">
        <x:v>Fase 7</x:v>
      </x:c>
      <x:c r="X130" s="83" t="str"/>
    </x:row>
    <x:row r="131">
      <x:c r="A131" s="83" t="str">
        <x:v>REQ-127</x:v>
      </x:c>
      <x:c r="B131" s="83" t="str">
        <x:v>Mercato e output</x:v>
      </x:c>
      <x:c r="C131" s="83" t="str">
        <x:v>Riproducibilità</x:v>
      </x:c>
      <x:c r="D131" s="83" t="str">
        <x:v>software_versions_seeds</x:v>
      </x:c>
      <x:c r="E131" s="83" t="str">
        <x:v>Versioni PyPSA, PyPSA-Eur, solver, dati e seed.</x:v>
      </x:c>
      <x:c r="F131" s="83" t="str">
        <x:v>text</x:v>
      </x:c>
      <x:c r="G131" s="83" t="str">
        <x:v>Tutti</x:v>
      </x:c>
      <x:c r="H131" s="83" t="str">
        <x:v>Tutti</x:v>
      </x:c>
      <x:c r="I131" s="83" t="str">
        <x:v>Statico</x:v>
      </x:c>
      <x:c r="J131" s="83" t="str">
        <x:v>Sistema</x:v>
      </x:c>
      <x:c r="K131" s="83" t="str">
        <x:v>Tutte</x:v>
      </x:c>
      <x:c r="L131" s="83" t="str">
        <x:v>Metadata</x:v>
      </x:c>
      <x:c r="M131" s="83" t="str">
        <x:v>version; git commit; solver version</x:v>
      </x:c>
      <x:c r="N131" s="83" t="str">
        <x:v>Manifest</x:v>
      </x:c>
      <x:c r="O131" s="83" t="str">
        <x:v>Sì</x:v>
      </x:c>
      <x:c r="P131" s="83" t="str">
        <x:v>No</x:v>
      </x:c>
      <x:c r="Q131" s="83" t="str">
        <x:v>Project CLI repo</x:v>
      </x:c>
      <x:c r="R131" s="83" t="str">
        <x:v>Environment lock</x:v>
      </x:c>
      <x:c r="S131" s="83" t="str">
        <x:v>Registrare in ogni run.</x:v>
      </x:c>
      <x:c r="T131" s="83" t="str">
        <x:v>Da coordinare</x:v>
      </x:c>
      <x:c r="U131" s="83" t="str">
        <x:v>A</x:v>
      </x:c>
      <x:c r="V131" s="83" t="str">
        <x:v>D36</x:v>
      </x:c>
      <x:c r="W131" s="83" t="str">
        <x:v>Fase 7</x:v>
      </x:c>
      <x:c r="X131" s="83" t="str"/>
    </x:row>
    <x:row r="132">
      <x:c r="A132" s="83" t="str">
        <x:v>REQ-128</x:v>
      </x:c>
      <x:c r="B132" s="83" t="str">
        <x:v>Mercato e output</x:v>
      </x:c>
      <x:c r="C132" s="83" t="str">
        <x:v>Sensitività</x:v>
      </x:c>
      <x:c r="D132" s="83" t="str">
        <x:v>sensitivity_matrix</x:v>
      </x:c>
      <x:c r="E132" s="83" t="str">
        <x:v>Set controllato di sensitività: meteo, rete, fuel/CO2, domanda, storage, nucleare, UC.</x:v>
      </x:c>
      <x:c r="F132" s="83" t="str">
        <x:v>matrix</x:v>
      </x:c>
      <x:c r="G132" s="83" t="str">
        <x:v>2040; 2050</x:v>
      </x:c>
      <x:c r="H132" s="83" t="str">
        <x:v>Sensitività</x:v>
      </x:c>
      <x:c r="I132" s="83" t="str">
        <x:v>Run-level</x:v>
      </x:c>
      <x:c r="J132" s="83" t="str">
        <x:v>Sistema</x:v>
      </x:c>
      <x:c r="K132" s="83" t="str">
        <x:v>Tutte</x:v>
      </x:c>
      <x:c r="L132" s="83" t="str">
        <x:v>Config/scenario</x:v>
      </x:c>
      <x:c r="M132" s="83" t="str">
        <x:v>scenario overrides</x:v>
      </x:c>
      <x:c r="N132" s="83" t="str">
        <x:v>Matrice scenari</x:v>
      </x:c>
      <x:c r="O132" s="83" t="str">
        <x:v>Sì</x:v>
      </x:c>
      <x:c r="P132" s="83" t="str">
        <x:v>Sì</x:v>
      </x:c>
      <x:c r="Q132" s="83" t="str">
        <x:v>Piano operativo</x:v>
      </x:c>
      <x:c r="R132" s="83" t="str">
        <x:v>Evidenza Fasi 3-4</x:v>
      </x:c>
      <x:c r="S132" s="83" t="str">
        <x:v>Una variabile principale per volta oltre ai casi combinati.</x:v>
      </x:c>
      <x:c r="T132" s="83" t="str">
        <x:v>Da definire</x:v>
      </x:c>
      <x:c r="U132" s="83" t="str">
        <x:v>A-C</x:v>
      </x:c>
      <x:c r="V132" s="83" t="str">
        <x:v>D33</x:v>
      </x:c>
      <x:c r="W132" s="83" t="str">
        <x:v>Fase 4</x:v>
      </x:c>
      <x:c r="X132" s="83" t="str"/>
    </x:row>
    <x:row r="133">
      <x:c r="A133" s="83" t="str">
        <x:v>REQ-129</x:v>
      </x:c>
      <x:c r="B133" s="83" t="str">
        <x:v>Mercato e output</x:v>
      </x:c>
      <x:c r="C133" s="83" t="str">
        <x:v>QA</x:v>
      </x:c>
      <x:c r="D133" s="83" t="str">
        <x:v>energy_balance_checks</x:v>
      </x:c>
      <x:c r="E133" s="83" t="str">
        <x:v>Controlli di bilancio, capacità, unità, profili e doppio conteggio.</x:v>
      </x:c>
      <x:c r="F133" s="83" t="str">
        <x:v>boolean/error</x:v>
      </x:c>
      <x:c r="G133" s="83" t="str">
        <x:v>Tutti</x:v>
      </x:c>
      <x:c r="H133" s="83" t="str">
        <x:v>Tutti</x:v>
      </x:c>
      <x:c r="I133" s="83" t="str">
        <x:v>Orario/annuale</x:v>
      </x:c>
      <x:c r="J133" s="83" t="str">
        <x:v>Zona/sistema</x:v>
      </x:c>
      <x:c r="K133" s="83" t="str">
        <x:v>Tutte</x:v>
      </x:c>
      <x:c r="L133" s="83" t="str">
        <x:v>QA/post-processing</x:v>
      </x:c>
      <x:c r="M133" s="83" t="str">
        <x:v>balance residuals</x:v>
      </x:c>
      <x:c r="N133" s="83" t="str">
        <x:v>Checklist e formule</x:v>
      </x:c>
      <x:c r="O133" s="83" t="str">
        <x:v>Sì</x:v>
      </x:c>
      <x:c r="P133" s="83" t="str">
        <x:v>No</x:v>
      </x:c>
      <x:c r="Q133" s="83" t="str">
        <x:v>Piano operativo</x:v>
      </x:c>
      <x:c r="R133" s="83" t="str">
        <x:v>PyPSA consistency checks</x:v>
      </x:c>
      <x:c r="S133" s="83" t="str">
        <x:v>Tolleranze esplicite.</x:v>
      </x:c>
      <x:c r="T133" s="83" t="str">
        <x:v>Definito</x:v>
      </x:c>
      <x:c r="U133" s="83" t="str">
        <x:v>A</x:v>
      </x:c>
      <x:c r="V133" s="83" t="str">
        <x:v>D34</x:v>
      </x:c>
      <x:c r="W133" s="83" t="str">
        <x:v>Continuo/Fase 7</x:v>
      </x:c>
      <x:c r="X133" s="83" t="str"/>
    </x:row>
    <x:row r="134">
      <x:c r="A134" s="83" t="str">
        <x:v>REQ-130</x:v>
      </x:c>
      <x:c r="B134" s="83" t="str">
        <x:v>Costi di contesto</x:v>
      </x:c>
      <x:c r="C134" s="83" t="str">
        <x:v>Investimenti</x:v>
      </x:c>
      <x:c r="D134" s="83" t="str">
        <x:v>capex</x:v>
      </x:c>
      <x:c r="E134" s="83" t="str">
        <x:v>Costo di investimento per tecnologia.</x:v>
      </x:c>
      <x:c r="F134" s="83" t="str">
        <x:v>EUR/MW or EUR/MWh</x:v>
      </x:c>
      <x:c r="G134" s="83" t="str">
        <x:v>2040; 2050</x:v>
      </x:c>
      <x:c r="H134" s="83" t="str">
        <x:v>Tutti</x:v>
      </x:c>
      <x:c r="I134" s="83" t="str">
        <x:v>Statico</x:v>
      </x:c>
      <x:c r="J134" s="83" t="str">
        <x:v>Tecnologia</x:v>
      </x:c>
      <x:c r="K134" s="83" t="str">
        <x:v>Generazione; storage; rete</x:v>
      </x:c>
      <x:c r="L134" s="83" t="str">
        <x:v>Generator/Link/Store (non usato nel base)</x:v>
      </x:c>
      <x:c r="M134" s="83" t="str">
        <x:v>capital_cost/overnight_cost (solo metadata o zero nell'objective base)</x:v>
      </x:c>
      <x:c r="N134" s="83" t="str">
        <x:v>Valore normalizzato</x:v>
      </x:c>
      <x:c r="O134" s="83" t="str">
        <x:v>Desiderabile</x:v>
      </x:c>
      <x:c r="P134" s="83" t="str">
        <x:v>No</x:v>
      </x:c>
      <x:c r="Q134" s="83" t="str">
        <x:v>S07; S08</x:v>
      </x:c>
      <x:c r="R134" s="83" t="str">
        <x:v>PyPSA technology-data; JRC/DEA</x:v>
      </x:c>
      <x:c r="S134" s="83" t="str">
        <x:v>Raccogliere per contesto e future extension.</x:v>
      </x:c>
      <x:c r="T134" s="83" t="str">
        <x:v>Gap parziale</x:v>
      </x:c>
      <x:c r="U134" s="83" t="str">
        <x:v>B-D</x:v>
      </x:c>
      <x:c r="V134" s="83" t="str">
        <x:v>D35</x:v>
      </x:c>
      <x:c r="W134" s="83" t="str">
        <x:v>Fase 3D</x:v>
      </x:c>
      <x:c r="X134" s="83" t="str"/>
    </x:row>
    <x:row r="135">
      <x:c r="A135" s="83" t="str">
        <x:v>REQ-131</x:v>
      </x:c>
      <x:c r="B135" s="83" t="str">
        <x:v>Costi di contesto</x:v>
      </x:c>
      <x:c r="C135" s="83" t="str">
        <x:v>O&amp;M fisso</x:v>
      </x:c>
      <x:c r="D135" s="83" t="str">
        <x:v>fixed_om</x:v>
      </x:c>
      <x:c r="E135" s="83" t="str">
        <x:v>Costo fisso annuale.</x:v>
      </x:c>
      <x:c r="F135" s="83" t="str">
        <x:v>EUR/MW/year</x:v>
      </x:c>
      <x:c r="G135" s="83" t="str">
        <x:v>2040; 2050</x:v>
      </x:c>
      <x:c r="H135" s="83" t="str">
        <x:v>Tutti</x:v>
      </x:c>
      <x:c r="I135" s="83" t="str">
        <x:v>Statico</x:v>
      </x:c>
      <x:c r="J135" s="83" t="str">
        <x:v>Tecnologia</x:v>
      </x:c>
      <x:c r="K135" s="83" t="str">
        <x:v>Generazione; storage; rete</x:v>
      </x:c>
      <x:c r="L135" s="83" t="str">
        <x:v>Generator/Link/Store (contesto)</x:v>
      </x:c>
      <x:c r="M135" s="83" t="str">
        <x:v>fom_cost or metadata</x:v>
      </x:c>
      <x:c r="N135" s="83" t="str">
        <x:v>Valore</x:v>
      </x:c>
      <x:c r="O135" s="83" t="str">
        <x:v>Desiderabile</x:v>
      </x:c>
      <x:c r="P135" s="83" t="str">
        <x:v>No</x:v>
      </x:c>
      <x:c r="Q135" s="83" t="str">
        <x:v>S07; S08</x:v>
      </x:c>
      <x:c r="R135" s="83" t="str">
        <x:v>PyPSA technology-data; JRC/DEA</x:v>
      </x:c>
      <x:c r="S135" s="83" t="str">
        <x:v>Non deve alterare dispatch con capacità fisse.</x:v>
      </x:c>
      <x:c r="T135" s="83" t="str">
        <x:v>Gap</x:v>
      </x:c>
      <x:c r="U135" s="83" t="str">
        <x:v>B-D</x:v>
      </x:c>
      <x:c r="V135" s="83" t="str">
        <x:v>D35</x:v>
      </x:c>
      <x:c r="W135" s="83" t="str">
        <x:v>Fase 3D</x:v>
      </x:c>
      <x:c r="X135" s="83" t="str"/>
    </x:row>
    <x:row r="136">
      <x:c r="A136" s="83" t="str">
        <x:v>REQ-132</x:v>
      </x:c>
      <x:c r="B136" s="83" t="str">
        <x:v>Costi di contesto</x:v>
      </x:c>
      <x:c r="C136" s="83" t="str">
        <x:v>Vita tecnica</x:v>
      </x:c>
      <x:c r="D136" s="83" t="str">
        <x:v>lifetime</x:v>
      </x:c>
      <x:c r="E136" s="83" t="str">
        <x:v>Vita tecnica degli asset.</x:v>
      </x:c>
      <x:c r="F136" s="83" t="str">
        <x:v>years</x:v>
      </x:c>
      <x:c r="G136" s="83" t="str">
        <x:v>2040; 2050</x:v>
      </x:c>
      <x:c r="H136" s="83" t="str">
        <x:v>Tutti</x:v>
      </x:c>
      <x:c r="I136" s="83" t="str">
        <x:v>Statico</x:v>
      </x:c>
      <x:c r="J136" s="83" t="str">
        <x:v>Tecnologia</x:v>
      </x:c>
      <x:c r="K136" s="83" t="str">
        <x:v>Tutte</x:v>
      </x:c>
      <x:c r="L136" s="83" t="str">
        <x:v>Generator/Link/Store</x:v>
      </x:c>
      <x:c r="M136" s="83" t="str">
        <x:v>lifetime</x:v>
      </x:c>
      <x:c r="N136" s="83" t="str">
        <x:v>Valore</x:v>
      </x:c>
      <x:c r="O136" s="83" t="str">
        <x:v>Desiderabile</x:v>
      </x:c>
      <x:c r="P136" s="83" t="str">
        <x:v>No</x:v>
      </x:c>
      <x:c r="Q136" s="83" t="str">
        <x:v>S07 se disponibile</x:v>
      </x:c>
      <x:c r="R136" s="83" t="str">
        <x:v>PyPSA technology-data; JRC/DEA</x:v>
      </x:c>
      <x:c r="S136" s="83" t="str">
        <x:v>Contesto e controllo status asset.</x:v>
      </x:c>
      <x:c r="T136" s="83" t="str">
        <x:v>Gap</x:v>
      </x:c>
      <x:c r="U136" s="83" t="str">
        <x:v>B-D</x:v>
      </x:c>
      <x:c r="V136" s="83" t="str">
        <x:v>D35</x:v>
      </x:c>
      <x:c r="W136" s="83" t="str">
        <x:v>Fase 3D</x:v>
      </x:c>
      <x:c r="X136" s="83" t="str"/>
    </x:row>
    <x:row r="137">
      <x:c r="A137" s="83" t="str">
        <x:v>REQ-133</x:v>
      </x:c>
      <x:c r="B137" s="83" t="str">
        <x:v>Costi di contesto</x:v>
      </x:c>
      <x:c r="C137" s="83" t="str">
        <x:v>Finanza</x:v>
      </x:c>
      <x:c r="D137" s="83" t="str">
        <x:v>discount_rate_wacc</x:v>
      </x:c>
      <x:c r="E137" s="83" t="str">
        <x:v>Tasso di sconto/WACC per annualizzazione.</x:v>
      </x:c>
      <x:c r="F137" s="83" t="str">
        <x:v>p.u.</x:v>
      </x:c>
      <x:c r="G137" s="83" t="str">
        <x:v>2040; 2050</x:v>
      </x:c>
      <x:c r="H137" s="83" t="str">
        <x:v>Tutti</x:v>
      </x:c>
      <x:c r="I137" s="83" t="str">
        <x:v>Statico</x:v>
      </x:c>
      <x:c r="J137" s="83" t="str">
        <x:v>Tecnologia/sistema</x:v>
      </x:c>
      <x:c r="K137" s="83" t="str">
        <x:v>Tutte</x:v>
      </x:c>
      <x:c r="L137" s="83" t="str">
        <x:v>Cost preprocessing</x:v>
      </x:c>
      <x:c r="M137" s="83" t="str">
        <x:v>discount_rate</x:v>
      </x:c>
      <x:c r="N137" s="83" t="str">
        <x:v>Valore</x:v>
      </x:c>
      <x:c r="O137" s="83" t="str">
        <x:v>Desiderabile</x:v>
      </x:c>
      <x:c r="P137" s="83" t="str">
        <x:v>No</x:v>
      </x:c>
      <x:c r="Q137" s="83" t="str">
        <x:v>S07/S08 se disponibili</x:v>
      </x:c>
      <x:c r="R137" s="83" t="str">
        <x:v>PyPSA technology-data/official assumptions</x:v>
      </x:c>
      <x:c r="S137" s="83" t="str">
        <x:v>Solo contesto nel dispatch-only.</x:v>
      </x:c>
      <x:c r="T137" s="83" t="str">
        <x:v>Gap</x:v>
      </x:c>
      <x:c r="U137" s="83" t="str">
        <x:v>B-D</x:v>
      </x:c>
      <x:c r="V137" s="83" t="str">
        <x:v>D35</x:v>
      </x:c>
      <x:c r="W137" s="83" t="str">
        <x:v>Fase 3D</x:v>
      </x:c>
      <x:c r="X137" s="83" t="str"/>
    </x:row>
    <x:row r="138">
      <x:c r="A138" s="83" t="str">
        <x:v>REQ-134</x:v>
      </x:c>
      <x:c r="B138" s="83" t="str">
        <x:v>Costi di contesto</x:v>
      </x:c>
      <x:c r="C138" s="83" t="str">
        <x:v>Controllo objective</x:v>
      </x:c>
      <x:c r="D138" s="83" t="str">
        <x:v>exclude_fixed_costs_from_dispatch_objective</x:v>
      </x:c>
      <x:c r="E138" s="83" t="str">
        <x:v>Regola che impedisce a CAPEX/FOM di influenzare il caso base a capacità fisse.</x:v>
      </x:c>
      <x:c r="F138" s="83" t="str">
        <x:v>boolean</x:v>
      </x:c>
      <x:c r="G138" s="83" t="str">
        <x:v>2040; 2050</x:v>
      </x:c>
      <x:c r="H138" s="83" t="str">
        <x:v>Base</x:v>
      </x:c>
      <x:c r="I138" s="83" t="str">
        <x:v>Statico</x:v>
      </x:c>
      <x:c r="J138" s="83" t="str">
        <x:v>Sistema</x:v>
      </x:c>
      <x:c r="K138" s="83" t="str">
        <x:v>Tutte</x:v>
      </x:c>
      <x:c r="L138" s="83" t="str">
        <x:v>Generator/Link/Store/StorageUnit</x:v>
      </x:c>
      <x:c r="M138" s="83" t="str">
        <x:v>capital_cost/fom_cost handling</x:v>
      </x:c>
      <x:c r="N138" s="83" t="str">
        <x:v>Regola implementativa</x:v>
      </x:c>
      <x:c r="O138" s="83" t="str">
        <x:v>Sì</x:v>
      </x:c>
      <x:c r="P138" s="83" t="str">
        <x:v>Sì</x:v>
      </x:c>
      <x:c r="Q138" s="83" t="str">
        <x:v>Consegna progetto</x:v>
      </x:c>
      <x:c r="R138" s="83" t="str">
        <x:v>PyPSA docs</x:v>
      </x:c>
      <x:c r="S138" s="83" t="str">
        <x:v>Impostare zero o verificare che non entrino con capacità non estendibili; conservare in metadata.</x:v>
      </x:c>
      <x:c r="T138" s="83" t="str">
        <x:v>Definito</x:v>
      </x:c>
      <x:c r="U138" s="83" t="str">
        <x:v>A</x:v>
      </x:c>
      <x:c r="V138" s="83" t="str">
        <x:v>D01</x:v>
      </x:c>
      <x:c r="W138" s="83" t="str">
        <x:v>Fase 7</x:v>
      </x:c>
      <x:c r="X138" s="83" t="str"/>
    </x:row>
  </x:sheetData>
  <x:mergeCells>
    <x:mergeCell ref="A1:X1"/>
    <x:mergeCell ref="A2:X2"/>
  </x:mergeCells>
  <x:conditionalFormatting sqref="P5:P138">
    <x:cfRule type="expression" dxfId="13" priority="1">
      <x:formula>P5="Sì"</x:formula>
    </x:cfRule>
  </x:conditionalFormatting>
  <x:conditionalFormatting sqref="T5:T138">
    <x:cfRule type="expression" dxfId="14" priority="2">
      <x:formula>ISNUMBER(SEARCH("Gap",T5))</x:formula>
    </x:cfRule>
    <x:cfRule type="expression" dxfId="15" priority="3">
      <x:formula>ISNUMBER(SEARCH("Decision",T5))</x:formula>
    </x:cfRule>
    <x:cfRule type="expression" dxfId="16" priority="4">
      <x:formula>ISNUMBER(SEARCH("Definito",T5))</x:formula>
    </x:cfRule>
  </x:conditionalFormatting>
  <x:dataValidations count="3">
    <x:dataValidation type="list" sqref="O5:O138">
      <x:formula1>99_LISTS!$A$2:$A$12</x:formula1>
    </x:dataValidation>
    <x:dataValidation type="list" sqref="P5:P138">
      <x:formula1>99_LISTS!$B$2:$B$3</x:formula1>
    </x:dataValidation>
    <x:dataValidation type="list" sqref="U5:U138">
      <x:formula1>99_LISTS!$D$2:$D$11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c8c682a365418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0" hidden="0" customWidth="1"/>
    <x:col min="4" max="4" width="26" hidden="0" customWidth="1"/>
    <x:col min="5" max="5" width="18" hidden="0" customWidth="1"/>
    <x:col min="6" max="6" width="50" hidden="0" customWidth="1"/>
    <x:col min="7" max="7" width="18" hidden="0" customWidth="1"/>
    <x:col min="8" max="8" width="34" hidden="0" customWidth="1"/>
    <x:col min="9" max="9" width="46" hidden="0" customWidth="1"/>
    <x:col min="10" max="10" width="48" hidden="0" customWidth="1"/>
    <x:col min="11" max="11" width="34" hidden="0" customWidth="1"/>
    <x:col min="12" max="12" width="14" hidden="0" customWidth="1"/>
    <x:col min="13" max="13" width="44" hidden="0" customWidth="1"/>
    <x:col min="14" max="14" width="48" hidden="0" customWidth="1"/>
    <x:col min="15" max="15" width="26" hidden="0" customWidth="1"/>
  </x:cols>
  <x:sheetData>
    <x:row r="1" ht="34" customHeight="1">
      <x:c r="A1" s="97" t="str">
        <x:v>Crosswalk degli input verso PyPSA/PyPSA-Eur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</x:row>
    <x:row r="2" ht="30" customHeight="1">
      <x:c r="A2" s="101" t="str">
        <x:v>Semantica verificata contro la documentazione ufficiale corrente; il commit del progetto CLI prevale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</x:row>
    <x:row r="4" ht="38" customHeight="1">
      <x:c r="A4" s="119" t="str">
        <x:v>Map ID</x:v>
      </x:c>
      <x:c r="B4" s="119" t="str">
        <x:v>Blocco input</x:v>
      </x:c>
      <x:c r="C4" s="119" t="str">
        <x:v>Concetto</x:v>
      </x:c>
      <x:c r="D4" s="119" t="str">
        <x:v>Componente PyPSA</x:v>
      </x:c>
      <x:c r="E4" s="119" t="str">
        <x:v>Statico / serie</x:v>
      </x:c>
      <x:c r="F4" s="119" t="str">
        <x:v>Campo/i</x:v>
      </x:c>
      <x:c r="G4" s="119" t="str">
        <x:v>Unità</x:v>
      </x:c>
      <x:c r="H4" s="119" t="str">
        <x:v>Convenzione segno</x:v>
      </x:c>
      <x:c r="I4" s="119" t="str">
        <x:v>Trattamento dispatch-only</x:v>
      </x:c>
      <x:c r="J4" s="119" t="str">
        <x:v>Trasformazione</x:v>
      </x:c>
      <x:c r="K4" s="119" t="str">
        <x:v>Fonte prevista</x:v>
      </x:c>
      <x:c r="L4" s="119" t="str">
        <x:v>Decision ID</x:v>
      </x:c>
      <x:c r="M4" s="119" t="str">
        <x:v>Controllo QA</x:v>
      </x:c>
      <x:c r="N4" s="119" t="str">
        <x:v>Documentazione ufficiale</x:v>
      </x:c>
      <x:c r="O4" s="119" t="str">
        <x:v>Stato</x:v>
      </x:c>
    </x:row>
    <x:row r="5">
      <x:c r="A5" s="83" t="str">
        <x:v>MAP-001</x:v>
      </x:c>
      <x:c r="B5" s="83" t="str">
        <x:v>Scenario</x:v>
      </x:c>
      <x:c r="C5" s="83" t="str">
        <x:v>Snapshot index</x:v>
      </x:c>
      <x:c r="D5" s="83" t="str">
        <x:v>Network</x:v>
      </x:c>
      <x:c r="E5" s="83" t="str">
        <x:v>Time series</x:v>
      </x:c>
      <x:c r="F5" s="83" t="str">
        <x:v>snapshots</x:v>
      </x:c>
      <x:c r="G5" s="83" t="str">
        <x:v>datetime</x:v>
      </x:c>
      <x:c r="H5" s="83" t="str">
        <x:v>Monotonic index; no duplicates</x:v>
      </x:c>
      <x:c r="I5" s="83" t="str">
        <x:v>Full-year hourly base</x:v>
      </x:c>
      <x:c r="J5" s="83" t="str">
        <x:v>Create timezone-consistent datetime index</x:v>
      </x:c>
      <x:c r="K5" s="83" t="str">
        <x:v>Project CLI + Terna profiles</x:v>
      </x:c>
      <x:c r="L5" s="83" t="str">
        <x:v>D04</x:v>
      </x:c>
      <x:c r="M5" s="83" t="str">
        <x:v>8760/8784 rows and no gaps</x:v>
      </x:c>
      <x:c r="N5" s="120" t="str">
        <x:v>https://pypsa-eur.readthedocs.io/en/latest/configuration.html</x:v>
      </x:c>
      <x:c r="O5" s="83" t="str">
        <x:v>Ready for data extraction</x:v>
      </x:c>
    </x:row>
    <x:row r="6">
      <x:c r="A6" s="83" t="str">
        <x:v>MAP-002</x:v>
      </x:c>
      <x:c r="B6" s="83" t="str">
        <x:v>Scenario</x:v>
      </x:c>
      <x:c r="C6" s="83" t="str">
        <x:v>Snapshot weights</x:v>
      </x:c>
      <x:c r="D6" s="83" t="str">
        <x:v>Network</x:v>
      </x:c>
      <x:c r="E6" s="83" t="str">
        <x:v>Time series</x:v>
      </x:c>
      <x:c r="F6" s="83" t="str">
        <x:v>snapshot_weightings</x:v>
      </x:c>
      <x:c r="G6" s="83" t="str">
        <x:v>hours</x:v>
      </x:c>
      <x:c r="H6" s="83" t="str">
        <x:v>Positive weights</x:v>
      </x:c>
      <x:c r="I6" s="83" t="str">
        <x:v>Set to 1 for hourly full year</x:v>
      </x:c>
      <x:c r="J6" s="83" t="str">
        <x:v>Assign objective/generator/store weights consistently</x:v>
      </x:c>
      <x:c r="K6" s="83" t="str">
        <x:v>Project CLI</x:v>
      </x:c>
      <x:c r="L6" s="83" t="str">
        <x:v>D04</x:v>
      </x:c>
      <x:c r="M6" s="83" t="str">
        <x:v>Annual sums equal unweighted hourly sums</x:v>
      </x:c>
      <x:c r="N6" s="120" t="str">
        <x:v>https://pypsa-eur.readthedocs.io/en/latest/configuration.html</x:v>
      </x:c>
      <x:c r="O6" s="83" t="str">
        <x:v>Ready for data extraction</x:v>
      </x:c>
    </x:row>
    <x:row r="7">
      <x:c r="A7" s="83" t="str">
        <x:v>MAP-003</x:v>
      </x:c>
      <x:c r="B7" s="83" t="str">
        <x:v>Geography</x:v>
      </x:c>
      <x:c r="C7" s="83" t="str">
        <x:v>Italian/foreign market nodes</x:v>
      </x:c>
      <x:c r="D7" s="83" t="str">
        <x:v>Bus</x:v>
      </x:c>
      <x:c r="E7" s="83" t="str">
        <x:v>Static</x:v>
      </x:c>
      <x:c r="F7" s="83" t="str">
        <x:v>name; carrier; country; x; y</x:v>
      </x:c>
      <x:c r="G7" s="83" t="str">
        <x:v>text/degrees</x:v>
      </x:c>
      <x:c r="H7" s="83" t="str">
        <x:v>One bus per modeled zone in transport base</x:v>
      </x:c>
      <x:c r="I7" s="83" t="str">
        <x:v>Fixed topology</x:v>
      </x:c>
      <x:c r="J7" s="83" t="str">
        <x:v>Create buses and mapping table</x:v>
      </x:c>
      <x:c r="K7" s="83" t="str">
        <x:v>S01/S03/S05 + PyPSA-Eur</x:v>
      </x:c>
      <x:c r="L7" s="83" t="str">
        <x:v>D01;D02;D03</x:v>
      </x:c>
      <x:c r="M7" s="83" t="str">
        <x:v>Every asset maps to one valid bus</x:v>
      </x:c>
      <x:c r="N7" s="120" t="str">
        <x:v>https://docs.pypsa.org/latest/user-guide/components/buses/</x:v>
      </x:c>
      <x:c r="O7" s="83" t="str">
        <x:v>Ready for data extraction</x:v>
      </x:c>
    </x:row>
    <x:row r="8">
      <x:c r="A8" s="83" t="str">
        <x:v>MAP-004</x:v>
      </x:c>
      <x:c r="B8" s="83" t="str">
        <x:v>Demand</x:v>
      </x:c>
      <x:c r="C8" s="83" t="str">
        <x:v>Fixed hourly demand</x:v>
      </x:c>
      <x:c r="D8" s="83" t="str">
        <x:v>Load</x:v>
      </x:c>
      <x:c r="E8" s="83" t="str">
        <x:v>Time series</x:v>
      </x:c>
      <x:c r="F8" s="83" t="str">
        <x:v>bus; p_set</x:v>
      </x:c>
      <x:c r="G8" s="83" t="str">
        <x:v>MW</x:v>
      </x:c>
      <x:c r="H8" s="83" t="str">
        <x:v>Positive consumption</x:v>
      </x:c>
      <x:c r="I8" s="83" t="str">
        <x:v>Exogenous inelastic load</x:v>
      </x:c>
      <x:c r="J8" s="83" t="str">
        <x:v>Scale normalized profiles to annual zonal totals</x:v>
      </x:c>
      <x:c r="K8" s="83" t="str">
        <x:v>S01/S07/S08 + Terna/PyPSA-Eur profiles</x:v>
      </x:c>
      <x:c r="L8" s="83" t="str">
        <x:v>D06;D08</x:v>
      </x:c>
      <x:c r="M8" s="83" t="str">
        <x:v>Sum p_set × weights matches annual demand</x:v>
      </x:c>
      <x:c r="N8" s="120" t="str">
        <x:v>https://docs.pypsa.org/latest/user-guide/components/loads/</x:v>
      </x:c>
      <x:c r="O8" s="83" t="str">
        <x:v>Ready for data extraction</x:v>
      </x:c>
    </x:row>
    <x:row r="9">
      <x:c r="A9" s="83" t="str">
        <x:v>MAP-005</x:v>
      </x:c>
      <x:c r="B9" s="83" t="str">
        <x:v>Demand</x:v>
      </x:c>
      <x:c r="C9" s="83" t="str">
        <x:v>Sector-specific/new loads</x:v>
      </x:c>
      <x:c r="D9" s="83" t="str">
        <x:v>Load</x:v>
      </x:c>
      <x:c r="E9" s="83" t="str">
        <x:v>Static + time series</x:v>
      </x:c>
      <x:c r="F9" s="83" t="str">
        <x:v>carrier; bus; p_set</x:v>
      </x:c>
      <x:c r="G9" s="83" t="str">
        <x:v>MW</x:v>
      </x:c>
      <x:c r="H9" s="83" t="str">
        <x:v>Positive consumption</x:v>
      </x:c>
      <x:c r="I9" s="83" t="str">
        <x:v>Separate components where shape/flex differs</x:v>
      </x:c>
      <x:c r="J9" s="83" t="str">
        <x:v>Build one Load per zone-sector</x:v>
      </x:c>
      <x:c r="K9" s="83" t="str">
        <x:v>S04/S07/S08 + external profiles</x:v>
      </x:c>
      <x:c r="L9" s="83" t="str">
        <x:v>D07</x:v>
      </x:c>
      <x:c r="M9" s="83" t="str">
        <x:v>Sector sums reconcile to total</x:v>
      </x:c>
      <x:c r="N9" s="120" t="str">
        <x:v>https://docs.pypsa.org/latest/user-guide/components/loads/</x:v>
      </x:c>
      <x:c r="O9" s="83" t="str">
        <x:v>Ready for data extraction</x:v>
      </x:c>
    </x:row>
    <x:row r="10">
      <x:c r="A10" s="83" t="str">
        <x:v>MAP-006</x:v>
      </x:c>
      <x:c r="B10" s="83" t="str">
        <x:v>Demand</x:v>
      </x:c>
      <x:c r="C10" s="83" t="str">
        <x:v>Load shedding</x:v>
      </x:c>
      <x:c r="D10" s="83" t="str">
        <x:v>Generator</x:v>
      </x:c>
      <x:c r="E10" s="83" t="str">
        <x:v>Static + output</x:v>
      </x:c>
      <x:c r="F10" s="83" t="str">
        <x:v>bus; carrier; p_nom; marginal_cost; p_nom_extendable=False</x:v>
      </x:c>
      <x:c r="G10" s="83" t="str">
        <x:v>MW; EUR/MWh</x:v>
      </x:c>
      <x:c r="H10" s="83" t="str">
        <x:v>Positive generation replaces unserved load</x:v>
      </x:c>
      <x:c r="I10" s="83" t="str">
        <x:v>Virtual generator with high finite cost</x:v>
      </x:c>
      <x:c r="J10" s="83" t="str">
        <x:v>p_nom at least zonal peak; cost=VOLL</x:v>
      </x:c>
      <x:c r="K10" s="83" t="str">
        <x:v>Terna adequacy + PyPSA market examples</x:v>
      </x:c>
      <x:c r="L10" s="83" t="str">
        <x:v>D28</x:v>
      </x:c>
      <x:c r="M10" s="83" t="str">
        <x:v>Zero dispatch in normal cases; EENS reported</x:v>
      </x:c>
      <x:c r="N10" s="120" t="str">
        <x:v>https://docs.pypsa.org/latest/examples/simple-electricity-market-examples/</x:v>
      </x:c>
      <x:c r="O10" s="83" t="str">
        <x:v>Ready for data extraction</x:v>
      </x:c>
    </x:row>
    <x:row r="11">
      <x:c r="A11" s="83" t="str">
        <x:v>MAP-007</x:v>
      </x:c>
      <x:c r="B11" s="83" t="str">
        <x:v>Generation</x:v>
      </x:c>
      <x:c r="C11" s="83" t="str">
        <x:v>Fixed dispatchable capacity</x:v>
      </x:c>
      <x:c r="D11" s="83" t="str">
        <x:v>Generator</x:v>
      </x:c>
      <x:c r="E11" s="83" t="str">
        <x:v>Static</x:v>
      </x:c>
      <x:c r="F11" s="83" t="str">
        <x:v>bus; carrier; p_nom; p_nom_extendable=False</x:v>
      </x:c>
      <x:c r="G11" s="83" t="str">
        <x:v>MW</x:v>
      </x:c>
      <x:c r="H11" s="83" t="str">
        <x:v>p&gt;0 generation</x:v>
      </x:c>
      <x:c r="I11" s="83" t="str">
        <x:v>Capacity exogenous</x:v>
      </x:c>
      <x:c r="J11" s="83" t="str">
        <x:v>Load harmonized capacity by zone/cohort</x:v>
      </x:c>
      <x:c r="K11" s="83" t="str">
        <x:v>S01/S07/S08/DDS/Gaudì</x:v>
      </x:c>
      <x:c r="L11" s="83" t="str">
        <x:v>D09</x:v>
      </x:c>
      <x:c r="M11" s="83" t="str">
        <x:v>Sum by tech/zone equals scenario totals</x:v>
      </x:c>
      <x:c r="N11" s="120" t="str">
        <x:v>https://docs.pypsa.org/latest/user-guide/components/generators/</x:v>
      </x:c>
      <x:c r="O11" s="83" t="str">
        <x:v>Ready for data extraction</x:v>
      </x:c>
    </x:row>
    <x:row r="12">
      <x:c r="A12" s="83" t="str">
        <x:v>MAP-008</x:v>
      </x:c>
      <x:c r="B12" s="83" t="str">
        <x:v>Generation</x:v>
      </x:c>
      <x:c r="C12" s="83" t="str">
        <x:v>Variable renewable capacity</x:v>
      </x:c>
      <x:c r="D12" s="83" t="str">
        <x:v>Generator</x:v>
      </x:c>
      <x:c r="E12" s="83" t="str">
        <x:v>Static + time series</x:v>
      </x:c>
      <x:c r="F12" s="83" t="str">
        <x:v>p_nom; p_max_pu; p_min_pu=0; marginal_cost</x:v>
      </x:c>
      <x:c r="G12" s="83" t="str">
        <x:v>MW; p.u.; EUR/MWh</x:v>
      </x:c>
      <x:c r="H12" s="83" t="str">
        <x:v>p&gt;=0</x:v>
      </x:c>
      <x:c r="I12" s="83" t="str">
        <x:v>Curtailable variable generator</x:v>
      </x:c>
      <x:c r="J12" s="83" t="str">
        <x:v>Use atlite/PyPSA profiles and scenario p_nom</x:v>
      </x:c>
      <x:c r="K12" s="83" t="str">
        <x:v>S01/S07/S08 + PyPSA-Eur/atlite</x:v>
      </x:c>
      <x:c r="L12" s="83" t="str">
        <x:v>D05;D14</x:v>
      </x:c>
      <x:c r="M12" s="83" t="str">
        <x:v>0&lt;=p_max_pu&lt;=1; annual CF plausible</x:v>
      </x:c>
      <x:c r="N12" s="120" t="str">
        <x:v>https://docs.pypsa.org/latest/user-guide/components/generators/</x:v>
      </x:c>
      <x:c r="O12" s="83" t="str">
        <x:v>Ready for data extraction</x:v>
      </x:c>
    </x:row>
    <x:row r="13">
      <x:c r="A13" s="83" t="str">
        <x:v>MAP-009</x:v>
      </x:c>
      <x:c r="B13" s="83" t="str">
        <x:v>Generation</x:v>
      </x:c>
      <x:c r="C13" s="83" t="str">
        <x:v>Conventional availability</x:v>
      </x:c>
      <x:c r="D13" s="83" t="str">
        <x:v>Generator</x:v>
      </x:c>
      <x:c r="E13" s="83" t="str">
        <x:v>Time series/static</x:v>
      </x:c>
      <x:c r="F13" s="83" t="str">
        <x:v>p_max_pu</x:v>
      </x:c>
      <x:c r="G13" s="83" t="str">
        <x:v>p.u.</x:v>
      </x:c>
      <x:c r="H13" s="83" t="str">
        <x:v>Upper bound on p/p_nom</x:v>
      </x:c>
      <x:c r="I13" s="83" t="str">
        <x:v>Derating/outage constraint</x:v>
      </x:c>
      <x:c r="J13" s="83" t="str">
        <x:v>Apply availability once</x:v>
      </x:c>
      <x:c r="K13" s="83" t="str">
        <x:v>Terna adequacy/outage data</x:v>
      </x:c>
      <x:c r="L13" s="83" t="str">
        <x:v>D11</x:v>
      </x:c>
      <x:c r="M13" s="83" t="str">
        <x:v>Values in [0,1]; no capacity double-derating</x:v>
      </x:c>
      <x:c r="N13" s="120" t="str">
        <x:v>https://docs.pypsa.org/latest/user-guide/components/generators/</x:v>
      </x:c>
      <x:c r="O13" s="83" t="str">
        <x:v>Ready for data extraction</x:v>
      </x:c>
    </x:row>
    <x:row r="14">
      <x:c r="A14" s="83" t="str">
        <x:v>MAP-010</x:v>
      </x:c>
      <x:c r="B14" s="83" t="str">
        <x:v>Generation</x:v>
      </x:c>
      <x:c r="C14" s="83" t="str">
        <x:v>Minimum stable output/must-run</x:v>
      </x:c>
      <x:c r="D14" s="83" t="str">
        <x:v>Generator</x:v>
      </x:c>
      <x:c r="E14" s="83" t="str">
        <x:v>Time series/static</x:v>
      </x:c>
      <x:c r="F14" s="83" t="str">
        <x:v>p_min_pu</x:v>
      </x:c>
      <x:c r="G14" s="83" t="str">
        <x:v>p.u.</x:v>
      </x:c>
      <x:c r="H14" s="83" t="str">
        <x:v>Lower bound on p/p_nom</x:v>
      </x:c>
      <x:c r="I14" s="83" t="str">
        <x:v>Use only with evidence; without UC means must-run</x:v>
      </x:c>
      <x:c r="J14" s="83" t="str">
        <x:v>Assign by cohort/period</x:v>
      </x:c>
      <x:c r="K14" s="83" t="str">
        <x:v>Technical sources</x:v>
      </x:c>
      <x:c r="L14" s="83" t="str">
        <x:v>D10</x:v>
      </x:c>
      <x:c r="M14" s="83" t="str">
        <x:v>0&lt;=p_min_pu&lt;=p_max_pu</x:v>
      </x:c>
      <x:c r="N14" s="120" t="str">
        <x:v>https://docs.pypsa.org/latest/user-guide/components/generators/</x:v>
      </x:c>
      <x:c r="O14" s="83" t="str">
        <x:v>Ready for data extraction</x:v>
      </x:c>
    </x:row>
    <x:row r="15">
      <x:c r="A15" s="83" t="str">
        <x:v>MAP-011</x:v>
      </x:c>
      <x:c r="B15" s="83" t="str">
        <x:v>Generation</x:v>
      </x:c>
      <x:c r="C15" s="83" t="str">
        <x:v>Efficiency</x:v>
      </x:c>
      <x:c r="D15" s="83" t="str">
        <x:v>Generator or Link</x:v>
      </x:c>
      <x:c r="E15" s="83" t="str">
        <x:v>Static/time series</x:v>
      </x:c>
      <x:c r="F15" s="83" t="str">
        <x:v>efficiency</x:v>
      </x:c>
      <x:c r="G15" s="83" t="str">
        <x:v>p.u.</x:v>
      </x:c>
      <x:c r="H15" s="83" t="str">
        <x:v>Electrical output / fuel input</x:v>
      </x:c>
      <x:c r="I15" s="83" t="str">
        <x:v>Used in cost and emissions accounting</x:v>
      </x:c>
      <x:c r="J15" s="83" t="str">
        <x:v>Assign by technology/cohort</x:v>
      </x:c>
      <x:c r="K15" s="83" t="str">
        <x:v>S01/S07/S08 + technology data</x:v>
      </x:c>
      <x:c r="L15" s="83" t="str">
        <x:v>D12</x:v>
      </x:c>
      <x:c r="M15" s="83" t="str">
        <x:v>0&lt;efficiency&lt;=1; consistent with marginal cost</x:v>
      </x:c>
      <x:c r="N15" s="120" t="str">
        <x:v>https://docs.pypsa.org/latest/user-guide/components/generators/</x:v>
      </x:c>
      <x:c r="O15" s="83" t="str">
        <x:v>Ready for data extraction</x:v>
      </x:c>
    </x:row>
    <x:row r="16">
      <x:c r="A16" s="83" t="str">
        <x:v>MAP-012</x:v>
      </x:c>
      <x:c r="B16" s="83" t="str">
        <x:v>Generation</x:v>
      </x:c>
      <x:c r="C16" s="83" t="str">
        <x:v>Marginal production cost</x:v>
      </x:c>
      <x:c r="D16" s="83" t="str">
        <x:v>Generator or Link</x:v>
      </x:c>
      <x:c r="E16" s="83" t="str">
        <x:v>Static/time series</x:v>
      </x:c>
      <x:c r="F16" s="83" t="str">
        <x:v>marginal_cost</x:v>
      </x:c>
      <x:c r="G16" s="83" t="str">
        <x:v>EUR/MWh_el</x:v>
      </x:c>
      <x:c r="H16" s="83" t="str">
        <x:v>Cost per positive MWh output/internal dispatch</x:v>
      </x:c>
      <x:c r="I16" s="83" t="str">
        <x:v>Primary merit-order parameter</x:v>
      </x:c>
      <x:c r="J16" s="83" t="str">
        <x:v>fuel/eta + CO2*EF/eta + VOM + other</x:v>
      </x:c>
      <x:c r="K16" s="83" t="str">
        <x:v>Derived from scenario parameters</x:v>
      </x:c>
      <x:c r="L16" s="83" t="str">
        <x:v>D12;D13;D14</x:v>
      </x:c>
      <x:c r="M16" s="83" t="str">
        <x:v>Recalculate and benchmark gas-vs-PUN relation</x:v>
      </x:c>
      <x:c r="N16" s="120" t="str">
        <x:v>https://docs.pypsa.org/latest/user-guide/components/generators/</x:v>
      </x:c>
      <x:c r="O16" s="83" t="str">
        <x:v>Ready for data extraction</x:v>
      </x:c>
    </x:row>
    <x:row r="17">
      <x:c r="A17" s="83" t="str">
        <x:v>MAP-013</x:v>
      </x:c>
      <x:c r="B17" s="83" t="str">
        <x:v>Generation</x:v>
      </x:c>
      <x:c r="C17" s="83" t="str">
        <x:v>Fuel and CO2 emissions</x:v>
      </x:c>
      <x:c r="D17" s="83" t="str">
        <x:v>Carrier</x:v>
      </x:c>
      <x:c r="E17" s="83" t="str">
        <x:v>Static</x:v>
      </x:c>
      <x:c r="F17" s="83" t="str">
        <x:v>co2_emissions</x:v>
      </x:c>
      <x:c r="G17" s="83" t="str">
        <x:v>tCO2/MWh_th</x:v>
      </x:c>
      <x:c r="H17" s="83" t="str">
        <x:v>Per unit primary energy carrier</x:v>
      </x:c>
      <x:c r="I17" s="83" t="str">
        <x:v>Metadata/global constraints; carbon price usually precomputed in marginal cost</x:v>
      </x:c>
      <x:c r="J17" s="83" t="str">
        <x:v>Map each generator to fuel carrier</x:v>
      </x:c>
      <x:c r="K17" s="83" t="str">
        <x:v>S01/S07/S08/ISPRA</x:v>
      </x:c>
      <x:c r="L17" s="83" t="str">
        <x:v>D12</x:v>
      </x:c>
      <x:c r="M17" s="83" t="str">
        <x:v>No double carbon charging</x:v>
      </x:c>
      <x:c r="N17" s="120" t="str">
        <x:v>https://docs.pypsa.org/latest/user-guide/components/carriers/</x:v>
      </x:c>
      <x:c r="O17" s="83" t="str">
        <x:v>Ready for data extraction</x:v>
      </x:c>
    </x:row>
    <x:row r="18">
      <x:c r="A18" s="83" t="str">
        <x:v>MAP-014</x:v>
      </x:c>
      <x:c r="B18" s="83" t="str">
        <x:v>Generation</x:v>
      </x:c>
      <x:c r="C18" s="83" t="str">
        <x:v>Annual energy limits</x:v>
      </x:c>
      <x:c r="D18" s="83" t="str">
        <x:v>Generator</x:v>
      </x:c>
      <x:c r="E18" s="83" t="str">
        <x:v>Static</x:v>
      </x:c>
      <x:c r="F18" s="83" t="str">
        <x:v>e_sum_min; e_sum_max</x:v>
      </x:c>
      <x:c r="G18" s="83" t="str">
        <x:v>MWh</x:v>
      </x:c>
      <x:c r="H18" s="83" t="str">
        <x:v>Total dispatch over horizon</x:v>
      </x:c>
      <x:c r="I18" s="83" t="str">
        <x:v>Only for resource/contract constraints</x:v>
      </x:c>
      <x:c r="J18" s="83" t="str">
        <x:v>Set for hydro/biomass/waste only if justified</x:v>
      </x:c>
      <x:c r="K18" s="83" t="str">
        <x:v>S01/S07/GSE</x:v>
      </x:c>
      <x:c r="L18" s="83" t="str">
        <x:v>D15</x:v>
      </x:c>
      <x:c r="M18" s="83" t="str">
        <x:v>Binding values reconcile with annual energy evidence</x:v>
      </x:c>
      <x:c r="N18" s="120" t="str">
        <x:v>https://docs.pypsa.org/latest/user-guide/components/generators/</x:v>
      </x:c>
      <x:c r="O18" s="83" t="str">
        <x:v>Ready for data extraction</x:v>
      </x:c>
    </x:row>
    <x:row r="19">
      <x:c r="A19" s="83" t="str">
        <x:v>MAP-015</x:v>
      </x:c>
      <x:c r="B19" s="83" t="str">
        <x:v>Generation</x:v>
      </x:c>
      <x:c r="C19" s="83" t="str">
        <x:v>Unit commitment</x:v>
      </x:c>
      <x:c r="D19" s="83" t="str">
        <x:v>Generator</x:v>
      </x:c>
      <x:c r="E19" s="83" t="str">
        <x:v>Static + variables</x:v>
      </x:c>
      <x:c r="F19" s="83" t="str">
        <x:v>committable; start_up_cost; shut_down_cost; stand_by_cost; min_up_time; min_down_time</x:v>
      </x:c>
      <x:c r="G19" s="83" t="str">
        <x:v>bool; EUR; snapshots</x:v>
      </x:c>
      <x:c r="H19" s="83" t="str">
        <x:v>Binary status and startup/shutdown</x:v>
      </x:c>
      <x:c r="I19" s="83" t="str">
        <x:v>Sensitivity, not base case</x:v>
      </x:c>
      <x:c r="J19" s="83" t="str">
        <x:v>Enable on sufficiently disaggregated thermal cohorts</x:v>
      </x:c>
      <x:c r="K19" s="83" t="str">
        <x:v>Technical data + PyPSA docs</x:v>
      </x:c>
      <x:c r="L19" s="83" t="str">
        <x:v>D10</x:v>
      </x:c>
      <x:c r="M19" s="83" t="str">
        <x:v>Compare LP and MILP outputs; no unsupported data defaults</x:v>
      </x:c>
      <x:c r="N19" s="120" t="str">
        <x:v>https://docs.pypsa.org/latest/user-guide/components/generators/</x:v>
      </x:c>
      <x:c r="O19" s="83" t="str">
        <x:v>Ready for data extraction</x:v>
      </x:c>
    </x:row>
    <x:row r="20">
      <x:c r="A20" s="83" t="str">
        <x:v>MAP-016</x:v>
      </x:c>
      <x:c r="B20" s="83" t="str">
        <x:v>Generation</x:v>
      </x:c>
      <x:c r="C20" s="83" t="str">
        <x:v>Ramp constraints</x:v>
      </x:c>
      <x:c r="D20" s="83" t="str">
        <x:v>Generator</x:v>
      </x:c>
      <x:c r="E20" s="83" t="str">
        <x:v>Static/time series</x:v>
      </x:c>
      <x:c r="F20" s="83" t="str">
        <x:v>ramp_limit_up; ramp_limit_down; ramp_limit_start_up; ramp_limit_shut_down</x:v>
      </x:c>
      <x:c r="G20" s="83" t="str">
        <x:v>p.u./snapshot</x:v>
      </x:c>
      <x:c r="H20" s="83" t="str">
        <x:v>Change in p relative to p_nom</x:v>
      </x:c>
      <x:c r="I20" s="83" t="str">
        <x:v>Optional/base only if robust</x:v>
      </x:c>
      <x:c r="J20" s="83" t="str">
        <x:v>Convert MW/min or %/min to per snapshot</x:v>
      </x:c>
      <x:c r="K20" s="83" t="str">
        <x:v>Technical data</x:v>
      </x:c>
      <x:c r="L20" s="83" t="str">
        <x:v>D10</x:v>
      </x:c>
      <x:c r="M20" s="83" t="str">
        <x:v>Check units against hourly resolution</x:v>
      </x:c>
      <x:c r="N20" s="120" t="str">
        <x:v>https://docs.pypsa.org/latest/user-guide/components/generators/</x:v>
      </x:c>
      <x:c r="O20" s="83" t="str">
        <x:v>Ready for data extraction</x:v>
      </x:c>
    </x:row>
    <x:row r="21">
      <x:c r="A21" s="83" t="str">
        <x:v>MAP-017</x:v>
      </x:c>
      <x:c r="B21" s="83" t="str">
        <x:v>Hydro</x:v>
      </x:c>
      <x:c r="C21" s="83" t="str">
        <x:v>Run-of-river</x:v>
      </x:c>
      <x:c r="D21" s="83" t="str">
        <x:v>Generator</x:v>
      </x:c>
      <x:c r="E21" s="83" t="str">
        <x:v>Static + time series</x:v>
      </x:c>
      <x:c r="F21" s="83" t="str">
        <x:v>p_nom; p_max_pu; marginal_cost</x:v>
      </x:c>
      <x:c r="G21" s="83" t="str">
        <x:v>MW; p.u.</x:v>
      </x:c>
      <x:c r="H21" s="83" t="str">
        <x:v>Positive generation</x:v>
      </x:c>
      <x:c r="I21" s="83" t="str">
        <x:v>Curtailable inflow-limited generation</x:v>
      </x:c>
      <x:c r="J21" s="83" t="str">
        <x:v>Convert hydrological profile to p_max_pu</x:v>
      </x:c>
      <x:c r="K21" s="83" t="str">
        <x:v>S01/S07 + PyPSA-Eur hydro</x:v>
      </x:c>
      <x:c r="L21" s="83" t="str">
        <x:v>D15</x:v>
      </x:c>
      <x:c r="M21" s="83" t="str">
        <x:v>Annual generation and seasonal shape plausible</x:v>
      </x:c>
      <x:c r="N21" s="120" t="str">
        <x:v>https://docs.pypsa.org/latest/user-guide/components/generators/</x:v>
      </x:c>
      <x:c r="O21" s="83" t="str">
        <x:v>Ready for data extraction</x:v>
      </x:c>
    </x:row>
    <x:row r="22">
      <x:c r="A22" s="83" t="str">
        <x:v>MAP-018</x:v>
      </x:c>
      <x:c r="B22" s="83" t="str">
        <x:v>Hydro</x:v>
      </x:c>
      <x:c r="C22" s="83" t="str">
        <x:v>Reservoir with coupled power-energy</x:v>
      </x:c>
      <x:c r="D22" s="83" t="str">
        <x:v>StorageUnit</x:v>
      </x:c>
      <x:c r="E22" s="83" t="str">
        <x:v>Static + time series</x:v>
      </x:c>
      <x:c r="F22" s="83" t="str">
        <x:v>p_nom; max_hours; inflow; efficiency_dispatch; state_of_charge_initial; cyclic_state_of_charge</x:v>
      </x:c>
      <x:c r="G22" s="83" t="str">
        <x:v>MW; h; MW; p.u.; MWh</x:v>
      </x:c>
      <x:c r="H22" s="83" t="str">
        <x:v>p&gt;0 discharge; p_store charging</x:v>
      </x:c>
      <x:c r="I22" s="83" t="str">
        <x:v>Use only if fixed power-energy ratio is acceptable</x:v>
      </x:c>
      <x:c r="J22" s="83" t="str">
        <x:v>Convert energy capacity to max_hours</x:v>
      </x:c>
      <x:c r="K22" s="83" t="str">
        <x:v>S01/S07 + hydro datasets</x:v>
      </x:c>
      <x:c r="L22" s="83" t="str">
        <x:v>D15;D16</x:v>
      </x:c>
      <x:c r="M22" s="83" t="str">
        <x:v>p_nom*max_hours equals energy capacity</x:v>
      </x:c>
      <x:c r="N22" s="120" t="str">
        <x:v>https://docs.pypsa.org/latest/user-guide/components/storage-units/</x:v>
      </x:c>
      <x:c r="O22" s="83" t="str">
        <x:v>Ready for data extraction</x:v>
      </x:c>
    </x:row>
    <x:row r="23">
      <x:c r="A23" s="83" t="str">
        <x:v>MAP-019</x:v>
      </x:c>
      <x:c r="B23" s="83" t="str">
        <x:v>Hydro</x:v>
      </x:c>
      <x:c r="C23" s="83" t="str">
        <x:v>Reservoir/pumped hydro with independent power-energy</x:v>
      </x:c>
      <x:c r="D23" s="83" t="str">
        <x:v>Store + Links</x:v>
      </x:c>
      <x:c r="E23" s="83" t="str">
        <x:v>Static + time series</x:v>
      </x:c>
      <x:c r="F23" s="83" t="str">
        <x:v>Store.e_nom/e_initial/e_cyclic; Link.p_nom/efficiency/p_min_pu/p_max_pu</x:v>
      </x:c>
      <x:c r="G23" s="83" t="str">
        <x:v>MWh; MW; p.u.</x:v>
      </x:c>
      <x:c r="H23" s="83" t="str">
        <x:v>Store tracks energy; Links control directional power</x:v>
      </x:c>
      <x:c r="I23" s="83" t="str">
        <x:v>Preferred when charge/discharge power and energy are independent/asymmetric</x:v>
      </x:c>
      <x:c r="J23" s="83" t="str">
        <x:v>Auxiliary hydro bus plus turbine/pump Links</x:v>
      </x:c>
      <x:c r="K23" s="83" t="str">
        <x:v>S01/S07 + PyPSA docs</x:v>
      </x:c>
      <x:c r="L23" s="83" t="str">
        <x:v>D15;D16</x:v>
      </x:c>
      <x:c r="M23" s="83" t="str">
        <x:v>Energy/power and round-trip efficiency reconcile</x:v>
      </x:c>
      <x:c r="N23" s="120" t="str">
        <x:v>https://docs.pypsa.org/latest/user-guide/components/stores/</x:v>
      </x:c>
      <x:c r="O23" s="83" t="str">
        <x:v>Ready for data extraction</x:v>
      </x:c>
    </x:row>
    <x:row r="24">
      <x:c r="A24" s="83" t="str">
        <x:v>MAP-020</x:v>
      </x:c>
      <x:c r="B24" s="83" t="str">
        <x:v>Storage</x:v>
      </x:c>
      <x:c r="C24" s="83" t="str">
        <x:v>BESS energy capacity</x:v>
      </x:c>
      <x:c r="D24" s="83" t="str">
        <x:v>Store</x:v>
      </x:c>
      <x:c r="E24" s="83" t="str">
        <x:v>Static</x:v>
      </x:c>
      <x:c r="F24" s="83" t="str">
        <x:v>bus; carrier; e_nom; e_nom_extendable=False; e_initial; e_cyclic; standing_loss</x:v>
      </x:c>
      <x:c r="G24" s="83" t="str">
        <x:v>MWh; p.u.</x:v>
      </x:c>
      <x:c r="H24" s="83" t="str">
        <x:v>e is stored energy</x:v>
      </x:c>
      <x:c r="I24" s="83" t="str">
        <x:v>Fixed energy capacity</x:v>
      </x:c>
      <x:c r="J24" s="83" t="str">
        <x:v>Create auxiliary battery bus/store by zone-duration class</x:v>
      </x:c>
      <x:c r="K24" s="83" t="str">
        <x:v>S01/S04/S07/MACSE</x:v>
      </x:c>
      <x:c r="L24" s="83" t="str">
        <x:v>D17;D18;D19</x:v>
      </x:c>
      <x:c r="M24" s="83" t="str">
        <x:v>e_nom totals and SOC closure</x:v>
      </x:c>
      <x:c r="N24" s="120" t="str">
        <x:v>https://docs.pypsa.org/latest/user-guide/components/stores/</x:v>
      </x:c>
      <x:c r="O24" s="83" t="str">
        <x:v>Ready for data extraction</x:v>
      </x:c>
    </x:row>
    <x:row r="25">
      <x:c r="A25" s="83" t="str">
        <x:v>MAP-021</x:v>
      </x:c>
      <x:c r="B25" s="83" t="str">
        <x:v>Storage</x:v>
      </x:c>
      <x:c r="C25" s="83" t="str">
        <x:v>BESS charge/discharge power</x:v>
      </x:c>
      <x:c r="D25" s="83" t="str">
        <x:v>Link</x:v>
      </x:c>
      <x:c r="E25" s="83" t="str">
        <x:v>Static + time series</x:v>
      </x:c>
      <x:c r="F25" s="83" t="str">
        <x:v>bus0; bus1; p_nom; p_nom_extendable=False; efficiency; p_min_pu; p_max_pu; marginal_cost</x:v>
      </x:c>
      <x:c r="G25" s="83" t="str">
        <x:v>MW; p.u.; EUR/MWh</x:v>
      </x:c>
      <x:c r="H25" s="83" t="str">
        <x:v>p0 positive from bus0 to bus1</x:v>
      </x:c>
      <x:c r="I25" s="83" t="str">
        <x:v>Separate charge and discharge Links</x:v>
      </x:c>
      <x:c r="J25" s="83" t="str">
        <x:v>Use asymmetric ratings if evidence supports</x:v>
      </x:c>
      <x:c r="K25" s="83" t="str">
        <x:v>S01/S04/S07/MACSE</x:v>
      </x:c>
      <x:c r="L25" s="83" t="str">
        <x:v>D17;D18</x:v>
      </x:c>
      <x:c r="M25" s="83" t="str">
        <x:v>p_nom totals and round-trip efficiency</x:v>
      </x:c>
      <x:c r="N25" s="120" t="str">
        <x:v>https://docs.pypsa.org/latest/user-guide/components/links/</x:v>
      </x:c>
      <x:c r="O25" s="83" t="str">
        <x:v>Ready for data extraction</x:v>
      </x:c>
    </x:row>
    <x:row r="26">
      <x:c r="A26" s="83" t="str">
        <x:v>MAP-022</x:v>
      </x:c>
      <x:c r="B26" s="83" t="str">
        <x:v>Storage</x:v>
      </x:c>
      <x:c r="C26" s="83" t="str">
        <x:v>StorageUnit alternative</x:v>
      </x:c>
      <x:c r="D26" s="83" t="str">
        <x:v>StorageUnit</x:v>
      </x:c>
      <x:c r="E26" s="83" t="str">
        <x:v>Static + time series</x:v>
      </x:c>
      <x:c r="F26" s="83" t="str">
        <x:v>p_nom; max_hours; efficiency_store; efficiency_dispatch; standing_loss; cyclic_state_of_charge</x:v>
      </x:c>
      <x:c r="G26" s="83" t="str">
        <x:v>MW; h; p.u.</x:v>
      </x:c>
      <x:c r="H26" s="83" t="str">
        <x:v>p&gt;0 discharge; p_store charging</x:v>
      </x:c>
      <x:c r="I26" s="83" t="str">
        <x:v>Alternative only for fixed duration and symmetric power</x:v>
      </x:c>
      <x:c r="J26" s="83" t="str">
        <x:v>Use when source only supports coupled p/e</x:v>
      </x:c>
      <x:c r="K26" s="83" t="str">
        <x:v>PyPSA docs</x:v>
      </x:c>
      <x:c r="L26" s="83" t="str">
        <x:v>D17</x:v>
      </x:c>
      <x:c r="M26" s="83" t="str">
        <x:v>Compare with Store+Links representation</x:v>
      </x:c>
      <x:c r="N26" s="120" t="str">
        <x:v>https://docs.pypsa.org/latest/user-guide/components/storage-units/</x:v>
      </x:c>
      <x:c r="O26" s="83" t="str">
        <x:v>Ready for data extraction</x:v>
      </x:c>
    </x:row>
    <x:row r="27">
      <x:c r="A27" s="83" t="str">
        <x:v>MAP-023</x:v>
      </x:c>
      <x:c r="B27" s="83" t="str">
        <x:v>Transmission</x:v>
      </x:c>
      <x:c r="C27" s="83" t="str">
        <x:v>Zonal corridor capacity</x:v>
      </x:c>
      <x:c r="D27" s="83" t="str">
        <x:v>Link</x:v>
      </x:c>
      <x:c r="E27" s="83" t="str">
        <x:v>Static + time series</x:v>
      </x:c>
      <x:c r="F27" s="83" t="str">
        <x:v>bus0; bus1; p_nom; p_min_pu; p_max_pu; efficiency</x:v>
      </x:c>
      <x:c r="G27" s="83" t="str">
        <x:v>MW; p.u.</x:v>
      </x:c>
      <x:c r="H27" s="83" t="str">
        <x:v>p0 positive bus0→bus1; negative if allowed</x:v>
      </x:c>
      <x:c r="I27" s="83" t="str">
        <x:v>Transport model base</x:v>
      </x:c>
      <x:c r="J27" s="83" t="str">
        <x:v>Use market transfer capacity, direction and seasonality</x:v>
      </x:c>
      <x:c r="K27" s="83" t="str">
        <x:v>S01/S03/S05/Terna NTC</x:v>
      </x:c>
      <x:c r="L27" s="83" t="str">
        <x:v>D20;D21;D23</x:v>
      </x:c>
      <x:c r="M27" s="83" t="str">
        <x:v>Flows never exceed directional limits</x:v>
      </x:c>
      <x:c r="N27" s="120" t="str">
        <x:v>https://docs.pypsa.org/latest/user-guide/components/links/</x:v>
      </x:c>
      <x:c r="O27" s="83" t="str">
        <x:v>Ready for data extraction</x:v>
      </x:c>
    </x:row>
    <x:row r="28">
      <x:c r="A28" s="83" t="str">
        <x:v>MAP-024</x:v>
      </x:c>
      <x:c r="B28" s="83" t="str">
        <x:v>Transmission</x:v>
      </x:c>
      <x:c r="C28" s="83" t="str">
        <x:v>Asymmetric corridor</x:v>
      </x:c>
      <x:c r="D28" s="83" t="str">
        <x:v>Two Link components</x:v>
      </x:c>
      <x:c r="E28" s="83" t="str">
        <x:v>Static + time series</x:v>
      </x:c>
      <x:c r="F28" s="83" t="str">
        <x:v>separate p_nom/p_max_pu by direction</x:v>
      </x:c>
      <x:c r="G28" s="83" t="str">
        <x:v>MW</x:v>
      </x:c>
      <x:c r="H28" s="83" t="str">
        <x:v>Each Link non-negative in its own direction</x:v>
      </x:c>
      <x:c r="I28" s="83" t="str">
        <x:v>Use when import/export limits differ</x:v>
      </x:c>
      <x:c r="J28" s="83" t="str">
        <x:v>Create A→B and B→A Links</x:v>
      </x:c>
      <x:c r="K28" s="83" t="str">
        <x:v>Terna NTC</x:v>
      </x:c>
      <x:c r="L28" s="83" t="str">
        <x:v>D21</x:v>
      </x:c>
      <x:c r="M28" s="83" t="str">
        <x:v>Directional capacities reproduce source table</x:v>
      </x:c>
      <x:c r="N28" s="120" t="str">
        <x:v>https://docs.pypsa.org/latest/user-guide/components/links/</x:v>
      </x:c>
      <x:c r="O28" s="83" t="str">
        <x:v>Ready for data extraction</x:v>
      </x:c>
    </x:row>
    <x:row r="29">
      <x:c r="A29" s="83" t="str">
        <x:v>MAP-025</x:v>
      </x:c>
      <x:c r="B29" s="83" t="str">
        <x:v>Transmission</x:v>
      </x:c>
      <x:c r="C29" s="83" t="str">
        <x:v>Physical nodal sensitivity</x:v>
      </x:c>
      <x:c r="D29" s="83" t="str">
        <x:v>Line/Link</x:v>
      </x:c>
      <x:c r="E29" s="83" t="str">
        <x:v>Static</x:v>
      </x:c>
      <x:c r="F29" s="83" t="str">
        <x:v>s_nom; x; r; length or Link equivalents</x:v>
      </x:c>
      <x:c r="G29" s="83" t="str">
        <x:v>MVA; p.u.; km</x:v>
      </x:c>
      <x:c r="H29" s="83" t="str">
        <x:v>AC sign conventions</x:v>
      </x:c>
      <x:c r="I29" s="83" t="str">
        <x:v>Not base; optional nodal sensitivity</x:v>
      </x:c>
      <x:c r="J29" s="83" t="str">
        <x:v>Use existing PyPSA-Eur network</x:v>
      </x:c>
      <x:c r="K29" s="83" t="str">
        <x:v>PyPSA-Eur</x:v>
      </x:c>
      <x:c r="L29" s="83" t="str">
        <x:v>D01</x:v>
      </x:c>
      <x:c r="M29" s="83" t="str">
        <x:v>Compare zonal aggregate flows/capacities</x:v>
      </x:c>
      <x:c r="N29" s="120" t="str">
        <x:v>https://pypsa-eur.readthedocs.io/en/latest/configuration.html</x:v>
      </x:c>
      <x:c r="O29" s="83" t="str">
        <x:v>Ready for data extraction</x:v>
      </x:c>
    </x:row>
    <x:row r="30">
      <x:c r="A30" s="83" t="str">
        <x:v>MAP-026</x:v>
      </x:c>
      <x:c r="B30" s="83" t="str">
        <x:v>Foreign systems</x:v>
      </x:c>
      <x:c r="C30" s="83" t="str">
        <x:v>Endogenous foreign zones</x:v>
      </x:c>
      <x:c r="D30" s="83" t="str">
        <x:v>Bus + Generator + Load + Storage + Link</x:v>
      </x:c>
      <x:c r="E30" s="83" t="str">
        <x:v>Static + time series</x:v>
      </x:c>
      <x:c r="F30" s="83" t="str">
        <x:v>multiple</x:v>
      </x:c>
      <x:c r="G30" s="83" t="str">
        <x:v>MW/MWh/EUR</x:v>
      </x:c>
      <x:c r="H30" s="83" t="str">
        <x:v>Same conventions as Italy</x:v>
      </x:c>
      <x:c r="I30" s="83" t="str">
        <x:v>Preferred if computationally feasible</x:v>
      </x:c>
      <x:c r="J30" s="83" t="str">
        <x:v>Use PyPSA-Eur subset/aggregation</x:v>
      </x:c>
      <x:c r="K30" s="83" t="str">
        <x:v>PyPSA-Eur/TYNDP</x:v>
      </x:c>
      <x:c r="L30" s="83" t="str">
        <x:v>D03</x:v>
      </x:c>
      <x:c r="M30" s="83" t="str">
        <x:v>Foreign balances and border flows close</x:v>
      </x:c>
      <x:c r="N30" s="120" t="str">
        <x:v>https://pypsa-eur.readthedocs.io/en/latest/configuration.html</x:v>
      </x:c>
      <x:c r="O30" s="83" t="str">
        <x:v>Ready for data extraction</x:v>
      </x:c>
    </x:row>
    <x:row r="31">
      <x:c r="A31" s="83" t="str">
        <x:v>MAP-027</x:v>
      </x:c>
      <x:c r="B31" s="83" t="str">
        <x:v>Foreign systems</x:v>
      </x:c>
      <x:c r="C31" s="83" t="str">
        <x:v>Exogenous import supply</x:v>
      </x:c>
      <x:c r="D31" s="83" t="str">
        <x:v>Generator at foreign/border bus</x:v>
      </x:c>
      <x:c r="E31" s="83" t="str">
        <x:v>Time series</x:v>
      </x:c>
      <x:c r="F31" s="83" t="str">
        <x:v>p_nom; p_max_pu; marginal_cost</x:v>
      </x:c>
      <x:c r="G31" s="83" t="str">
        <x:v>MW; p.u.; EUR/MWh</x:v>
      </x:c>
      <x:c r="H31" s="83" t="str">
        <x:v>Positive supply imported through Link</x:v>
      </x:c>
      <x:c r="I31" s="83" t="str">
        <x:v>Sensitivity/alternative to endogenous foreign system</x:v>
      </x:c>
      <x:c r="J31" s="83" t="str">
        <x:v>Set availability and external price profile</x:v>
      </x:c>
      <x:c r="K31" s="83" t="str">
        <x:v>TYNDP/scenario outputs</x:v>
      </x:c>
      <x:c r="L31" s="83" t="str">
        <x:v>D03</x:v>
      </x:c>
      <x:c r="M31" s="83" t="str">
        <x:v>No import beyond NTC; price profiles documented</x:v>
      </x:c>
      <x:c r="N31" s="120" t="str">
        <x:v>https://docs.pypsa.org/latest/user-guide/components/generators/</x:v>
      </x:c>
      <x:c r="O31" s="83" t="str">
        <x:v>Ready for data extraction</x:v>
      </x:c>
    </x:row>
    <x:row r="32">
      <x:c r="A32" s="83" t="str">
        <x:v>MAP-028</x:v>
      </x:c>
      <x:c r="B32" s="83" t="str">
        <x:v>Market</x:v>
      </x:c>
      <x:c r="C32" s="83" t="str">
        <x:v>Zonal price</x:v>
      </x:c>
      <x:c r="D32" s="83" t="str">
        <x:v>Bus output</x:v>
      </x:c>
      <x:c r="E32" s="83" t="str">
        <x:v>Time series</x:v>
      </x:c>
      <x:c r="F32" s="83" t="str">
        <x:v>marginal_price</x:v>
      </x:c>
      <x:c r="G32" s="83" t="str">
        <x:v>EUR/MWh</x:v>
      </x:c>
      <x:c r="H32" s="83" t="str">
        <x:v>Dual of bus energy balance</x:v>
      </x:c>
      <x:c r="I32" s="83" t="str">
        <x:v>Primary price output</x:v>
      </x:c>
      <x:c r="J32" s="83" t="str">
        <x:v>Extract by snapshot/zone</x:v>
      </x:c>
      <x:c r="K32" s="83" t="str">
        <x:v>PyPSA official market example</x:v>
      </x:c>
      <x:c r="L32" s="83" t="str">
        <x:v>D29</x:v>
      </x:c>
      <x:c r="M32" s="83" t="str">
        <x:v>Compare historical backcast to GME zonal prices</x:v>
      </x:c>
      <x:c r="N32" s="120" t="str">
        <x:v>https://docs.pypsa.org/latest/examples/simple-electricity-market-examples/</x:v>
      </x:c>
      <x:c r="O32" s="83" t="str">
        <x:v>Ready for data extraction</x:v>
      </x:c>
    </x:row>
    <x:row r="33">
      <x:c r="A33" s="83" t="str">
        <x:v>MAP-029</x:v>
      </x:c>
      <x:c r="B33" s="83" t="str">
        <x:v>Market</x:v>
      </x:c>
      <x:c r="C33" s="83" t="str">
        <x:v>National price proxy</x:v>
      </x:c>
      <x:c r="D33" s="83" t="str">
        <x:v>Post-processing</x:v>
      </x:c>
      <x:c r="E33" s="83" t="str">
        <x:v>Time series</x:v>
      </x:c>
      <x:c r="F33" s="83" t="str">
        <x:v>weighted average of Bus.marginal_price</x:v>
      </x:c>
      <x:c r="G33" s="83" t="str">
        <x:v>EUR/MWh</x:v>
      </x:c>
      <x:c r="H33" s="83" t="str">
        <x:v>Weights = purchases/load under chosen rule</x:v>
      </x:c>
      <x:c r="I33" s="83" t="str">
        <x:v>Not a native PyPSA component</x:v>
      </x:c>
      <x:c r="J33" s="83" t="str">
        <x:v>Compute after solve</x:v>
      </x:c>
      <x:c r="K33" s="83" t="str">
        <x:v>GME/Terna methodology</x:v>
      </x:c>
      <x:c r="L33" s="83" t="str">
        <x:v>D29</x:v>
      </x:c>
      <x:c r="M33" s="83" t="str">
        <x:v>Weights sum to one and reconcile volumes</x:v>
      </x:c>
      <x:c r="N33" s="120" t="str"/>
      <x:c r="O33" s="83" t="str">
        <x:v>Method to finalise</x:v>
      </x:c>
    </x:row>
    <x:row r="34">
      <x:c r="A34" s="83" t="str">
        <x:v>MAP-030</x:v>
      </x:c>
      <x:c r="B34" s="83" t="str">
        <x:v>Market</x:v>
      </x:c>
      <x:c r="C34" s="83" t="str">
        <x:v>Curtailment</x:v>
      </x:c>
      <x:c r="D34" s="83" t="str">
        <x:v>Post-processing</x:v>
      </x:c>
      <x:c r="E34" s="83" t="str">
        <x:v>Time series</x:v>
      </x:c>
      <x:c r="F34" s="83" t="str">
        <x:v>p_nom*p_max_pu - Generator.p</x:v>
      </x:c>
      <x:c r="G34" s="83" t="str">
        <x:v>MW/MWh</x:v>
      </x:c>
      <x:c r="H34" s="83" t="str">
        <x:v>Non-negative available minus dispatch</x:v>
      </x:c>
      <x:c r="I34" s="83" t="str">
        <x:v>Output metric</x:v>
      </x:c>
      <x:c r="J34" s="83" t="str">
        <x:v>Apply snapshot weights</x:v>
      </x:c>
      <x:c r="K34" s="83" t="str">
        <x:v>PyPSA outputs + S03/S07 validation</x:v>
      </x:c>
      <x:c r="L34" s="83" t="str">
        <x:v>D14</x:v>
      </x:c>
      <x:c r="M34" s="83" t="str">
        <x:v>No negative curtailment beyond tolerance</x:v>
      </x:c>
      <x:c r="N34" s="120" t="str">
        <x:v>https://docs.pypsa.org/latest/user-guide/components/generators/</x:v>
      </x:c>
      <x:c r="O34" s="83" t="str">
        <x:v>Ready for data extraction</x:v>
      </x:c>
    </x:row>
    <x:row r="35">
      <x:c r="A35" s="83" t="str">
        <x:v>MAP-031</x:v>
      </x:c>
      <x:c r="B35" s="83" t="str">
        <x:v>Market</x:v>
      </x:c>
      <x:c r="C35" s="83" t="str">
        <x:v>Storage operation</x:v>
      </x:c>
      <x:c r="D35" s="83" t="str">
        <x:v>Store/StorageUnit/Link output</x:v>
      </x:c>
      <x:c r="E35" s="83" t="str">
        <x:v>Time series</x:v>
      </x:c>
      <x:c r="F35" s="83" t="str">
        <x:v>e; state_of_charge; p; p0; p1</x:v>
      </x:c>
      <x:c r="G35" s="83" t="str">
        <x:v>MWh; MW</x:v>
      </x:c>
      <x:c r="H35" s="83" t="str">
        <x:v>Respect component sign conventions</x:v>
      </x:c>
      <x:c r="I35" s="83" t="str">
        <x:v>Output metric</x:v>
      </x:c>
      <x:c r="J35" s="83" t="str">
        <x:v>Aggregate by zone/class</x:v>
      </x:c>
      <x:c r="K35" s="83" t="str">
        <x:v>PyPSA outputs</x:v>
      </x:c>
      <x:c r="L35" s="83" t="str">
        <x:v>D18</x:v>
      </x:c>
      <x:c r="M35" s="83" t="str">
        <x:v>SOC and energy balance close</x:v>
      </x:c>
      <x:c r="N35" s="120" t="str">
        <x:v>https://docs.pypsa.org/latest/user-guide/components/storage-units/</x:v>
      </x:c>
      <x:c r="O35" s="83" t="str">
        <x:v>Ready for data extraction</x:v>
      </x:c>
    </x:row>
    <x:row r="36">
      <x:c r="A36" s="83" t="str">
        <x:v>MAP-032</x:v>
      </x:c>
      <x:c r="B36" s="83" t="str">
        <x:v>Market</x:v>
      </x:c>
      <x:c r="C36" s="83" t="str">
        <x:v>Interzonal flow/congestion</x:v>
      </x:c>
      <x:c r="D36" s="83" t="str">
        <x:v>Link output</x:v>
      </x:c>
      <x:c r="E36" s="83" t="str">
        <x:v>Time series</x:v>
      </x:c>
      <x:c r="F36" s="83" t="str">
        <x:v>p0; p1; mu_upper; mu_lower</x:v>
      </x:c>
      <x:c r="G36" s="83" t="str">
        <x:v>MW; EUR/MW</x:v>
      </x:c>
      <x:c r="H36" s="83" t="str">
        <x:v>Direction from bus0 to bus1</x:v>
      </x:c>
      <x:c r="I36" s="83" t="str">
        <x:v>Output metric</x:v>
      </x:c>
      <x:c r="J36" s="83" t="str">
        <x:v>Calculate saturation and congestion rents</x:v>
      </x:c>
      <x:c r="K36" s="83" t="str">
        <x:v>PyPSA outputs + S03</x:v>
      </x:c>
      <x:c r="L36" s="83" t="str">
        <x:v>D20</x:v>
      </x:c>
      <x:c r="M36" s="83" t="str">
        <x:v>Flow and price spreads consistent</x:v>
      </x:c>
      <x:c r="N36" s="120" t="str">
        <x:v>https://docs.pypsa.org/latest/user-guide/components/links/</x:v>
      </x:c>
      <x:c r="O36" s="83" t="str">
        <x:v>Ready for data extraction</x:v>
      </x:c>
    </x:row>
    <x:row r="37">
      <x:c r="A37" s="83" t="str">
        <x:v>MAP-033</x:v>
      </x:c>
      <x:c r="B37" s="83" t="str">
        <x:v>Market</x:v>
      </x:c>
      <x:c r="C37" s="83" t="str">
        <x:v>Adequacy/EENS</x:v>
      </x:c>
      <x:c r="D37" s="83" t="str">
        <x:v>Load-shedding Generator output</x:v>
      </x:c>
      <x:c r="E37" s="83" t="str">
        <x:v>Time series</x:v>
      </x:c>
      <x:c r="F37" s="83" t="str">
        <x:v>p</x:v>
      </x:c>
      <x:c r="G37" s="83" t="str">
        <x:v>MW/MWh</x:v>
      </x:c>
      <x:c r="H37" s="83" t="str">
        <x:v>Positive p = unserved demand replacement</x:v>
      </x:c>
      <x:c r="I37" s="83" t="str">
        <x:v>Output metric</x:v>
      </x:c>
      <x:c r="J37" s="83" t="str">
        <x:v>Sum with weights; count hours</x:v>
      </x:c>
      <x:c r="K37" s="83" t="str">
        <x:v>Terna adequacy + PyPSA outputs</x:v>
      </x:c>
      <x:c r="L37" s="83" t="str">
        <x:v>D28</x:v>
      </x:c>
      <x:c r="M37" s="83" t="str">
        <x:v>Zero/limited EENS in adequate scenarios</x:v>
      </x:c>
      <x:c r="N37" s="120" t="str">
        <x:v>https://docs.pypsa.org/latest/user-guide/components/generators/</x:v>
      </x:c>
      <x:c r="O37" s="83" t="str">
        <x:v>Ready for data extraction</x:v>
      </x:c>
    </x:row>
    <x:row r="38">
      <x:c r="A38" s="83" t="str">
        <x:v>MAP-034</x:v>
      </x:c>
      <x:c r="B38" s="83" t="str">
        <x:v>Metadata</x:v>
      </x:c>
      <x:c r="C38" s="83" t="str">
        <x:v>Capital costs and FOM</x:v>
      </x:c>
      <x:c r="D38" s="83" t="str">
        <x:v>Generator/Link/Store metadata</x:v>
      </x:c>
      <x:c r="E38" s="83" t="str">
        <x:v>Static</x:v>
      </x:c>
      <x:c r="F38" s="83" t="str">
        <x:v>capital_cost; overnight_cost; fom_cost; lifetime; discount_rate</x:v>
      </x:c>
      <x:c r="G38" s="83" t="str">
        <x:v>EUR/MW; years; p.u.</x:v>
      </x:c>
      <x:c r="H38" s="83" t="str">
        <x:v>Fixed cost attributes</x:v>
      </x:c>
      <x:c r="I38" s="83" t="str">
        <x:v>Keep out of base dispatch objective or store sidecar</x:v>
      </x:c>
      <x:c r="J38" s="83" t="str">
        <x:v>Load for context/future expansion only</x:v>
      </x:c>
      <x:c r="K38" s="83" t="str">
        <x:v>S07/S08 + technology-data</x:v>
      </x:c>
      <x:c r="L38" s="83" t="str">
        <x:v>D35</x:v>
      </x:c>
      <x:c r="M38" s="83" t="str">
        <x:v>Objective unaffected by fixed cost values in base</x:v>
      </x:c>
      <x:c r="N38" s="120" t="str">
        <x:v>https://docs.pypsa.org/latest/user-guide/optimization/costs/</x:v>
      </x:c>
      <x:c r="O38" s="83" t="str">
        <x:v>Ready for data extraction</x:v>
      </x:c>
    </x:row>
    <x:row r="39">
      <x:c r="A39" s="83" t="str">
        <x:v>MAP-035</x:v>
      </x:c>
      <x:c r="B39" s="83" t="str">
        <x:v>Configuration</x:v>
      </x:c>
      <x:c r="C39" s="83" t="str">
        <x:v>Scenario/config overrides</x:v>
      </x:c>
      <x:c r="D39" s="83" t="str">
        <x:v>PyPSA-Eur YAML</x:v>
      </x:c>
      <x:c r="E39" s="83" t="str">
        <x:v>Static</x:v>
      </x:c>
      <x:c r="F39" s="83" t="str">
        <x:v>run; scenario; snapshots; electricity; lines; links; load; costs; solving</x:v>
      </x:c>
      <x:c r="G39" s="83" t="str">
        <x:v>mixed</x:v>
      </x:c>
      <x:c r="H39" s="83" t="str">
        <x:v>Configuration precedence applies</x:v>
      </x:c>
      <x:c r="I39" s="83" t="str">
        <x:v>Use custom config/scenario overrides, not ad hoc edits</x:v>
      </x:c>
      <x:c r="J39" s="83" t="str">
        <x:v>Map workbook outputs to repo-specific override files</x:v>
      </x:c>
      <x:c r="K39" s="83" t="str">
        <x:v>Project CLI repo</x:v>
      </x:c>
      <x:c r="L39" s="83" t="str">
        <x:v>D36</x:v>
      </x:c>
      <x:c r="M39" s="83" t="str">
        <x:v>Config diff is explicit and version-controlled</x:v>
      </x:c>
      <x:c r="N39" s="120" t="str">
        <x:v>https://pypsa-eur.readthedocs.io/en/latest/configuration.html</x:v>
      </x:c>
      <x:c r="O39" s="83" t="str">
        <x:v>Ready for data extraction</x:v>
      </x:c>
    </x:row>
  </x:sheetData>
  <x:mergeCells>
    <x:mergeCell ref="A1:O1"/>
    <x:mergeCell ref="A2:O2"/>
  </x:mergeCells>
  <x:conditionalFormatting sqref="O5:O39">
    <x:cfRule type="expression" dxfId="17" priority="1">
      <x:formula>ISNUMBER(SEARCH("finalise",O5))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c256d42d88431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48" hidden="0" customWidth="1"/>
    <x:col min="4" max="4" width="52" hidden="0" customWidth="1"/>
    <x:col min="5" max="5" width="48" hidden="0" customWidth="1"/>
    <x:col min="6" max="6" width="40" hidden="0" customWidth="1"/>
    <x:col min="7" max="7" width="38" hidden="0" customWidth="1"/>
    <x:col min="8" max="8" width="24" hidden="0" customWidth="1"/>
    <x:col min="9" max="9" width="14" hidden="0" customWidth="1"/>
    <x:col min="10" max="10" width="28" hidden="0" customWidth="1"/>
    <x:col min="11" max="11" width="34" hidden="0" customWidth="1"/>
    <x:col min="12" max="12" width="40" hidden="0" customWidth="1"/>
  </x:cols>
  <x:sheetData>
    <x:row r="1" ht="34" customHeight="1">
      <x:c r="A1" s="97" t="str">
        <x:v>Registro delle decisioni di modellazione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</x:row>
    <x:row r="2" ht="30" customHeight="1">
      <x:c r="A2" s="101" t="str">
        <x:v>36 decisioni; nessuna è bloccante immediatamente per la Fase 3A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</x:row>
    <x:row r="4" ht="38" customHeight="1">
      <x:c r="A4" s="119" t="str">
        <x:v>Decision ID</x:v>
      </x:c>
      <x:c r="B4" s="119" t="str">
        <x:v>Tema</x:v>
      </x:c>
      <x:c r="C4" s="119" t="str">
        <x:v>Domanda decisionale</x:v>
      </x:c>
      <x:c r="D4" s="119" t="str">
        <x:v>Default raccomandato</x:v>
      </x:c>
      <x:c r="E4" s="119" t="str">
        <x:v>Razionale</x:v>
      </x:c>
      <x:c r="F4" s="119" t="str">
        <x:v>Alternative</x:v>
      </x:c>
      <x:c r="G4" s="119" t="str">
        <x:v>Impatto sui risultati</x:v>
      </x:c>
      <x:c r="H4" s="119" t="str">
        <x:v>Richiesta entro</x:v>
      </x:c>
      <x:c r="I4" s="119" t="str">
        <x:v>Bloccante ora</x:v>
      </x:c>
      <x:c r="J4" s="119" t="str">
        <x:v>Stato</x:v>
      </x:c>
      <x:c r="K4" s="119" t="str">
        <x:v>Decisione utente</x:v>
      </x:c>
      <x:c r="L4" s="119" t="str">
        <x:v>Nota implementativa</x:v>
      </x:c>
    </x:row>
    <x:row r="5">
      <x:c r="A5" s="83" t="str">
        <x:v>D01</x:v>
      </x:c>
      <x:c r="B5" s="83" t="str">
        <x:v>Formulazione di base</x:v>
      </x:c>
      <x:c r="C5" s="83" t="str">
        <x:v>Il caso base deve essere un modello di trasporto per zone di mercato con capacità fisse e solo dispacciamento?</x:v>
      </x:c>
      <x:c r="D5" s="83" t="str">
        <x:v>Sì: Bus per zona, Link controllabili tra zone, p_nom/e_nom non estendibili.</x:v>
      </x:c>
      <x:c r="E5" s="83" t="str">
        <x:v>È coerente con l'obiettivo di simulare prezzi MGP zonali e con i dati Terna su zone/limiti di transito.</x:v>
      </x:c>
      <x:c r="F5" s="83" t="str">
        <x:v>Rete nodale PyPSA-Eur; modello ibrido zonale-nodale.</x:v>
      </x:c>
      <x:c r="G5" s="83" t="str">
        <x:v>Molto alto: determina prezzi, congestioni e dati richiesti.</x:v>
      </x:c>
      <x:c r="H5" s="83" t="str">
        <x:v>Prima della Fase 3C</x:v>
      </x:c>
      <x:c r="I5" s="83" t="str">
        <x:v>No</x:v>
      </x:c>
      <x:c r="J5" s="83" t="str">
        <x:v>Proposta da approvare</x:v>
      </x:c>
      <x:c r="K5" s="83" t="str"/>
      <x:c r="L5" s="83" t="str"/>
    </x:row>
    <x:row r="6">
      <x:c r="A6" s="83" t="str">
        <x:v>D02</x:v>
      </x:c>
      <x:c r="B6" s="83" t="str">
        <x:v>Zone italiane</x:v>
      </x:c>
      <x:c r="C6" s="83" t="str">
        <x:v>Quale configurazione zonale usare nel 2040 e nel 2050?</x:v>
      </x:c>
      <x:c r="D6" s="83" t="str">
        <x:v>Configurazione vigente più recente, con scenario alternativo solo se esiste una riforma ufficiale.</x:v>
      </x:c>
      <x:c r="E6" s="83" t="str">
        <x:v>Evita di inventare confini futuri e mantiene comparabilità con MGP.</x:v>
      </x:c>
      <x:c r="F6" s="83" t="str">
        <x:v>Zone future ipotetiche; aggregazione diversa.</x:v>
      </x:c>
      <x:c r="G6" s="83" t="str">
        <x:v>Alto: cambia domanda, capacità e congestioni.</x:v>
      </x:c>
      <x:c r="H6" s="83" t="str">
        <x:v>Fase 3C/4</x:v>
      </x:c>
      <x:c r="I6" s="83" t="str">
        <x:v>No</x:v>
      </x:c>
      <x:c r="J6" s="83" t="str">
        <x:v>Aperta</x:v>
      </x:c>
      <x:c r="K6" s="83" t="str"/>
      <x:c r="L6" s="83" t="str"/>
    </x:row>
    <x:row r="7">
      <x:c r="A7" s="83" t="str">
        <x:v>D03</x:v>
      </x:c>
      <x:c r="B7" s="83" t="str">
        <x:v>Sistemi esteri</x:v>
      </x:c>
      <x:c r="C7" s="83" t="str">
        <x:v>Paesi confinanti endogeni in PyPSA-Eur o prezzi/import esogeni?</x:v>
      </x:c>
      <x:c r="D7" s="83" t="str">
        <x:v>Nodi esteri aggregati endogeni se il workflow CLI lo consente; esogeni come sensitivity.</x:v>
      </x:c>
      <x:c r="E7" s="83" t="str">
        <x:v>I prezzi italiani dipendono materialmente dall'estero; l'endogeneità evita profili prezzo imposti.</x:v>
      </x:c>
      <x:c r="F7" s="83" t="str">
        <x:v>Prezzi esteri esogeni; import netti fissi.</x:v>
      </x:c>
      <x:c r="G7" s="83" t="str">
        <x:v>Molto alto: modifica prezzi e import/export.</x:v>
      </x:c>
      <x:c r="H7" s="83" t="str">
        <x:v>Prima della Fase 4</x:v>
      </x:c>
      <x:c r="I7" s="83" t="str">
        <x:v>No</x:v>
      </x:c>
      <x:c r="J7" s="83" t="str">
        <x:v>Aperta</x:v>
      </x:c>
      <x:c r="K7" s="83" t="str"/>
      <x:c r="L7" s="83" t="str"/>
    </x:row>
    <x:row r="8">
      <x:c r="A8" s="83" t="str">
        <x:v>D04</x:v>
      </x:c>
      <x:c r="B8" s="83" t="str">
        <x:v>Risoluzione temporale</x:v>
      </x:c>
      <x:c r="C8" s="83" t="str">
        <x:v>Anno completo orario o time sampling?</x:v>
      </x:c>
      <x:c r="D8" s="83" t="str">
        <x:v>8760/8784 snapshot orari con peso 1 nel caso base.</x:v>
      </x:c>
      <x:c r="E8" s="83" t="str">
        <x:v>Preserva picchi, prezzi estremi, storage e congestioni.</x:v>
      </x:c>
      <x:c r="F8" s="83" t="str">
        <x:v>Representative days; 3-hourly; time clustering.</x:v>
      </x:c>
      <x:c r="G8" s="83" t="str">
        <x:v>Molto alto su prezzi e storage.</x:v>
      </x:c>
      <x:c r="H8" s="83" t="str">
        <x:v>Prima dell'implementazione</x:v>
      </x:c>
      <x:c r="I8" s="83" t="str">
        <x:v>No</x:v>
      </x:c>
      <x:c r="J8" s="83" t="str">
        <x:v>Proposta da approvare</x:v>
      </x:c>
      <x:c r="K8" s="83" t="str"/>
      <x:c r="L8" s="83" t="str"/>
    </x:row>
    <x:row r="9">
      <x:c r="A9" s="83" t="str">
        <x:v>D05</x:v>
      </x:c>
      <x:c r="B9" s="83" t="str">
        <x:v>Anno meteorologico</x:v>
      </x:c>
      <x:c r="C9" s="83" t="str">
        <x:v>Quale anno meteo usare e quante sensitività?</x:v>
      </x:c>
      <x:c r="D9" s="83" t="str">
        <x:v>Un anno centrale esplicito più almeno due anni di sensitività.</x:v>
      </x:c>
      <x:c r="E9" s="83" t="str">
        <x:v>FER, idroelettrico e domanda climatica determinano prezzi e curtailment.</x:v>
      </x:c>
      <x:c r="F9" s="83" t="str">
        <x:v>Singolo anno; synthetic typical year.</x:v>
      </x:c>
      <x:c r="G9" s="83" t="str">
        <x:v>Molto alto.</x:v>
      </x:c>
      <x:c r="H9" s="83" t="str">
        <x:v>Fase 4</x:v>
      </x:c>
      <x:c r="I9" s="83" t="str">
        <x:v>No</x:v>
      </x:c>
      <x:c r="J9" s="83" t="str">
        <x:v>Aperta</x:v>
      </x:c>
      <x:c r="K9" s="83" t="str"/>
      <x:c r="L9" s="83" t="str"/>
    </x:row>
    <x:row r="10">
      <x:c r="A10" s="83" t="str">
        <x:v>D06</x:v>
      </x:c>
      <x:c r="B10" s="83" t="str">
        <x:v>Profilo domanda</x:v>
      </x:c>
      <x:c r="C10" s="83" t="str">
        <x:v>Come costruire i profili zonali futuri?</x:v>
      </x:c>
      <x:c r="D10" s="83" t="str">
        <x:v>Profilo storico/PyPSA per zona scalato ai totali futuri, con profili dedicati per nuovi carichi.</x:v>
      </x:c>
      <x:c r="E10" s="83" t="str">
        <x:v>Separa crescita annuale e cambiamento di shape.</x:v>
      </x:c>
      <x:c r="F10" s="83" t="str">
        <x:v>Un solo profilo nazionale ripartito con quote costanti.</x:v>
      </x:c>
      <x:c r="G10" s="83" t="str">
        <x:v>Molto alto.</x:v>
      </x:c>
      <x:c r="H10" s="83" t="str">
        <x:v>Fase 3A/4</x:v>
      </x:c>
      <x:c r="I10" s="83" t="str">
        <x:v>No</x:v>
      </x:c>
      <x:c r="J10" s="83" t="str">
        <x:v>Proposta</x:v>
      </x:c>
      <x:c r="K10" s="83" t="str"/>
      <x:c r="L10" s="83" t="str"/>
    </x:row>
    <x:row r="11">
      <x:c r="A11" s="83" t="str">
        <x:v>D07</x:v>
      </x:c>
      <x:c r="B11" s="83" t="str">
        <x:v>Domanda settoriale</x:v>
      </x:c>
      <x:c r="C11" s="83" t="str">
        <x:v>Mantenere Load separati per settore o solo domanda aggregata?</x:v>
      </x:c>
      <x:c r="D11" s="83" t="str">
        <x:v>Load separati almeno per nuovi carichi e carichi flessibili; aggregazione per la domanda convenzionale.</x:v>
      </x:c>
      <x:c r="E11" s="83" t="str">
        <x:v>Consente sensitività senza sovraccaricare il modello.</x:v>
      </x:c>
      <x:c r="F11" s="83" t="str">
        <x:v>Un solo Load per zona; pieno sector coupling.</x:v>
      </x:c>
      <x:c r="G11" s="83" t="str">
        <x:v>Medio-alto.</x:v>
      </x:c>
      <x:c r="H11" s="83" t="str">
        <x:v>Fase 4</x:v>
      </x:c>
      <x:c r="I11" s="83" t="str">
        <x:v>No</x:v>
      </x:c>
      <x:c r="J11" s="83" t="str">
        <x:v>Proposta</x:v>
      </x:c>
      <x:c r="K11" s="83" t="str"/>
      <x:c r="L11" s="83" t="str"/>
    </x:row>
    <x:row r="12">
      <x:c r="A12" s="83" t="str">
        <x:v>D08</x:v>
      </x:c>
      <x:c r="B12" s="83" t="str">
        <x:v>Autoconsumo e perdite</x:v>
      </x:c>
      <x:c r="C12" s="83" t="str">
        <x:v>Quale perimetro di domanda usare?</x:v>
      </x:c>
      <x:c r="D12" s="83" t="str">
        <x:v>Domanda di rete coerente con i profili; PV distribuito esplicito; perdite conteggiate una sola volta.</x:v>
      </x:c>
      <x:c r="E12" s="83" t="str">
        <x:v>Evita doppio conteggio di autoconsumi e perdite.</x:v>
      </x:c>
      <x:c r="F12" s="83" t="str">
        <x:v>Fabbisogno lordo; consumi finali.</x:v>
      </x:c>
      <x:c r="G12" s="83" t="str">
        <x:v>Alto.</x:v>
      </x:c>
      <x:c r="H12" s="83" t="str">
        <x:v>Fase 3A/4</x:v>
      </x:c>
      <x:c r="I12" s="83" t="str">
        <x:v>No</x:v>
      </x:c>
      <x:c r="J12" s="83" t="str">
        <x:v>Aperta</x:v>
      </x:c>
      <x:c r="K12" s="83" t="str"/>
      <x:c r="L12" s="83" t="str"/>
    </x:row>
    <x:row r="13">
      <x:c r="A13" s="83" t="str">
        <x:v>D09</x:v>
      </x:c>
      <x:c r="B13" s="83" t="str">
        <x:v>Aggregazione impianti</x:v>
      </x:c>
      <x:c r="C13" s="83" t="str">
        <x:v>Impianti unit-level o coorti zona-tecnologia?</x:v>
      </x:c>
      <x:c r="D13" s="83" t="str">
        <x:v>VRE aggregata per zona; termico in coorti di efficienza/combustibile/età; unit-level solo per grandi asset.</x:v>
      </x:c>
      <x:c r="E13" s="83" t="str">
        <x:v>Mantiene merit order con dimensione gestibile.</x:v>
      </x:c>
      <x:c r="F13" s="83" t="str">
        <x:v>Tutto aggregato; tutto unit-level.</x:v>
      </x:c>
      <x:c r="G13" s="83" t="str">
        <x:v>Alto.</x:v>
      </x:c>
      <x:c r="H13" s="83" t="str">
        <x:v>Fase 3A/4</x:v>
      </x:c>
      <x:c r="I13" s="83" t="str">
        <x:v>No</x:v>
      </x:c>
      <x:c r="J13" s="83" t="str">
        <x:v>Proposta</x:v>
      </x:c>
      <x:c r="K13" s="83" t="str"/>
      <x:c r="L13" s="83" t="str"/>
    </x:row>
    <x:row r="14">
      <x:c r="A14" s="83" t="str">
        <x:v>D10</x:v>
      </x:c>
      <x:c r="B14" s="83" t="str">
        <x:v>Unit commitment</x:v>
      </x:c>
      <x:c r="C14" s="83" t="str">
        <x:v>Unit commitment nel caso base?</x:v>
      </x:c>
      <x:c r="D14" s="83" t="str">
        <x:v>No nel base LP; sensitivity MILP con UC per termico/nucleare se i dati tecnici sono sufficienti.</x:v>
      </x:c>
      <x:c r="E14" s="83" t="str">
        <x:v>Il base resta trasparente e scalabile; la sensitivity quantifica startup/minimi tecnici.</x:v>
      </x:c>
      <x:c r="F14" s="83" t="str">
        <x:v>UC in tutti i run; nessuna UC sensitivity.</x:v>
      </x:c>
      <x:c r="G14" s="83" t="str">
        <x:v>Alto soprattutto su ore marginali e prezzi bassi.</x:v>
      </x:c>
      <x:c r="H14" s="83" t="str">
        <x:v>Fase 4/7</x:v>
      </x:c>
      <x:c r="I14" s="83" t="str">
        <x:v>No</x:v>
      </x:c>
      <x:c r="J14" s="83" t="str">
        <x:v>Proposta</x:v>
      </x:c>
      <x:c r="K14" s="83" t="str"/>
      <x:c r="L14" s="83" t="str"/>
    </x:row>
    <x:row r="15">
      <x:c r="A15" s="83" t="str">
        <x:v>D11</x:v>
      </x:c>
      <x:c r="B15" s="83" t="str">
        <x:v>Indisponibilità</x:v>
      </x:c>
      <x:c r="C15" s="83" t="str">
        <x:v>Come rappresentare outage e disponibilità?</x:v>
      </x:c>
      <x:c r="D15" s="83" t="str">
        <x:v>Derating per tecnologia/stagione nel base; profili o scenari outage in sensitivity.</x:v>
      </x:c>
      <x:c r="E15" s="83" t="str">
        <x:v>Bilancia realismo e disponibilità dati.</x:v>
      </x:c>
      <x:c r="F15" s="83" t="str">
        <x:v>Capacità nominale sempre disponibile; outage stocastici.</x:v>
      </x:c>
      <x:c r="G15" s="83" t="str">
        <x:v>Alto su adeguatezza/prezzi.</x:v>
      </x:c>
      <x:c r="H15" s="83" t="str">
        <x:v>Fase 3D/4</x:v>
      </x:c>
      <x:c r="I15" s="83" t="str">
        <x:v>No</x:v>
      </x:c>
      <x:c r="J15" s="83" t="str">
        <x:v>Aperta</x:v>
      </x:c>
      <x:c r="K15" s="83" t="str"/>
      <x:c r="L15" s="83" t="str"/>
    </x:row>
    <x:row r="16">
      <x:c r="A16" s="83" t="str">
        <x:v>D12</x:v>
      </x:c>
      <x:c r="B16" s="83" t="str">
        <x:v>Costo marginale</x:v>
      </x:c>
      <x:c r="C16" s="83" t="str">
        <x:v>Formula e responsabilità del calcolo marginal cost?</x:v>
      </x:c>
      <x:c r="D16" s="83" t="str">
        <x:v>Calcolo esterno auditabile: fuel/efficiency + CO2*EF/efficiency + VOM + altri costi.</x:v>
      </x:c>
      <x:c r="E16" s="83" t="str">
        <x:v>Evita doppia applicazione di CO2 e rende il merit order controllabile.</x:v>
      </x:c>
      <x:c r="F16" s="83" t="str">
        <x:v>Costi già aggregati da fonti; global CO2 constraint.</x:v>
      </x:c>
      <x:c r="G16" s="83" t="str">
        <x:v>Molto alto.</x:v>
      </x:c>
      <x:c r="H16" s="83" t="str">
        <x:v>Fase 3D</x:v>
      </x:c>
      <x:c r="I16" s="83" t="str">
        <x:v>No</x:v>
      </x:c>
      <x:c r="J16" s="83" t="str">
        <x:v>Proposta</x:v>
      </x:c>
      <x:c r="K16" s="83" t="str"/>
      <x:c r="L16" s="83" t="str"/>
    </x:row>
    <x:row r="17">
      <x:c r="A17" s="83" t="str">
        <x:v>D13</x:v>
      </x:c>
      <x:c r="B17" s="83" t="str">
        <x:v>Granularità commodity</x:v>
      </x:c>
      <x:c r="C17" s="83" t="str">
        <x:v>Fuel e CO2 annuali o time-varying?</x:v>
      </x:c>
      <x:c r="D17" s="83" t="str">
        <x:v>Valori annuali di scenario nel base; profili mensili/volatili in sensitivity.</x:v>
      </x:c>
      <x:c r="E17" s="83" t="str">
        <x:v>Gli scenari 2040/2050 sono strutturali; la volatilità è meglio isolata.</x:v>
      </x:c>
      <x:c r="F17" s="83" t="str">
        <x:v>Serie oraria; valori fissi unici senza sensitivity.</x:v>
      </x:c>
      <x:c r="G17" s="83" t="str">
        <x:v>Alto.</x:v>
      </x:c>
      <x:c r="H17" s="83" t="str">
        <x:v>Fase 3D/4</x:v>
      </x:c>
      <x:c r="I17" s="83" t="str">
        <x:v>No</x:v>
      </x:c>
      <x:c r="J17" s="83" t="str">
        <x:v>Proposta</x:v>
      </x:c>
      <x:c r="K17" s="83" t="str"/>
      <x:c r="L17" s="83" t="str"/>
    </x:row>
    <x:row r="18">
      <x:c r="A18" s="83" t="str">
        <x:v>D14</x:v>
      </x:c>
      <x:c r="B18" s="83" t="str">
        <x:v>Offerte FER</x:v>
      </x:c>
      <x:c r="C18" s="83" t="str">
        <x:v>FER a costo marginale zero o offerte negative?</x:v>
      </x:c>
      <x:c r="D18" s="83" t="str">
        <x:v>Zero nel base; negative bids solo in sensitivity supportata da regole/incentivi.</x:v>
      </x:c>
      <x:c r="E18" s="83" t="str">
        <x:v>Separa costo tecnico e strategia di offerta.</x:v>
      </x:c>
      <x:c r="F18" s="83" t="str">
        <x:v>Sempre negative; costo positivo.</x:v>
      </x:c>
      <x:c r="G18" s="83" t="str">
        <x:v>Medio-alto sui prezzi negativi.</x:v>
      </x:c>
      <x:c r="H18" s="83" t="str">
        <x:v>Fase 3D/4</x:v>
      </x:c>
      <x:c r="I18" s="83" t="str">
        <x:v>No</x:v>
      </x:c>
      <x:c r="J18" s="83" t="str">
        <x:v>Proposta</x:v>
      </x:c>
      <x:c r="K18" s="83" t="str"/>
      <x:c r="L18" s="83" t="str"/>
    </x:row>
    <x:row r="19">
      <x:c r="A19" s="83" t="str">
        <x:v>D15</x:v>
      </x:c>
      <x:c r="B19" s="83" t="str">
        <x:v>Idroelettrico</x:v>
      </x:c>
      <x:c r="C19" s="83" t="str">
        <x:v>Quale architettura per run-of-river, serbatoi e pompaggi?</x:v>
      </x:c>
      <x:c r="D19" s="83" t="str">
        <x:v>Tre classi separate; Store+Links quando potenza/energia sono indipendenti, StorageUnit quando il rapporto è fisso.</x:v>
      </x:c>
      <x:c r="E19" s="83" t="str">
        <x:v>Preserva inflow, energia e potenza senza aggregazioni improprie.</x:v>
      </x:c>
      <x:c r="F19" s="83" t="str">
        <x:v>Tutto Generator; tutto StorageUnit.</x:v>
      </x:c>
      <x:c r="G19" s="83" t="str">
        <x:v>Molto alto su flessibilità/prezzi.</x:v>
      </x:c>
      <x:c r="H19" s="83" t="str">
        <x:v>Prima della Fase 3B</x:v>
      </x:c>
      <x:c r="I19" s="83" t="str">
        <x:v>No</x:v>
      </x:c>
      <x:c r="J19" s="83" t="str">
        <x:v>Proposta</x:v>
      </x:c>
      <x:c r="K19" s="83" t="str"/>
      <x:c r="L19" s="83" t="str"/>
    </x:row>
    <x:row r="20">
      <x:c r="A20" s="83" t="str">
        <x:v>D16</x:v>
      </x:c>
      <x:c r="B20" s="83" t="str">
        <x:v>SOC idroelettrico</x:v>
      </x:c>
      <x:c r="C20" s="83" t="str">
        <x:v>Condizione terminale dei serbatoi?</x:v>
      </x:c>
      <x:c r="D20" s="83" t="str">
        <x:v>Ciclica o target finale calibrato; mai SOC finale libero nel run annuale.</x:v>
      </x:c>
      <x:c r="E20" s="83" t="str">
        <x:v>Evita svuotamento artificiale a fine anno.</x:v>
      </x:c>
      <x:c r="F20" s="83" t="str">
        <x:v>SOC iniziale/finale libero; rolling horizon.</x:v>
      </x:c>
      <x:c r="G20" s="83" t="str">
        <x:v>Alto.</x:v>
      </x:c>
      <x:c r="H20" s="83" t="str">
        <x:v>Fase 3B/4</x:v>
      </x:c>
      <x:c r="I20" s="83" t="str">
        <x:v>No</x:v>
      </x:c>
      <x:c r="J20" s="83" t="str">
        <x:v>Proposta</x:v>
      </x:c>
      <x:c r="K20" s="83" t="str"/>
      <x:c r="L20" s="83" t="str"/>
    </x:row>
    <x:row r="21">
      <x:c r="A21" s="83" t="str">
        <x:v>D17</x:v>
      </x:c>
      <x:c r="B21" s="83" t="str">
        <x:v>Batterie</x:v>
      </x:c>
      <x:c r="C21" s="83" t="str">
        <x:v>StorageUnit o Store+Links?</x:v>
      </x:c>
      <x:c r="D21" s="83" t="str">
        <x:v>Store con Link separati per carica/scarica.</x:v>
      </x:c>
      <x:c r="E21" s="83" t="str">
        <x:v>Le fonti forniscono MW e MWh separatamente e le durate possono differire.</x:v>
      </x:c>
      <x:c r="F21" s="83" t="str">
        <x:v>StorageUnit con max_hours.</x:v>
      </x:c>
      <x:c r="G21" s="83" t="str">
        <x:v>Alto.</x:v>
      </x:c>
      <x:c r="H21" s="83" t="str">
        <x:v>Prima della Fase 3B</x:v>
      </x:c>
      <x:c r="I21" s="83" t="str">
        <x:v>No</x:v>
      </x:c>
      <x:c r="J21" s="83" t="str">
        <x:v>Proposta</x:v>
      </x:c>
      <x:c r="K21" s="83" t="str"/>
      <x:c r="L21" s="83" t="str"/>
    </x:row>
    <x:row r="22">
      <x:c r="A22" s="83" t="str">
        <x:v>D18</x:v>
      </x:c>
      <x:c r="B22" s="83" t="str">
        <x:v>SOC e classi storage</x:v>
      </x:c>
      <x:c r="C22" s="83" t="str">
        <x:v>Come separare durate e chiudere il SOC?</x:v>
      </x:c>
      <x:c r="D22" s="83" t="str">
        <x:v>Classi per durata/tecnologia e SOC ciclico per anno completo.</x:v>
      </x:c>
      <x:c r="E22" s="83" t="str">
        <x:v>Evita una batteria media non fisica.</x:v>
      </x:c>
      <x:c r="F22" s="83" t="str">
        <x:v>Un'unica classe; SOC finale libero.</x:v>
      </x:c>
      <x:c r="G22" s="83" t="str">
        <x:v>Alto.</x:v>
      </x:c>
      <x:c r="H22" s="83" t="str">
        <x:v>Fase 3B/4</x:v>
      </x:c>
      <x:c r="I22" s="83" t="str">
        <x:v>No</x:v>
      </x:c>
      <x:c r="J22" s="83" t="str">
        <x:v>Proposta</x:v>
      </x:c>
      <x:c r="K22" s="83" t="str"/>
      <x:c r="L22" s="83" t="str"/>
    </x:row>
    <x:row r="23">
      <x:c r="A23" s="83" t="str">
        <x:v>D19</x:v>
      </x:c>
      <x:c r="B23" s="83" t="str">
        <x:v>MACSE/Capacity Market</x:v>
      </x:c>
      <x:c r="C23" s="83" t="str">
        <x:v>Quale capacità futura considerare realizzata?</x:v>
      </x:c>
      <x:c r="D23" s="83" t="str">
        <x:v>Solo capacità assegnata/certa o esplicitamente inclusa nello scenario; target/pipeline in sensitività.</x:v>
      </x:c>
      <x:c r="E23" s="83" t="str">
        <x:v>Evita di trasformare richieste o target in installato.</x:v>
      </x:c>
      <x:c r="F23" s="83" t="str">
        <x:v>Tutto il target; tutte le richieste.</x:v>
      </x:c>
      <x:c r="G23" s="83" t="str">
        <x:v>Molto alto.</x:v>
      </x:c>
      <x:c r="H23" s="83" t="str">
        <x:v>Fase 3B/4</x:v>
      </x:c>
      <x:c r="I23" s="83" t="str">
        <x:v>No</x:v>
      </x:c>
      <x:c r="J23" s="83" t="str">
        <x:v>Proposta</x:v>
      </x:c>
      <x:c r="K23" s="83" t="str"/>
      <x:c r="L23" s="83" t="str"/>
    </x:row>
    <x:row r="24">
      <x:c r="A24" s="83" t="str">
        <x:v>D20</x:v>
      </x:c>
      <x:c r="B24" s="83" t="str">
        <x:v>Capacità di scambio</x:v>
      </x:c>
      <x:c r="C24" s="83" t="str">
        <x:v>Quale valore usare tra rating progetto, incremento, target capacity e NTC?</x:v>
      </x:c>
      <x:c r="D24" s="83" t="str">
        <x:v>Limite di transito di mercato previsto; progetto/target conservati come evidenza separata.</x:v>
      </x:c>
      <x:c r="E24" s="83" t="str">
        <x:v>È il parametro rilevante per il modello zonale.</x:v>
      </x:c>
      <x:c r="F24" s="83" t="str">
        <x:v>Rating nominale; target economico.</x:v>
      </x:c>
      <x:c r="G24" s="83" t="str">
        <x:v>Molto alto.</x:v>
      </x:c>
      <x:c r="H24" s="83" t="str">
        <x:v>Fase 3C/4</x:v>
      </x:c>
      <x:c r="I24" s="83" t="str">
        <x:v>No</x:v>
      </x:c>
      <x:c r="J24" s="83" t="str">
        <x:v>Proposta</x:v>
      </x:c>
      <x:c r="K24" s="83" t="str"/>
      <x:c r="L24" s="83" t="str"/>
    </x:row>
    <x:row r="25">
      <x:c r="A25" s="83" t="str">
        <x:v>D21</x:v>
      </x:c>
      <x:c r="B25" s="83" t="str">
        <x:v>Direzionalità/seasonality</x:v>
      </x:c>
      <x:c r="C25" s="83" t="str">
        <x:v>NTC simmetriche e statiche o direzionali/stagionali?</x:v>
      </x:c>
      <x:c r="D25" s="83" t="str">
        <x:v>Direzionali e stagionali quando disponibili; separate Links se asimmetriche.</x:v>
      </x:c>
      <x:c r="E25" s="83" t="str">
        <x:v>Replica meglio i limiti di mercato.</x:v>
      </x:c>
      <x:c r="F25" s="83" t="str">
        <x:v>Capacità annuale simmetrica.</x:v>
      </x:c>
      <x:c r="G25" s="83" t="str">
        <x:v>Alto.</x:v>
      </x:c>
      <x:c r="H25" s="83" t="str">
        <x:v>Fase 3C/4</x:v>
      </x:c>
      <x:c r="I25" s="83" t="str">
        <x:v>No</x:v>
      </x:c>
      <x:c r="J25" s="83" t="str">
        <x:v>Proposta</x:v>
      </x:c>
      <x:c r="K25" s="83" t="str"/>
      <x:c r="L25" s="83" t="str"/>
    </x:row>
    <x:row r="26">
      <x:c r="A26" s="83" t="str">
        <x:v>D22</x:v>
      </x:c>
      <x:c r="B26" s="83" t="str">
        <x:v>Varianti rete</x:v>
      </x:c>
      <x:c r="C26" s="83" t="str">
        <x:v>Quali scenari rete?</x:v>
      </x:c>
      <x:c r="D26" s="83" t="str">
        <x:v>2040 Base + Conservative; 2050 Central + High Grid.</x:v>
      </x:c>
      <x:c r="E26" s="83" t="str">
        <x:v>Isola l'incertezza di completamento e sviluppo.</x:v>
      </x:c>
      <x:c r="F26" s="83" t="str">
        <x:v>Un solo caso; molte combinazioni non controllate.</x:v>
      </x:c>
      <x:c r="G26" s="83" t="str">
        <x:v>Alto.</x:v>
      </x:c>
      <x:c r="H26" s="83" t="str">
        <x:v>Fase 4</x:v>
      </x:c>
      <x:c r="I26" s="83" t="str">
        <x:v>No</x:v>
      </x:c>
      <x:c r="J26" s="83" t="str">
        <x:v>Definita nel piano</x:v>
      </x:c>
      <x:c r="K26" s="83" t="str"/>
      <x:c r="L26" s="83" t="str"/>
    </x:row>
    <x:row r="27">
      <x:c r="A27" s="83" t="str">
        <x:v>D23</x:v>
      </x:c>
      <x:c r="B27" s="83" t="str">
        <x:v>Perdite rete</x:v>
      </x:c>
      <x:c r="C27" s="83" t="str">
        <x:v>Perdite nella domanda o nell'efficienza dei Link?</x:v>
      </x:c>
      <x:c r="D27" s="83" t="str">
        <x:v>Una sola rappresentazione; preferire Link efficiency per corridoi se i totali domanda sono netti.</x:v>
      </x:c>
      <x:c r="E27" s="83" t="str">
        <x:v>Mantiene tracciabilità fisica.</x:v>
      </x:c>
      <x:c r="F27" s="83" t="str">
        <x:v>Perdite già nel Load; ignorate.</x:v>
      </x:c>
      <x:c r="G27" s="83" t="str">
        <x:v>Medio-alto.</x:v>
      </x:c>
      <x:c r="H27" s="83" t="str">
        <x:v>Fase 3C/4</x:v>
      </x:c>
      <x:c r="I27" s="83" t="str">
        <x:v>No</x:v>
      </x:c>
      <x:c r="J27" s="83" t="str">
        <x:v>Aperta</x:v>
      </x:c>
      <x:c r="K27" s="83" t="str"/>
      <x:c r="L27" s="83" t="str"/>
    </x:row>
    <x:row r="28">
      <x:c r="A28" s="83" t="str">
        <x:v>D24</x:v>
      </x:c>
      <x:c r="B28" s="83" t="str">
        <x:v>Nucleare 2050</x:v>
      </x:c>
      <x:c r="C28" s="83" t="str">
        <x:v>Scenario centrale con o senza nucleare?</x:v>
      </x:c>
      <x:c r="D28" s="83" t="str">
        <x:v>Mantenere due rami espliciti; non fondere le capacità.</x:v>
      </x:c>
      <x:c r="E28" s="83" t="str">
        <x:v>Le fonti presentano alternative di scenario.</x:v>
      </x:c>
      <x:c r="F28" s="83" t="str">
        <x:v>Un unico scenario scelto ora.</x:v>
      </x:c>
      <x:c r="G28" s="83" t="str">
        <x:v>Molto alto.</x:v>
      </x:c>
      <x:c r="H28" s="83" t="str">
        <x:v>Fase 4</x:v>
      </x:c>
      <x:c r="I28" s="83" t="str">
        <x:v>No</x:v>
      </x:c>
      <x:c r="J28" s="83" t="str">
        <x:v>Proposta</x:v>
      </x:c>
      <x:c r="K28" s="83" t="str"/>
      <x:c r="L28" s="83" t="str"/>
    </x:row>
    <x:row r="29">
      <x:c r="A29" s="83" t="str">
        <x:v>D25</x:v>
      </x:c>
      <x:c r="B29" s="83" t="str">
        <x:v>CCS 2050</x:v>
      </x:c>
      <x:c r="C29" s="83" t="str">
        <x:v>Includere CCS nel modello elettrico?</x:v>
      </x:c>
      <x:c r="D29" s="83" t="str">
        <x:v>Solo nei rami di scenario che lo richiedono e con efficiency penalty/emissioni residue.</x:v>
      </x:c>
      <x:c r="E29" s="83" t="str">
        <x:v>Evita una tecnologia generica senza parametri.</x:v>
      </x:c>
      <x:c r="F29" s="83" t="str">
        <x:v>Escludere sempre; includere nel base.</x:v>
      </x:c>
      <x:c r="G29" s="83" t="str">
        <x:v>Alto.</x:v>
      </x:c>
      <x:c r="H29" s="83" t="str">
        <x:v>Fase 4</x:v>
      </x:c>
      <x:c r="I29" s="83" t="str">
        <x:v>No</x:v>
      </x:c>
      <x:c r="J29" s="83" t="str">
        <x:v>Aperta</x:v>
      </x:c>
      <x:c r="K29" s="83" t="str"/>
      <x:c r="L29" s="83" t="str"/>
    </x:row>
    <x:row r="30">
      <x:c r="A30" s="83" t="str">
        <x:v>D26</x:v>
      </x:c>
      <x:c r="B30" s="83" t="str">
        <x:v>Idrogeno e power-to-X</x:v>
      </x:c>
      <x:c r="C30" s="83" t="str">
        <x:v>Rappresentazione esogena o sector-coupled?</x:v>
      </x:c>
      <x:c r="D30" s="83" t="str">
        <x:v>Nel modello electricity-only: Load flessibile/esogeno; Link e rete H2 solo in estensione separata.</x:v>
      </x:c>
      <x:c r="E30" s="83" t="str">
        <x:v>Mantiene il perimetro della consegna.</x:v>
      </x:c>
      <x:c r="F30" s="83" t="str">
        <x:v>Pieno sector coupling; esclusione totale.</x:v>
      </x:c>
      <x:c r="G30" s="83" t="str">
        <x:v>Alto su domanda/prezzi.</x:v>
      </x:c>
      <x:c r="H30" s="83" t="str">
        <x:v>Fase 3A/4</x:v>
      </x:c>
      <x:c r="I30" s="83" t="str">
        <x:v>No</x:v>
      </x:c>
      <x:c r="J30" s="83" t="str">
        <x:v>Proposta</x:v>
      </x:c>
      <x:c r="K30" s="83" t="str"/>
      <x:c r="L30" s="83" t="str"/>
    </x:row>
    <x:row r="31">
      <x:c r="A31" s="83" t="str">
        <x:v>D27</x:v>
      </x:c>
      <x:c r="B31" s="83" t="str">
        <x:v>Demand response</x:v>
      </x:c>
      <x:c r="C31" s="83" t="str">
        <x:v>Includere flessibilità della domanda nel base?</x:v>
      </x:c>
      <x:c r="D31" s="83" t="str">
        <x:v>No nel base salvo evidenza solida; sensitivity per EV/HP/industria/H2.</x:v>
      </x:c>
      <x:c r="E31" s="83" t="str">
        <x:v>Evita flessibilità non supportata che abbassa artificialmente i prezzi.</x:v>
      </x:c>
      <x:c r="F31" s="83" t="str">
        <x:v>Tutta domanda flessibile; nessuna sensitivity.</x:v>
      </x:c>
      <x:c r="G31" s="83" t="str">
        <x:v>Alto.</x:v>
      </x:c>
      <x:c r="H31" s="83" t="str">
        <x:v>Fase 4</x:v>
      </x:c>
      <x:c r="I31" s="83" t="str">
        <x:v>No</x:v>
      </x:c>
      <x:c r="J31" s="83" t="str">
        <x:v>Proposta</x:v>
      </x:c>
      <x:c r="K31" s="83" t="str"/>
      <x:c r="L31" s="83" t="str"/>
    </x:row>
    <x:row r="32">
      <x:c r="A32" s="83" t="str">
        <x:v>D28</x:v>
      </x:c>
      <x:c r="B32" s="83" t="str">
        <x:v>Load shedding</x:v>
      </x:c>
      <x:c r="C32" s="83" t="str">
        <x:v>Valore VOLL e capacità virtuale?</x:v>
      </x:c>
      <x:c r="D32" s="83" t="str">
        <x:v>VOLL documentato e Generator virtuale per zona dimensionato oltre il picco.</x:v>
      </x:c>
      <x:c r="E32" s="83" t="str">
        <x:v>Garantisce fattibilità e misura EENS.</x:v>
      </x:c>
      <x:c r="F32" s="83" t="str">
        <x:v>Nessun load shedding; penalità arbitraria.</x:v>
      </x:c>
      <x:c r="G32" s="83" t="str">
        <x:v>Alto.</x:v>
      </x:c>
      <x:c r="H32" s="83" t="str">
        <x:v>Fase 3D/4</x:v>
      </x:c>
      <x:c r="I32" s="83" t="str">
        <x:v>No</x:v>
      </x:c>
      <x:c r="J32" s="83" t="str">
        <x:v>Aperta</x:v>
      </x:c>
      <x:c r="K32" s="83" t="str"/>
      <x:c r="L32" s="83" t="str"/>
    </x:row>
    <x:row r="33">
      <x:c r="A33" s="83" t="str">
        <x:v>D29</x:v>
      </x:c>
      <x:c r="B33" s="83" t="str">
        <x:v>Prezzi/PUN</x:v>
      </x:c>
      <x:c r="C33" s="83" t="str">
        <x:v>Come derivare il benchmark nazionale?</x:v>
      </x:c>
      <x:c r="D33" s="83" t="str">
        <x:v>Prezzi zonali come output primario; PUN proxy post-processato con pesi di acquisto/domanda.</x:v>
      </x:c>
      <x:c r="E33" s="83" t="str">
        <x:v>Il modello zonale non produce automaticamente il meccanismo GME completo.</x:v>
      </x:c>
      <x:c r="F33" s="83" t="str">
        <x:v>Media semplice; prezzo del bus nazionale.</x:v>
      </x:c>
      <x:c r="G33" s="83" t="str">
        <x:v>Molto alto per il deliverable.</x:v>
      </x:c>
      <x:c r="H33" s="83" t="str">
        <x:v>Fase 4/7</x:v>
      </x:c>
      <x:c r="I33" s="83" t="str">
        <x:v>No</x:v>
      </x:c>
      <x:c r="J33" s="83" t="str">
        <x:v>Proposta</x:v>
      </x:c>
      <x:c r="K33" s="83" t="str"/>
      <x:c r="L33" s="83" t="str"/>
    </x:row>
    <x:row r="34">
      <x:c r="A34" s="83" t="str">
        <x:v>D30</x:v>
      </x:c>
      <x:c r="B34" s="83" t="str">
        <x:v>Cap/floor</x:v>
      </x:c>
      <x:c r="C34" s="83" t="str">
        <x:v>Applicare limiti amministrativi ai prezzi?</x:v>
      </x:c>
      <x:c r="D34" s="83" t="str">
        <x:v>Rappresentare via offerte/VOLL; non troncare i duali ex post nel dataset tecnico.</x:v>
      </x:c>
      <x:c r="E34" s="83" t="str">
        <x:v>Il clipping nasconde scarsità e altera statistiche.</x:v>
      </x:c>
      <x:c r="F34" s="83" t="str">
        <x:v>Clipping al cap/floor GME.</x:v>
      </x:c>
      <x:c r="G34" s="83" t="str">
        <x:v>Medio-alto.</x:v>
      </x:c>
      <x:c r="H34" s="83" t="str">
        <x:v>Fase 3D/4</x:v>
      </x:c>
      <x:c r="I34" s="83" t="str">
        <x:v>No</x:v>
      </x:c>
      <x:c r="J34" s="83" t="str">
        <x:v>Proposta</x:v>
      </x:c>
      <x:c r="K34" s="83" t="str"/>
      <x:c r="L34" s="83" t="str"/>
    </x:row>
    <x:row r="35">
      <x:c r="A35" s="83" t="str">
        <x:v>D31</x:v>
      </x:c>
      <x:c r="B35" s="83" t="str">
        <x:v>Riserve/servizi</x:v>
      </x:c>
      <x:c r="C35" s="83" t="str">
        <x:v>Includere riserva e servizi ancillari?</x:v>
      </x:c>
      <x:c r="D35" s="83" t="str">
        <x:v>Esclusi dal caso MGP base; eventuale sensitivity/custom constraints.</x:v>
      </x:c>
      <x:c r="E35" s="83" t="str">
        <x:v>Il progetto mira al mercato spot day-ahead, non all'intero MSD.</x:v>
      </x:c>
      <x:c r="F35" s="83" t="str">
        <x:v>Co-ottimizzazione completa; reserve margin semplice.</x:v>
      </x:c>
      <x:c r="G35" s="83" t="str">
        <x:v>Medio-alto.</x:v>
      </x:c>
      <x:c r="H35" s="83" t="str">
        <x:v>Fase 4/7</x:v>
      </x:c>
      <x:c r="I35" s="83" t="str">
        <x:v>No</x:v>
      </x:c>
      <x:c r="J35" s="83" t="str">
        <x:v>Proposta</x:v>
      </x:c>
      <x:c r="K35" s="83" t="str"/>
      <x:c r="L35" s="83" t="str"/>
    </x:row>
    <x:row r="36">
      <x:c r="A36" s="83" t="str">
        <x:v>D32</x:v>
      </x:c>
      <x:c r="B36" s="83" t="str">
        <x:v>Calibrazione</x:v>
      </x:c>
      <x:c r="C36" s="83" t="str">
        <x:v>Eseguire un backcast storico?</x:v>
      </x:c>
      <x:c r="D36" s="83" t="str">
        <x:v>Sì, almeno 2023 o 2024 prima dei run finali.</x:v>
      </x:c>
      <x:c r="E36" s="83" t="str">
        <x:v>Verifica profili, costi, interconnessioni e meccanismo di prezzo.</x:v>
      </x:c>
      <x:c r="F36" s="83" t="str">
        <x:v>Solo scenari futuri.</x:v>
      </x:c>
      <x:c r="G36" s="83" t="str">
        <x:v>Molto alto sulla credibilità.</x:v>
      </x:c>
      <x:c r="H36" s="83" t="str">
        <x:v>Prima della validazione finale</x:v>
      </x:c>
      <x:c r="I36" s="83" t="str">
        <x:v>No</x:v>
      </x:c>
      <x:c r="J36" s="83" t="str">
        <x:v>Proposta</x:v>
      </x:c>
      <x:c r="K36" s="83" t="str"/>
      <x:c r="L36" s="83" t="str"/>
    </x:row>
    <x:row r="37">
      <x:c r="A37" s="83" t="str">
        <x:v>D33</x:v>
      </x:c>
      <x:c r="B37" s="83" t="str">
        <x:v>Sensitività</x:v>
      </x:c>
      <x:c r="C37" s="83" t="str">
        <x:v>Quale matrice minima di sensitività?</x:v>
      </x:c>
      <x:c r="D37" s="83" t="str">
        <x:v>Meteo, rete, fuel/CO2, domanda, storage, nucleare e UC; variazioni controllate.</x:v>
      </x:c>
      <x:c r="E37" s="83" t="str">
        <x:v>Rende trasparenti i driver di prezzo.</x:v>
      </x:c>
      <x:c r="F37" s="83" t="str">
        <x:v>Un solo run; combinazioni esaustive.</x:v>
      </x:c>
      <x:c r="G37" s="83" t="str">
        <x:v>Alto.</x:v>
      </x:c>
      <x:c r="H37" s="83" t="str">
        <x:v>Fase 4</x:v>
      </x:c>
      <x:c r="I37" s="83" t="str">
        <x:v>No</x:v>
      </x:c>
      <x:c r="J37" s="83" t="str">
        <x:v>Aperta</x:v>
      </x:c>
      <x:c r="K37" s="83" t="str"/>
      <x:c r="L37" s="83" t="str"/>
    </x:row>
    <x:row r="38">
      <x:c r="A38" s="83" t="str">
        <x:v>D34</x:v>
      </x:c>
      <x:c r="B38" s="83" t="str">
        <x:v>Gerarchia fonti/gap</x:v>
      </x:c>
      <x:c r="C38" s="83" t="str">
        <x:v>Come risolvere dati mancanti e conflitti?</x:v>
      </x:c>
      <x:c r="D38" s="83" t="str">
        <x:v>Gerarchia già definita; mantenere valori alternativi e confidence class.</x:v>
      </x:c>
      <x:c r="E38" s="83" t="str">
        <x:v>Evita sostituzioni implicite.</x:v>
      </x:c>
      <x:c r="F38" s="83" t="str">
        <x:v>Un unico valore senza audit trail.</x:v>
      </x:c>
      <x:c r="G38" s="83" t="str">
        <x:v>Alto.</x:v>
      </x:c>
      <x:c r="H38" s="83" t="str">
        <x:v>Continuo</x:v>
      </x:c>
      <x:c r="I38" s="83" t="str">
        <x:v>No</x:v>
      </x:c>
      <x:c r="J38" s="83" t="str">
        <x:v>Definita</x:v>
      </x:c>
      <x:c r="K38" s="83" t="str"/>
      <x:c r="L38" s="83" t="str"/>
    </x:row>
    <x:row r="39">
      <x:c r="A39" s="83" t="str">
        <x:v>D35</x:v>
      </x:c>
      <x:c r="B39" s="83" t="str">
        <x:v>Anno monetario</x:v>
      </x:c>
      <x:c r="C39" s="83" t="str">
        <x:v>Quale anno reale per costi?</x:v>
      </x:c>
      <x:c r="D39" s="83" t="str">
        <x:v>Allineare al technology-data usato dal repo CLI; registrare conversioni.</x:v>
      </x:c>
      <x:c r="E39" s="83" t="str">
        <x:v>Evita mix di euro nominali/reali.</x:v>
      </x:c>
      <x:c r="F39" s="83" t="str">
        <x:v>Anno 2024/2025 arbitrario.</x:v>
      </x:c>
      <x:c r="G39" s="83" t="str">
        <x:v>Medio-alto.</x:v>
      </x:c>
      <x:c r="H39" s="83" t="str">
        <x:v>Fase 3D</x:v>
      </x:c>
      <x:c r="I39" s="83" t="str">
        <x:v>No</x:v>
      </x:c>
      <x:c r="J39" s="83" t="str">
        <x:v>Aperta</x:v>
      </x:c>
      <x:c r="K39" s="83" t="str"/>
      <x:c r="L39" s="83" t="str"/>
    </x:row>
    <x:row r="40">
      <x:c r="A40" s="83" t="str">
        <x:v>D36</x:v>
      </x:c>
      <x:c r="B40" s="83" t="str">
        <x:v>Integrazione CLI</x:v>
      </x:c>
      <x:c r="C40" s="83" t="str">
        <x:v>Quale versione/branch e quali file/config sovrascrivere nel progetto PyPSA-Eur CLI?</x:v>
      </x:c>
      <x:c r="D40" s="83" t="str">
        <x:v>Il repository/commit del progetto CLI prevale sulla documentazione corrente; usare sidecar/override minimali.</x:v>
      </x:c>
      <x:c r="E40" s="83" t="str">
        <x:v>PyPSA-Eur è in sviluppo attivo e i campi/config possono cambiare.</x:v>
      </x:c>
      <x:c r="F40" s="83" t="str">
        <x:v>Implementazione generica scollegata dal repo.</x:v>
      </x:c>
      <x:c r="G40" s="83" t="str">
        <x:v>Molto alto sull'eseguibilità.</x:v>
      </x:c>
      <x:c r="H40" s="83" t="str">
        <x:v>Prima della Fase 7</x:v>
      </x:c>
      <x:c r="I40" s="83" t="str">
        <x:v>No</x:v>
      </x:c>
      <x:c r="J40" s="83" t="str">
        <x:v>Da coordinare con altro progetto</x:v>
      </x:c>
      <x:c r="K40" s="83" t="str"/>
      <x:c r="L40" s="83" t="str"/>
    </x:row>
  </x:sheetData>
  <x:mergeCells>
    <x:mergeCell ref="A1:L1"/>
    <x:mergeCell ref="A2:L2"/>
  </x:mergeCells>
  <x:conditionalFormatting sqref="I5:I40">
    <x:cfRule type="expression" dxfId="18" priority="1">
      <x:formula>I5="Sì"</x:formula>
    </x:cfRule>
    <x:cfRule type="expression" dxfId="19" priority="2">
      <x:formula>I5="No"</x:formula>
    </x:cfRule>
  </x:conditionalFormatting>
  <x:conditionalFormatting sqref="J5:J40">
    <x:cfRule type="expression" dxfId="20" priority="3">
      <x:formula>ISNUMBER(SEARCH("Aperta",J5))</x:formula>
    </x:cfRule>
    <x:cfRule type="expression" dxfId="21" priority="4">
      <x:formula>ISNUMBER(SEARCH("Definita",J5))</x:formula>
    </x:cfRule>
  </x:conditionalFormatting>
  <x:dataValidations count="2">
    <x:dataValidation type="list" sqref="I5:I40">
      <x:formula1>99_LISTS!$F$2:$F$3</x:formula1>
    </x:dataValidation>
    <x:dataValidation type="list" sqref="J5:J40">
      <x:formula1>99_LISTS!$E$2:$E$8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bd278cf1054ca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0" hidden="0" customWidth="1"/>
    <x:col min="4" max="4" width="18" hidden="0" customWidth="1"/>
    <x:col min="5" max="5" width="28" hidden="0" customWidth="1"/>
    <x:col min="6" max="6" width="24" hidden="0" customWidth="1"/>
    <x:col min="7" max="7" width="38" hidden="0" customWidth="1"/>
    <x:col min="8" max="8" width="42" hidden="0" customWidth="1"/>
    <x:col min="9" max="9" width="50" hidden="0" customWidth="1"/>
    <x:col min="10" max="10" width="38" hidden="0" customWidth="1"/>
    <x:col min="11" max="11" width="12" hidden="0" customWidth="1"/>
    <x:col min="12" max="12" width="16" hidden="0" customWidth="1"/>
    <x:col min="13" max="13" width="18" hidden="0" customWidth="1"/>
    <x:col min="14" max="14" width="42" hidden="0" customWidth="1"/>
  </x:cols>
  <x:sheetData>
    <x:row r="1" ht="34" customHeight="1">
      <x:c r="A1" s="134" t="str">
        <x:v>Crosswalk degli scenari 2023–2050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</x:row>
    <x:row r="2" ht="30" customHeight="1">
      <x:c r="A2" s="138" t="str">
        <x:v>DDS 2024 incorporato come S09; policy, configurazioni tecniche e risultati di modello separati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</x:row>
    <x:row r="4" ht="38" customHeight="1">
      <x:c r="A4" s="142" t="str">
        <x:v>Scenario ID</x:v>
      </x:c>
      <x:c r="B4" s="142" t="str">
        <x:v>Etichetta</x:v>
      </x:c>
      <x:c r="C4" s="142" t="str">
        <x:v>Anno</x:v>
      </x:c>
      <x:c r="D4" s="142" t="str">
        <x:v>Famiglia</x:v>
      </x:c>
      <x:c r="E4" s="142" t="str">
        <x:v>Tipo evidenza</x:v>
      </x:c>
      <x:c r="F4" s="142" t="str">
        <x:v>Status policy</x:v>
      </x:c>
      <x:c r="G4" s="142" t="str">
        <x:v>Origine</x:v>
      </x:c>
      <x:c r="H4" s="142" t="str">
        <x:v>Ruolo elettrico</x:v>
      </x:c>
      <x:c r="I4" s="142" t="str">
        <x:v>Relazione</x:v>
      </x:c>
      <x:c r="J4" s="142" t="str">
        <x:v>Uso nel progetto</x:v>
      </x:c>
      <x:c r="K4" s="142" t="str">
        <x:v>Fonte</x:v>
      </x:c>
      <x:c r="L4" s="142" t="str">
        <x:v>Pagine PDF</x:v>
      </x:c>
      <x:c r="M4" s="142" t="str">
        <x:v>Pagine stampate</x:v>
      </x:c>
      <x:c r="N4" s="142" t="str">
        <x:v>Note</x:v>
      </x:c>
    </x:row>
    <x:row r="5">
      <x:c r="A5" s="83" t="str">
        <x:v>HIST_2023</x:v>
      </x:c>
      <x:c r="B5" s="83" t="str">
        <x:v>Storico 2023</x:v>
      </x:c>
      <x:c r="C5" s="83" t="n">
        <x:v>2023</x:v>
      </x:c>
      <x:c r="D5" s="83" t="str">
        <x:v>Historical</x:v>
      </x:c>
      <x:c r="E5" s="83" t="str">
        <x:v>Dato osservato storico</x:v>
      </x:c>
      <x:c r="F5" s="83" t="str">
        <x:v>Observed</x:v>
      </x:c>
      <x:c r="G5" s="83" t="str">
        <x:v>DDS 2024 / Terna data provvisori</x:v>
      </x:c>
      <x:c r="H5" s="83" t="str">
        <x:v>Baseline e QA/backcast.</x:v>
      </x:c>
      <x:c r="I5" s="83" t="str">
        <x:v>Baseline comune per confronto.</x:v>
      </x:c>
      <x:c r="J5" s="83" t="str">
        <x:v>Calibrazione; non scenario futuro.</x:v>
      </x:c>
      <x:c r="K5" s="83" t="str">
        <x:v>S09</x:v>
      </x:c>
      <x:c r="L5" s="83" t="str">
        <x:v>14; 48; 59-67</x:v>
      </x:c>
      <x:c r="M5" s="83" t="str">
        <x:v>12-13; 46; 57-65</x:v>
      </x:c>
      <x:c r="N5" s="83" t="str">
        <x:v>Valori annuali storici; alcune tabelle usano valori arrotondati.</x:v>
      </x:c>
    </x:row>
    <x:row r="6">
      <x:c r="A6" s="83" t="str">
        <x:v>PNIEC_POLICY_2030</x:v>
      </x:c>
      <x:c r="B6" s="83" t="str">
        <x:v>PNIEC Policy 2030</x:v>
      </x:c>
      <x:c r="C6" s="83" t="n">
        <x:v>2030</x:v>
      </x:c>
      <x:c r="D6" s="83" t="str">
        <x:v>DDS 2024</x:v>
      </x:c>
      <x:c r="E6" s="83" t="str">
        <x:v>Scenario tecnico coerente con policy</x:v>
      </x:c>
      <x:c r="F6" s="83" t="str">
        <x:v>Raggiunge target 2030</x:v>
      </x:c>
      <x:c r="G6" s="83" t="str">
        <x:v>DDS 2024 basato quasi integralmente sul PNIEC 2024</x:v>
      </x:c>
      <x:c r="H6" s="83" t="str">
        <x:v>Forte elettrificazione, coal phase-out, FER e storage.</x:v>
      </x:c>
      <x:c r="I6" s="83" t="str">
        <x:v>Scenario policy 2030; import determinato da simulazione pan-europea, non fissato a EURef2020.</x:v>
      </x:c>
      <x:c r="J6" s="83" t="str">
        <x:v>Ponte di traiettoria e controllo per 2040.</x:v>
      </x:c>
      <x:c r="K6" s="83" t="str">
        <x:v>S09</x:v>
      </x:c>
      <x:c r="L6" s="83" t="str">
        <x:v>40; 48-67</x:v>
      </x:c>
      <x:c r="M6" s="83" t="str">
        <x:v>38; 46-65</x:v>
      </x:c>
      <x:c r="N6" s="83" t="str">
        <x:v>È lo scenario di Piano selezionato al 2030.</x:v>
      </x:c>
    </x:row>
    <x:row r="7">
      <x:c r="A7" s="83" t="str">
        <x:v>PNIEC_SLOW_2030</x:v>
      </x:c>
      <x:c r="B7" s="83" t="str">
        <x:v>PNIEC Slow 2030</x:v>
      </x:c>
      <x:c r="C7" s="83" t="n">
        <x:v>2030</x:v>
      </x:c>
      <x:c r="D7" s="83" t="str">
        <x:v>DDS 2024</x:v>
      </x:c>
      <x:c r="E7" s="83" t="str">
        <x:v>Scenario contrastante</x:v>
      </x:c>
      <x:c r="F7" s="83" t="str">
        <x:v>Transizione ritardata</x:v>
      </x:c>
      <x:c r="G7" s="83" t="str">
        <x:v>DDS 2024</x:v>
      </x:c>
      <x:c r="H7" s="83" t="str">
        <x:v>Domanda, FER, storage ed elettrolizzatori inferiori.</x:v>
      </x:c>
      <x:c r="I7" s="83" t="str">
        <x:v>Costruito coerentemente al PNIEC Policy ma con ritardi nelle misure.</x:v>
      </x:c>
      <x:c r="J7" s="83" t="str">
        <x:v>Sensitivity downside / slower transition.</x:v>
      </x:c>
      <x:c r="K7" s="83" t="str">
        <x:v>S09</x:v>
      </x:c>
      <x:c r="L7" s="83" t="str">
        <x:v>41; 48-67</x:v>
      </x:c>
      <x:c r="M7" s="83" t="str">
        <x:v>39; 46-65</x:v>
      </x:c>
      <x:c r="N7" s="83" t="str">
        <x:v>Scenario regolatorio contrastante.</x:v>
      </x:c>
    </x:row>
    <x:row r="8">
      <x:c r="A8" s="83" t="str">
        <x:v>DE_IT_2035</x:v>
      </x:c>
      <x:c r="B8" s="83" t="str">
        <x:v>DE-IT 2035</x:v>
      </x:c>
      <x:c r="C8" s="83" t="n">
        <x:v>2035</x:v>
      </x:c>
      <x:c r="D8" s="83" t="str">
        <x:v>DDS 2024</x:v>
      </x:c>
      <x:c r="E8" s="83" t="str">
        <x:v>Scenario tecnico di policy</x:v>
      </x:c>
      <x:c r="F8" s="83" t="str">
        <x:v>Percorso net-zero</x:v>
      </x:c>
      <x:c r="G8" s="83" t="str">
        <x:v>DDS 2024 / storyline ENTSOs Distributed Energy</x:v>
      </x:c>
      <x:c r="H8" s="83" t="str">
        <x:v>Massimizza elettrificazione e sviluppo FER-E.</x:v>
      </x:c>
      <x:c r="I8" s="83" t="str">
        <x:v>Parte da PNIEC Policy 2030; maggiore penetrazione del vettore elettrico.</x:v>
      </x:c>
      <x:c r="J8" s="83" t="str">
        <x:v>Traiettoria verso il caso 2040 DE-IT.</x:v>
      </x:c>
      <x:c r="K8" s="83" t="str">
        <x:v>S09</x:v>
      </x:c>
      <x:c r="L8" s="83" t="str">
        <x:v>40-41; 48-67</x:v>
      </x:c>
      <x:c r="M8" s="83" t="str">
        <x:v>38-39; 46-65</x:v>
      </x:c>
      <x:c r="N8" s="83" t="str">
        <x:v>Scenario di Piano selezionato al 2035.</x:v>
      </x:c>
    </x:row>
    <x:row r="9">
      <x:c r="A9" s="83" t="str">
        <x:v>GA_IT_2035</x:v>
      </x:c>
      <x:c r="B9" s="83" t="str">
        <x:v>GA-IT 2035</x:v>
      </x:c>
      <x:c r="C9" s="83" t="n">
        <x:v>2035</x:v>
      </x:c>
      <x:c r="D9" s="83" t="str">
        <x:v>DDS 2024</x:v>
      </x:c>
      <x:c r="E9" s="83" t="str">
        <x:v>Scenario tecnico di policy</x:v>
      </x:c>
      <x:c r="F9" s="83" t="str">
        <x:v>Percorso net-zero</x:v>
      </x:c>
      <x:c r="G9" s="83" t="str">
        <x:v>DDS 2024 / storyline ENTSOs Global Ambition</x:v>
      </x:c>
      <x:c r="H9" s="83" t="str">
        <x:v>Elettrificazione inferiore a DE-IT; più vettori molecolari.</x:v>
      </x:c>
      <x:c r="I9" s="83" t="str">
        <x:v>Parte da PNIEC Policy 2030; maggiore ruolo di H2, green fuels, import decarbonizzati e CCS.</x:v>
      </x:c>
      <x:c r="J9" s="83" t="str">
        <x:v>Scenario alternativo di traiettoria.</x:v>
      </x:c>
      <x:c r="K9" s="83" t="str">
        <x:v>S09</x:v>
      </x:c>
      <x:c r="L9" s="83" t="str">
        <x:v>40-41; 48-67</x:v>
      </x:c>
      <x:c r="M9" s="83" t="str">
        <x:v>38-39; 46-65</x:v>
      </x:c>
      <x:c r="N9" s="83" t="str">
        <x:v>Non selezionato dal PdS 2025 come scenario di Piano, ma parte del DDS.</x:v>
      </x:c>
    </x:row>
    <x:row r="10">
      <x:c r="A10" s="83" t="str">
        <x:v>PNIEC_SLOW_2035</x:v>
      </x:c>
      <x:c r="B10" s="83" t="str">
        <x:v>PNIEC Slow 2035</x:v>
      </x:c>
      <x:c r="C10" s="83" t="n">
        <x:v>2035</x:v>
      </x:c>
      <x:c r="D10" s="83" t="str">
        <x:v>DDS 2024</x:v>
      </x:c>
      <x:c r="E10" s="83" t="str">
        <x:v>Scenario contrastante</x:v>
      </x:c>
      <x:c r="F10" s="83" t="str">
        <x:v>Transizione ritardata</x:v>
      </x:c>
      <x:c r="G10" s="83" t="str">
        <x:v>DDS 2024</x:v>
      </x:c>
      <x:c r="H10" s="83" t="str">
        <x:v>Domanda e capacità inferiori.</x:v>
      </x:c>
      <x:c r="I10" s="83" t="str">
        <x:v>Mantiene un ritardo rispetto ai percorsi di policy.</x:v>
      </x:c>
      <x:c r="J10" s="83" t="str">
        <x:v>Sensitivity downside.</x:v>
      </x:c>
      <x:c r="K10" s="83" t="str">
        <x:v>S09</x:v>
      </x:c>
      <x:c r="L10" s="83" t="str">
        <x:v>41; 48-67</x:v>
      </x:c>
      <x:c r="M10" s="83" t="str">
        <x:v>39; 46-65</x:v>
      </x:c>
      <x:c r="N10" s="83" t="str">
        <x:v>Scenario di Piano contrastante.</x:v>
      </x:c>
    </x:row>
    <x:row r="11">
      <x:c r="A11" s="83" t="str">
        <x:v>DE_IT_2040</x:v>
      </x:c>
      <x:c r="B11" s="83" t="str">
        <x:v>DE-IT 2040</x:v>
      </x:c>
      <x:c r="C11" s="83" t="n">
        <x:v>2040</x:v>
      </x:c>
      <x:c r="D11" s="83" t="str">
        <x:v>DDS 2024</x:v>
      </x:c>
      <x:c r="E11" s="83" t="str">
        <x:v>Scenario tecnico di policy</x:v>
      </x:c>
      <x:c r="F11" s="83" t="str">
        <x:v>Percorso net-zero 2050</x:v>
      </x:c>
      <x:c r="G11" s="83" t="str">
        <x:v>DDS 2024 / ENTSOs Distributed Energy</x:v>
      </x:c>
      <x:c r="H11" s="83" t="str">
        <x:v>Domanda e FER più alte; 76% FER sul fabbisogno.</x:v>
      </x:c>
      <x:c r="I11" s="83" t="str">
        <x:v>Compromesso tra PNIEC 2040 inerziale e scenario europeo; elevata elettrificazione.</x:v>
      </x:c>
      <x:c r="J11" s="83" t="str">
        <x:v>Candidato raccomandato al caso base 2040.</x:v>
      </x:c>
      <x:c r="K11" s="83" t="str">
        <x:v>S09</x:v>
      </x:c>
      <x:c r="L11" s="83" t="str">
        <x:v>14; 41; 48; 59-67</x:v>
      </x:c>
      <x:c r="M11" s="83" t="str">
        <x:v>12-13; 39; 46; 57-65</x:v>
      </x:c>
      <x:c r="N11" s="83" t="str">
        <x:v>Scenario di Piano selezionato al 2040.</x:v>
      </x:c>
    </x:row>
    <x:row r="12">
      <x:c r="A12" s="83" t="str">
        <x:v>GA_IT_2040</x:v>
      </x:c>
      <x:c r="B12" s="83" t="str">
        <x:v>GA-IT 2040</x:v>
      </x:c>
      <x:c r="C12" s="83" t="n">
        <x:v>2040</x:v>
      </x:c>
      <x:c r="D12" s="83" t="str">
        <x:v>DDS 2024</x:v>
      </x:c>
      <x:c r="E12" s="83" t="str">
        <x:v>Scenario tecnico di policy</x:v>
      </x:c>
      <x:c r="F12" s="83" t="str">
        <x:v>Percorso net-zero 2050</x:v>
      </x:c>
      <x:c r="G12" s="83" t="str">
        <x:v>DDS 2024 / ENTSOs Global Ambition</x:v>
      </x:c>
      <x:c r="H12" s="83" t="str">
        <x:v>Domanda e capacità inferiori a DE-IT; maggiore domanda H2 finale.</x:v>
      </x:c>
      <x:c r="I12" s="83" t="str">
        <x:v>Maggiore ruolo di H2, combustibili verdi e CCS rispetto a DE-IT.</x:v>
      </x:c>
      <x:c r="J12" s="83" t="str">
        <x:v>Alternativa 2040 per confronto.</x:v>
      </x:c>
      <x:c r="K12" s="83" t="str">
        <x:v>S09</x:v>
      </x:c>
      <x:c r="L12" s="83" t="str">
        <x:v>14; 41; 48; 59-67</x:v>
      </x:c>
      <x:c r="M12" s="83" t="str">
        <x:v>12-13; 39; 46; 57-65</x:v>
      </x:c>
      <x:c r="N12" s="83" t="str">
        <x:v>DDS completo; non scenario di Piano selezionato per ACB.</x:v>
      </x:c>
    </x:row>
    <x:row r="13">
      <x:c r="A13" s="83" t="str">
        <x:v>PNIEC_SLOW_2040</x:v>
      </x:c>
      <x:c r="B13" s="83" t="str">
        <x:v>PNIEC Slow 2040</x:v>
      </x:c>
      <x:c r="C13" s="83" t="n">
        <x:v>2040</x:v>
      </x:c>
      <x:c r="D13" s="83" t="str">
        <x:v>DDS 2024</x:v>
      </x:c>
      <x:c r="E13" s="83" t="str">
        <x:v>Scenario contrastante</x:v>
      </x:c>
      <x:c r="F13" s="83" t="str">
        <x:v>Transizione ritardata</x:v>
      </x:c>
      <x:c r="G13" s="83" t="str">
        <x:v>DDS 2024</x:v>
      </x:c>
      <x:c r="H13" s="83" t="str">
        <x:v>Valori minimi di domanda, FER, storage ed elettrolizzatori.</x:v>
      </x:c>
      <x:c r="I13" s="83" t="str">
        <x:v>Scenario indipendente dal PNIEC 2024; mantiene ritardo nella traiettoria.</x:v>
      </x:c>
      <x:c r="J13" s="83" t="str">
        <x:v>Sensitivity conservative/downside 2040.</x:v>
      </x:c>
      <x:c r="K13" s="83" t="str">
        <x:v>S09</x:v>
      </x:c>
      <x:c r="L13" s="83" t="str">
        <x:v>14; 41; 48; 59-67</x:v>
      </x:c>
      <x:c r="M13" s="83" t="str">
        <x:v>12-13; 39; 46; 57-65</x:v>
      </x:c>
      <x:c r="N13" s="83" t="str">
        <x:v>Scenario di Piano contrastante.</x:v>
      </x:c>
    </x:row>
    <x:row r="14">
      <x:c r="A14" s="83" t="str">
        <x:v>PNIEC_2050_NUCLEAR</x:v>
      </x:c>
      <x:c r="B14" s="83" t="str">
        <x:v>PNIEC 2050 con nucleare</x:v>
      </x:c>
      <x:c r="C14" s="83" t="n">
        <x:v>2050</x:v>
      </x:c>
      <x:c r="D14" s="83" t="str">
        <x:v>PNIEC 2024 exploratory</x:v>
      </x:c>
      <x:c r="E14" s="83" t="str">
        <x:v>Risultato di modello di policy esplorativo</x:v>
      </x:c>
      <x:c r="F14" s="83" t="str">
        <x:v>Net zero esplorativo</x:v>
      </x:c>
      <x:c r="G14" s="83" t="str">
        <x:v>PNIEC 2024 / TIMES_RSE / PNNS</x:v>
      </x:c>
      <x:c r="H14" s="83" t="str">
        <x:v>Domanda più elevata, minore fabbisogno di CCS.</x:v>
      </x:c>
      <x:c r="I14" s="83" t="str">
        <x:v>Scenario con nucleare limitato a circa metà del potenziale; 8 GW medi.</x:v>
      </x:c>
      <x:c r="J14" s="83" t="str">
        <x:v>Benchmark di policy, non input tecnico finale automatico.</x:v>
      </x:c>
      <x:c r="K14" s="83" t="str">
        <x:v>S08/S07</x:v>
      </x:c>
      <x:c r="L14" s="83" t="str">
        <x:v>S08 90-93; S07 52</x:v>
      </x:c>
      <x:c r="M14" s="83" t="str">
        <x:v>S08 90-93; S07 50</x:v>
      </x:c>
      <x:c r="N14" s="83" t="str">
        <x:v>Le ipotesi 2050 non sono scenari di policy operativi fino al 2030.</x:v>
      </x:c>
    </x:row>
    <x:row r="15">
      <x:c r="A15" s="83" t="str">
        <x:v>PNIEC_2050_NO_NUCLEAR</x:v>
      </x:c>
      <x:c r="B15" s="83" t="str">
        <x:v>PNIEC 2050 senza nucleare</x:v>
      </x:c>
      <x:c r="C15" s="83" t="n">
        <x:v>2050</x:v>
      </x:c>
      <x:c r="D15" s="83" t="str">
        <x:v>PNIEC 2024 exploratory</x:v>
      </x:c>
      <x:c r="E15" s="83" t="str">
        <x:v>Risultato di modello di policy esplorativo</x:v>
      </x:c>
      <x:c r="F15" s="83" t="str">
        <x:v>Net zero esplorativo</x:v>
      </x:c>
      <x:c r="G15" s="83" t="str">
        <x:v>PNIEC 2024 / TIMES_RSE</x:v>
      </x:c>
      <x:c r="H15" s="83" t="str">
        <x:v>Domanda minore e produzione CCS maggiore.</x:v>
      </x:c>
      <x:c r="I15" s="83" t="str">
        <x:v>Ricorre maggiormente a gas e bioenergie con CCS.</x:v>
      </x:c>
      <x:c r="J15" s="83" t="str">
        <x:v>Benchmark di policy alternativo.</x:v>
      </x:c>
      <x:c r="K15" s="83" t="str">
        <x:v>S08/S07</x:v>
      </x:c>
      <x:c r="L15" s="83" t="str">
        <x:v>S08 90-93; S07 52</x:v>
      </x:c>
      <x:c r="M15" s="83" t="str">
        <x:v>S08 90-93; S07 50</x:v>
      </x:c>
      <x:c r="N15" s="83" t="str">
        <x:v>Import PNIEC fissato a 17,7 TWh da EURef2020.</x:v>
      </x:c>
    </x:row>
    <x:row r="16">
      <x:c r="A16" s="83" t="str">
        <x:v>TERNA_2050_NUCLEAR</x:v>
      </x:c>
      <x:c r="B16" s="83" t="str">
        <x:v>Terna 2050 con nucleare</x:v>
      </x:c>
      <x:c r="C16" s="83" t="n">
        <x:v>2050</x:v>
      </x:c>
      <x:c r="D16" s="83" t="str">
        <x:v>Terna 2050</x:v>
      </x:c>
      <x:c r="E16" s="83" t="str">
        <x:v>Scenario tecnico esplorativo</x:v>
      </x:c>
      <x:c r="F16" s="83" t="str">
        <x:v>Analisi di lungo termine</x:v>
      </x:c>
      <x:c r="G16" s="83" t="str">
        <x:v>Prospettive di Sviluppo del Sistema Energetico 2050</x:v>
      </x:c>
      <x:c r="H16" s="83" t="str">
        <x:v>Fabbisogno 583 TWh; 246 GW FRNP; 196 GWh storage.</x:v>
      </x:c>
      <x:c r="I16" s="83" t="str">
        <x:v>Parte dal fabbisogno PNIEC con nucleare ma modifica mix: 10 GW nucleare, più eolico e meno solare.</x:v>
      </x:c>
      <x:c r="J16" s="83" t="str">
        <x:v>Candidato principale 2050 con nucleare.</x:v>
      </x:c>
      <x:c r="K16" s="83" t="str">
        <x:v>S07</x:v>
      </x:c>
      <x:c r="L16" s="83" t="str">
        <x:v>52-64</x:v>
      </x:c>
      <x:c r="M16" s="83" t="str">
        <x:v>50-62</x:v>
      </x:c>
      <x:c r="N16" s="83" t="str">
        <x:v>Simulazione oraria pan-europea; trascura evoluzione capacità di trasporto e stabilità dinamica; non scenario chiuso.</x:v>
      </x:c>
    </x:row>
    <x:row r="17">
      <x:c r="A17" s="83" t="str">
        <x:v>TERNA_2050_NO_NUCLEAR</x:v>
      </x:c>
      <x:c r="B17" s="83" t="str">
        <x:v>Terna 2050 senza nucleare</x:v>
      </x:c>
      <x:c r="C17" s="83" t="n">
        <x:v>2050</x:v>
      </x:c>
      <x:c r="D17" s="83" t="str">
        <x:v>Terna 2050</x:v>
      </x:c>
      <x:c r="E17" s="83" t="str">
        <x:v>Scenario tecnico esplorativo</x:v>
      </x:c>
      <x:c r="F17" s="83" t="str">
        <x:v>Analisi di lungo termine</x:v>
      </x:c>
      <x:c r="G17" s="83" t="str">
        <x:v>Prospettive di Sviluppo del Sistema Energetico 2050</x:v>
      </x:c>
      <x:c r="H17" s="83" t="str">
        <x:v>270 GW FRNP; 216 GWh storage.</x:v>
      </x:c>
      <x:c r="I17" s="83" t="str">
        <x:v>Stesso fabbisogno 583 TWh; più FER, storage e altra produzione programmabile.</x:v>
      </x:c>
      <x:c r="J17" s="83" t="str">
        <x:v>Candidato principale 2050 senza nucleare.</x:v>
      </x:c>
      <x:c r="K17" s="83" t="str">
        <x:v>S07</x:v>
      </x:c>
      <x:c r="L17" s="83" t="str">
        <x:v>52-64</x:v>
      </x:c>
      <x:c r="M17" s="83" t="str">
        <x:v>50-62</x:v>
      </x:c>
      <x:c r="N17" s="83" t="str">
        <x:v>Simulazione oraria pan-europea; non include esplicitamente evoluzione rete nel bilancio presentato.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a84c683fd4c3408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34" hidden="0" customWidth="1"/>
    <x:col min="6" max="6" width="14" hidden="0" customWidth="1"/>
    <x:col min="7" max="7" width="10" hidden="0" customWidth="1"/>
    <x:col min="8" max="8" width="14" hidden="0" customWidth="1"/>
    <x:col min="9" max="9" width="45" hidden="0" customWidth="1"/>
    <x:col min="10" max="10" width="32" hidden="0" customWidth="1"/>
    <x:col min="11" max="11" width="12" hidden="0" customWidth="1"/>
    <x:col min="12" max="12" width="42" hidden="0" customWidth="1"/>
    <x:col min="13" max="13" width="12" hidden="0" customWidth="1"/>
    <x:col min="14" max="14" width="16" hidden="0" customWidth="1"/>
    <x:col min="15" max="15" width="20" hidden="0" customWidth="1"/>
    <x:col min="16" max="16" width="40" hidden="0" customWidth="1"/>
    <x:col min="17" max="17" width="18" hidden="0" customWidth="1"/>
    <x:col min="18" max="18" width="48" hidden="0" customWidth="1"/>
  </x:cols>
  <x:sheetData>
    <x:row r="1" ht="34" customHeight="1">
      <x:c r="A1" s="134" t="str">
        <x:v>Domanda elettrica — totali e perimetro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</x:row>
    <x:row r="2" ht="30" customHeight="1">
      <x:c r="A2" s="138" t="str">
        <x:v>73 righe; usi finali, usi energetici, perdite e fabbisogno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Voce</x:v>
      </x:c>
      <x:c r="F4" s="142" t="str">
        <x:v>Valore</x:v>
      </x:c>
      <x:c r="G4" s="142" t="str">
        <x:v>Unità</x:v>
      </x:c>
      <x:c r="H4" s="142" t="str">
        <x:v>Geografia</x:v>
      </x:c>
      <x:c r="I4" s="142" t="str">
        <x:v>Perimetro</x:v>
      </x:c>
      <x:c r="J4" s="142" t="str">
        <x:v>Tipo evidenza</x:v>
      </x:c>
      <x:c r="K4" s="142" t="str">
        <x:v>Fonte</x:v>
      </x:c>
      <x:c r="L4" s="142" t="str">
        <x:v>File fonte</x:v>
      </x:c>
      <x:c r="M4" s="142" t="str">
        <x:v>Pagina PDF</x:v>
      </x:c>
      <x:c r="N4" s="142" t="str">
        <x:v>Pagina stampata</x:v>
      </x:c>
      <x:c r="O4" s="142" t="str">
        <x:v>Tabella/Figura</x:v>
      </x:c>
      <x:c r="P4" s="142" t="str">
        <x:v>Metodo</x:v>
      </x:c>
      <x:c r="Q4" s="142" t="str">
        <x:v>Affidabilità</x:v>
      </x:c>
      <x:c r="R4" s="142" t="str">
        <x:v>Note</x:v>
      </x:c>
    </x:row>
    <x:row r="5">
      <x:c r="A5" s="83" t="str">
        <x:v>DEM-0001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Usi finali</x:v>
      </x:c>
      <x:c r="F5" s="143" t="n">
        <x:v>278.6</x:v>
      </x:c>
      <x:c r="G5" s="83" t="str">
        <x:v>TWh</x:v>
      </x:c>
      <x:c r="H5" s="83" t="str">
        <x:v>Italia</x:v>
      </x:c>
      <x:c r="I5" s="83" t="str">
        <x:v>DDS definition: usi finali + usi energetici + perdite</x:v>
      </x:c>
      <x:c r="J5" s="83" t="str">
        <x:v>Dato osservato storico</x:v>
      </x:c>
      <x:c r="K5" s="83" t="str">
        <x:v>S09</x:v>
      </x:c>
      <x:c r="L5" s="83" t="str">
        <x:v>Documento_Descrizione_Scenari_2024_8dce2430d44d101.pdf</x:v>
      </x:c>
      <x:c r="M5" s="83" t="n">
        <x:v>48</x:v>
      </x:c>
      <x:c r="N5" s="83" t="n">
        <x:v>46</x:v>
      </x:c>
      <x:c r="O5" s="83" t="str">
        <x:v>Tabella 6</x:v>
      </x:c>
      <x:c r="P5" s="83" t="str">
        <x:v>Direct table extraction; visual/text verification</x:v>
      </x:c>
      <x:c r="Q5" s="83" t="str">
        <x:v>A - Direct</x:v>
      </x:c>
      <x:c r="R5" s="83" t="str">
        <x:v>Valore con un decimale; fonte Terna provvisoria per il 2023.</x:v>
      </x:c>
    </x:row>
    <x:row r="6">
      <x:c r="A6" s="83" t="str">
        <x:v>DEM-0002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Usi finali</x:v>
      </x:c>
      <x:c r="F6" s="143" t="n">
        <x:v>319.9</x:v>
      </x:c>
      <x:c r="G6" s="83" t="str">
        <x:v>TWh</x:v>
      </x:c>
      <x:c r="H6" s="83" t="str">
        <x:v>Italia</x:v>
      </x:c>
      <x:c r="I6" s="83" t="str">
        <x:v>DDS definition: usi finali + usi energetici + perdite</x:v>
      </x:c>
      <x:c r="J6" s="83" t="str">
        <x:v>Assunzione di scenario</x:v>
      </x:c>
      <x:c r="K6" s="83" t="str">
        <x:v>S09</x:v>
      </x:c>
      <x:c r="L6" s="83" t="str">
        <x:v>Documento_Descrizione_Scenari_2024_8dce2430d44d101.pdf</x:v>
      </x:c>
      <x:c r="M6" s="83" t="n">
        <x:v>48</x:v>
      </x:c>
      <x:c r="N6" s="83" t="n">
        <x:v>46</x:v>
      </x:c>
      <x:c r="O6" s="83" t="str">
        <x:v>Tabella 6</x:v>
      </x:c>
      <x:c r="P6" s="83" t="str">
        <x:v>Direct table extraction; visual/text verification</x:v>
      </x:c>
      <x:c r="Q6" s="83" t="str">
        <x:v>A - Direct</x:v>
      </x:c>
      <x:c r="R6" s="83" t="str"/>
    </x:row>
    <x:row r="7">
      <x:c r="A7" s="83" t="str">
        <x:v>DEM-0003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Usi finali</x:v>
      </x:c>
      <x:c r="F7" s="143" t="n">
        <x:v>309.3</x:v>
      </x:c>
      <x:c r="G7" s="83" t="str">
        <x:v>TWh</x:v>
      </x:c>
      <x:c r="H7" s="83" t="str">
        <x:v>Italia</x:v>
      </x:c>
      <x:c r="I7" s="83" t="str">
        <x:v>DDS definition: usi finali + usi energetici + perdite</x:v>
      </x:c>
      <x:c r="J7" s="83" t="str">
        <x:v>Assunzione di scenario</x:v>
      </x:c>
      <x:c r="K7" s="83" t="str">
        <x:v>S09</x:v>
      </x:c>
      <x:c r="L7" s="83" t="str">
        <x:v>Documento_Descrizione_Scenari_2024_8dce2430d44d101.pdf</x:v>
      </x:c>
      <x:c r="M7" s="83" t="n">
        <x:v>48</x:v>
      </x:c>
      <x:c r="N7" s="83" t="n">
        <x:v>46</x:v>
      </x:c>
      <x:c r="O7" s="83" t="str">
        <x:v>Tabella 6</x:v>
      </x:c>
      <x:c r="P7" s="83" t="str">
        <x:v>Direct table extraction; visual/text verification</x:v>
      </x:c>
      <x:c r="Q7" s="83" t="str">
        <x:v>A - Direct</x:v>
      </x:c>
      <x:c r="R7" s="83" t="str"/>
    </x:row>
    <x:row r="8">
      <x:c r="A8" s="83" t="str">
        <x:v>DEM-0004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Usi finali</x:v>
      </x:c>
      <x:c r="F8" s="143" t="n">
        <x:v>345.3</x:v>
      </x:c>
      <x:c r="G8" s="83" t="str">
        <x:v>TWh</x:v>
      </x:c>
      <x:c r="H8" s="83" t="str">
        <x:v>Italia</x:v>
      </x:c>
      <x:c r="I8" s="83" t="str">
        <x:v>DDS definition: usi finali + usi energetici + perdite</x:v>
      </x:c>
      <x:c r="J8" s="83" t="str">
        <x:v>Assunzione di scenario</x:v>
      </x:c>
      <x:c r="K8" s="83" t="str">
        <x:v>S09</x:v>
      </x:c>
      <x:c r="L8" s="83" t="str">
        <x:v>Documento_Descrizione_Scenari_2024_8dce2430d44d101.pdf</x:v>
      </x:c>
      <x:c r="M8" s="83" t="n">
        <x:v>48</x:v>
      </x:c>
      <x:c r="N8" s="83" t="n">
        <x:v>46</x:v>
      </x:c>
      <x:c r="O8" s="83" t="str">
        <x:v>Tabella 6</x:v>
      </x:c>
      <x:c r="P8" s="83" t="str">
        <x:v>Direct table extraction; visual/text verification</x:v>
      </x:c>
      <x:c r="Q8" s="83" t="str">
        <x:v>A - Direct</x:v>
      </x:c>
      <x:c r="R8" s="83" t="str"/>
    </x:row>
    <x:row r="9">
      <x:c r="A9" s="83" t="str">
        <x:v>DEM-0005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Usi finali</x:v>
      </x:c>
      <x:c r="F9" s="143" t="n">
        <x:v>333.9</x:v>
      </x:c>
      <x:c r="G9" s="83" t="str">
        <x:v>TWh</x:v>
      </x:c>
      <x:c r="H9" s="83" t="str">
        <x:v>Italia</x:v>
      </x:c>
      <x:c r="I9" s="83" t="str">
        <x:v>DDS definition: usi finali + usi energetici + perdite</x:v>
      </x:c>
      <x:c r="J9" s="83" t="str">
        <x:v>Assunzione di scenario</x:v>
      </x:c>
      <x:c r="K9" s="83" t="str">
        <x:v>S09</x:v>
      </x:c>
      <x:c r="L9" s="83" t="str">
        <x:v>Documento_Descrizione_Scenari_2024_8dce2430d44d101.pdf</x:v>
      </x:c>
      <x:c r="M9" s="83" t="n">
        <x:v>48</x:v>
      </x:c>
      <x:c r="N9" s="83" t="n">
        <x:v>46</x:v>
      </x:c>
      <x:c r="O9" s="83" t="str">
        <x:v>Tabella 6</x:v>
      </x:c>
      <x:c r="P9" s="83" t="str">
        <x:v>Direct table extraction; visual/text verification</x:v>
      </x:c>
      <x:c r="Q9" s="83" t="str">
        <x:v>A - Direct</x:v>
      </x:c>
      <x:c r="R9" s="83" t="str"/>
    </x:row>
    <x:row r="10">
      <x:c r="A10" s="83" t="str">
        <x:v>DEM-0006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Usi finali</x:v>
      </x:c>
      <x:c r="F10" s="143" t="n">
        <x:v>330.7</x:v>
      </x:c>
      <x:c r="G10" s="83" t="str">
        <x:v>TWh</x:v>
      </x:c>
      <x:c r="H10" s="83" t="str">
        <x:v>Italia</x:v>
      </x:c>
      <x:c r="I10" s="83" t="str">
        <x:v>DDS definition: usi finali + usi energetici + perdite</x:v>
      </x:c>
      <x:c r="J10" s="83" t="str">
        <x:v>Assunzione di scenario</x:v>
      </x:c>
      <x:c r="K10" s="83" t="str">
        <x:v>S09</x:v>
      </x:c>
      <x:c r="L10" s="83" t="str">
        <x:v>Documento_Descrizione_Scenari_2024_8dce2430d44d101.pdf</x:v>
      </x:c>
      <x:c r="M10" s="83" t="n">
        <x:v>48</x:v>
      </x:c>
      <x:c r="N10" s="83" t="n">
        <x:v>46</x:v>
      </x:c>
      <x:c r="O10" s="83" t="str">
        <x:v>Tabella 6</x:v>
      </x:c>
      <x:c r="P10" s="83" t="str">
        <x:v>Direct table extraction; visual/text verification</x:v>
      </x:c>
      <x:c r="Q10" s="83" t="str">
        <x:v>A - Direct</x:v>
      </x:c>
      <x:c r="R10" s="83" t="str"/>
    </x:row>
    <x:row r="11">
      <x:c r="A11" s="83" t="str">
        <x:v>DEM-0007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Usi finali</x:v>
      </x:c>
      <x:c r="F11" s="143" t="n">
        <x:v>377.8</x:v>
      </x:c>
      <x:c r="G11" s="83" t="str">
        <x:v>TWh</x:v>
      </x:c>
      <x:c r="H11" s="83" t="str">
        <x:v>Italia</x:v>
      </x:c>
      <x:c r="I11" s="83" t="str">
        <x:v>DDS definition: usi finali + usi energetici + perdite</x:v>
      </x:c>
      <x:c r="J11" s="83" t="str">
        <x:v>Assunzione di scenario</x:v>
      </x:c>
      <x:c r="K11" s="83" t="str">
        <x:v>S09</x:v>
      </x:c>
      <x:c r="L11" s="83" t="str">
        <x:v>Documento_Descrizione_Scenari_2024_8dce2430d44d101.pdf</x:v>
      </x:c>
      <x:c r="M11" s="83" t="n">
        <x:v>48</x:v>
      </x:c>
      <x:c r="N11" s="83" t="n">
        <x:v>46</x:v>
      </x:c>
      <x:c r="O11" s="83" t="str">
        <x:v>Tabella 6</x:v>
      </x:c>
      <x:c r="P11" s="83" t="str">
        <x:v>Direct table extraction; visual/text verification</x:v>
      </x:c>
      <x:c r="Q11" s="83" t="str">
        <x:v>A - Direct</x:v>
      </x:c>
      <x:c r="R11" s="83" t="str"/>
    </x:row>
    <x:row r="12">
      <x:c r="A12" s="83" t="str">
        <x:v>DEM-0008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Usi finali</x:v>
      </x:c>
      <x:c r="F12" s="143" t="n">
        <x:v>355</x:v>
      </x:c>
      <x:c r="G12" s="83" t="str">
        <x:v>TWh</x:v>
      </x:c>
      <x:c r="H12" s="83" t="str">
        <x:v>Italia</x:v>
      </x:c>
      <x:c r="I12" s="83" t="str">
        <x:v>DDS definition: usi finali + usi energetici + perdite</x:v>
      </x:c>
      <x:c r="J12" s="83" t="str">
        <x:v>Assunzione di scenario</x:v>
      </x:c>
      <x:c r="K12" s="83" t="str">
        <x:v>S09</x:v>
      </x:c>
      <x:c r="L12" s="83" t="str">
        <x:v>Documento_Descrizione_Scenari_2024_8dce2430d44d101.pdf</x:v>
      </x:c>
      <x:c r="M12" s="83" t="n">
        <x:v>48</x:v>
      </x:c>
      <x:c r="N12" s="83" t="n">
        <x:v>46</x:v>
      </x:c>
      <x:c r="O12" s="83" t="str">
        <x:v>Tabella 6</x:v>
      </x:c>
      <x:c r="P12" s="83" t="str">
        <x:v>Direct table extraction; visual/text verification</x:v>
      </x:c>
      <x:c r="Q12" s="83" t="str">
        <x:v>A - Direct</x:v>
      </x:c>
      <x:c r="R12" s="83" t="str"/>
    </x:row>
    <x:row r="13">
      <x:c r="A13" s="83" t="str">
        <x:v>DEM-0009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Usi finali</x:v>
      </x:c>
      <x:c r="F13" s="143" t="n">
        <x:v>352.1</x:v>
      </x:c>
      <x:c r="G13" s="83" t="str">
        <x:v>TWh</x:v>
      </x:c>
      <x:c r="H13" s="83" t="str">
        <x:v>Italia</x:v>
      </x:c>
      <x:c r="I13" s="83" t="str">
        <x:v>DDS definition: usi finali + usi energetici + perdite</x:v>
      </x:c>
      <x:c r="J13" s="83" t="str">
        <x:v>Assunzione di scenario</x:v>
      </x:c>
      <x:c r="K13" s="83" t="str">
        <x:v>S09</x:v>
      </x:c>
      <x:c r="L13" s="83" t="str">
        <x:v>Documento_Descrizione_Scenari_2024_8dce2430d44d101.pdf</x:v>
      </x:c>
      <x:c r="M13" s="83" t="n">
        <x:v>48</x:v>
      </x:c>
      <x:c r="N13" s="83" t="n">
        <x:v>46</x:v>
      </x:c>
      <x:c r="O13" s="83" t="str">
        <x:v>Tabella 6</x:v>
      </x:c>
      <x:c r="P13" s="83" t="str">
        <x:v>Direct table extraction; visual/text verification</x:v>
      </x:c>
      <x:c r="Q13" s="83" t="str">
        <x:v>A - Direct</x:v>
      </x:c>
      <x:c r="R13" s="83" t="str"/>
    </x:row>
    <x:row r="14">
      <x:c r="A14" s="83" t="str">
        <x:v>DEM-0037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Usi energetici</x:v>
      </x:c>
      <x:c r="F14" s="143" t="n">
        <x:v>8.7</x:v>
      </x:c>
      <x:c r="G14" s="83" t="str">
        <x:v>TWh</x:v>
      </x:c>
      <x:c r="H14" s="83" t="str">
        <x:v>Italia</x:v>
      </x:c>
      <x:c r="I14" s="83" t="str">
        <x:v>DDS definition: usi finali + usi energetici + perdite</x:v>
      </x:c>
      <x:c r="J14" s="83" t="str">
        <x:v>Dato osservato storico</x:v>
      </x:c>
      <x:c r="K14" s="83" t="str">
        <x:v>S09</x:v>
      </x:c>
      <x:c r="L14" s="83" t="str">
        <x:v>Documento_Descrizione_Scenari_2024_8dce2430d44d101.pdf</x:v>
      </x:c>
      <x:c r="M14" s="83" t="n">
        <x:v>48</x:v>
      </x:c>
      <x:c r="N14" s="83" t="n">
        <x:v>46</x:v>
      </x:c>
      <x:c r="O14" s="83" t="str">
        <x:v>Tabella 6</x:v>
      </x:c>
      <x:c r="P14" s="83" t="str">
        <x:v>Direct table extraction; visual/text verification</x:v>
      </x:c>
      <x:c r="Q14" s="83" t="str">
        <x:v>A - Direct</x:v>
      </x:c>
      <x:c r="R14" s="83" t="str">
        <x:v>Valore con un decimale; fonte Terna provvisoria per il 2023.</x:v>
      </x:c>
    </x:row>
    <x:row r="15">
      <x:c r="A15" s="83" t="str">
        <x:v>DEM-0038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Usi energetici</x:v>
      </x:c>
      <x:c r="F15" s="143" t="n">
        <x:v>20</x:v>
      </x:c>
      <x:c r="G15" s="83" t="str">
        <x:v>TWh</x:v>
      </x:c>
      <x:c r="H15" s="83" t="str">
        <x:v>Italia</x:v>
      </x:c>
      <x:c r="I15" s="83" t="str">
        <x:v>DDS definition: usi finali + usi energetici + perdite</x:v>
      </x:c>
      <x:c r="J15" s="83" t="str">
        <x:v>Assunzione di scenario</x:v>
      </x:c>
      <x:c r="K15" s="83" t="str">
        <x:v>S09</x:v>
      </x:c>
      <x:c r="L15" s="83" t="str">
        <x:v>Documento_Descrizione_Scenari_2024_8dce2430d44d101.pdf</x:v>
      </x:c>
      <x:c r="M15" s="83" t="n">
        <x:v>48</x:v>
      </x:c>
      <x:c r="N15" s="83" t="n">
        <x:v>46</x:v>
      </x:c>
      <x:c r="O15" s="83" t="str">
        <x:v>Tabella 6</x:v>
      </x:c>
      <x:c r="P15" s="83" t="str">
        <x:v>Direct table extraction; visual/text verification</x:v>
      </x:c>
      <x:c r="Q15" s="83" t="str">
        <x:v>A - Direct</x:v>
      </x:c>
      <x:c r="R15" s="83" t="str"/>
    </x:row>
    <x:row r="16">
      <x:c r="A16" s="83" t="str">
        <x:v>DEM-0039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Usi energetici</x:v>
      </x:c>
      <x:c r="F16" s="143" t="n">
        <x:v>16.6</x:v>
      </x:c>
      <x:c r="G16" s="83" t="str">
        <x:v>TWh</x:v>
      </x:c>
      <x:c r="H16" s="83" t="str">
        <x:v>Italia</x:v>
      </x:c>
      <x:c r="I16" s="83" t="str">
        <x:v>DDS definition: usi finali + usi energetici + perdite</x:v>
      </x:c>
      <x:c r="J16" s="83" t="str">
        <x:v>Assunzione di scenario</x:v>
      </x:c>
      <x:c r="K16" s="83" t="str">
        <x:v>S09</x:v>
      </x:c>
      <x:c r="L16" s="83" t="str">
        <x:v>Documento_Descrizione_Scenari_2024_8dce2430d44d101.pdf</x:v>
      </x:c>
      <x:c r="M16" s="83" t="n">
        <x:v>48</x:v>
      </x:c>
      <x:c r="N16" s="83" t="n">
        <x:v>46</x:v>
      </x:c>
      <x:c r="O16" s="83" t="str">
        <x:v>Tabella 6</x:v>
      </x:c>
      <x:c r="P16" s="83" t="str">
        <x:v>Direct table extraction; visual/text verification</x:v>
      </x:c>
      <x:c r="Q16" s="83" t="str">
        <x:v>A - Direct</x:v>
      </x:c>
      <x:c r="R16" s="83" t="str"/>
    </x:row>
    <x:row r="17">
      <x:c r="A17" s="83" t="str">
        <x:v>DEM-0040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Usi energetici</x:v>
      </x:c>
      <x:c r="F17" s="143" t="n">
        <x:v>27.9</x:v>
      </x:c>
      <x:c r="G17" s="83" t="str">
        <x:v>TWh</x:v>
      </x:c>
      <x:c r="H17" s="83" t="str">
        <x:v>Italia</x:v>
      </x:c>
      <x:c r="I17" s="83" t="str">
        <x:v>DDS definition: usi finali + usi energetici + perdite</x:v>
      </x:c>
      <x:c r="J17" s="83" t="str">
        <x:v>Assunzione di scenario</x:v>
      </x:c>
      <x:c r="K17" s="83" t="str">
        <x:v>S09</x:v>
      </x:c>
      <x:c r="L17" s="83" t="str">
        <x:v>Documento_Descrizione_Scenari_2024_8dce2430d44d101.pdf</x:v>
      </x:c>
      <x:c r="M17" s="83" t="n">
        <x:v>48</x:v>
      </x:c>
      <x:c r="N17" s="83" t="n">
        <x:v>46</x:v>
      </x:c>
      <x:c r="O17" s="83" t="str">
        <x:v>Tabella 6</x:v>
      </x:c>
      <x:c r="P17" s="83" t="str">
        <x:v>Direct table extraction; visual/text verification</x:v>
      </x:c>
      <x:c r="Q17" s="83" t="str">
        <x:v>A - Direct</x:v>
      </x:c>
      <x:c r="R17" s="83" t="str"/>
    </x:row>
    <x:row r="18">
      <x:c r="A18" s="83" t="str">
        <x:v>DEM-0041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Usi energetici</x:v>
      </x:c>
      <x:c r="F18" s="143" t="n">
        <x:v>28.1</x:v>
      </x:c>
      <x:c r="G18" s="83" t="str">
        <x:v>TWh</x:v>
      </x:c>
      <x:c r="H18" s="83" t="str">
        <x:v>Italia</x:v>
      </x:c>
      <x:c r="I18" s="83" t="str">
        <x:v>DDS definition: usi finali + usi energetici + perdite</x:v>
      </x:c>
      <x:c r="J18" s="83" t="str">
        <x:v>Assunzione di scenario</x:v>
      </x:c>
      <x:c r="K18" s="83" t="str">
        <x:v>S09</x:v>
      </x:c>
      <x:c r="L18" s="83" t="str">
        <x:v>Documento_Descrizione_Scenari_2024_8dce2430d44d101.pdf</x:v>
      </x:c>
      <x:c r="M18" s="83" t="n">
        <x:v>48</x:v>
      </x:c>
      <x:c r="N18" s="83" t="n">
        <x:v>46</x:v>
      </x:c>
      <x:c r="O18" s="83" t="str">
        <x:v>Tabella 6</x:v>
      </x:c>
      <x:c r="P18" s="83" t="str">
        <x:v>Direct table extraction; visual/text verification</x:v>
      </x:c>
      <x:c r="Q18" s="83" t="str">
        <x:v>A - Direct</x:v>
      </x:c>
      <x:c r="R18" s="83" t="str"/>
    </x:row>
    <x:row r="19">
      <x:c r="A19" s="83" t="str">
        <x:v>DEM-0042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Usi energetici</x:v>
      </x:c>
      <x:c r="F19" s="143" t="n">
        <x:v>22.4</x:v>
      </x:c>
      <x:c r="G19" s="83" t="str">
        <x:v>TWh</x:v>
      </x:c>
      <x:c r="H19" s="83" t="str">
        <x:v>Italia</x:v>
      </x:c>
      <x:c r="I19" s="83" t="str">
        <x:v>DDS definition: usi finali + usi energetici + perdite</x:v>
      </x:c>
      <x:c r="J19" s="83" t="str">
        <x:v>Assunzione di scenario</x:v>
      </x:c>
      <x:c r="K19" s="83" t="str">
        <x:v>S09</x:v>
      </x:c>
      <x:c r="L19" s="83" t="str">
        <x:v>Documento_Descrizione_Scenari_2024_8dce2430d44d101.pdf</x:v>
      </x:c>
      <x:c r="M19" s="83" t="n">
        <x:v>48</x:v>
      </x:c>
      <x:c r="N19" s="83" t="n">
        <x:v>46</x:v>
      </x:c>
      <x:c r="O19" s="83" t="str">
        <x:v>Tabella 6</x:v>
      </x:c>
      <x:c r="P19" s="83" t="str">
        <x:v>Direct table extraction; visual/text verification</x:v>
      </x:c>
      <x:c r="Q19" s="83" t="str">
        <x:v>A - Direct</x:v>
      </x:c>
      <x:c r="R19" s="83" t="str"/>
    </x:row>
    <x:row r="20">
      <x:c r="A20" s="83" t="str">
        <x:v>DEM-0043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Usi energetici</x:v>
      </x:c>
      <x:c r="F20" s="143" t="n">
        <x:v>34.9</x:v>
      </x:c>
      <x:c r="G20" s="83" t="str">
        <x:v>TWh</x:v>
      </x:c>
      <x:c r="H20" s="83" t="str">
        <x:v>Italia</x:v>
      </x:c>
      <x:c r="I20" s="83" t="str">
        <x:v>DDS definition: usi finali + usi energetici + perdite</x:v>
      </x:c>
      <x:c r="J20" s="83" t="str">
        <x:v>Assunzione di scenario</x:v>
      </x:c>
      <x:c r="K20" s="83" t="str">
        <x:v>S09</x:v>
      </x:c>
      <x:c r="L20" s="83" t="str">
        <x:v>Documento_Descrizione_Scenari_2024_8dce2430d44d101.pdf</x:v>
      </x:c>
      <x:c r="M20" s="83" t="n">
        <x:v>48</x:v>
      </x:c>
      <x:c r="N20" s="83" t="n">
        <x:v>46</x:v>
      </x:c>
      <x:c r="O20" s="83" t="str">
        <x:v>Tabella 6</x:v>
      </x:c>
      <x:c r="P20" s="83" t="str">
        <x:v>Direct table extraction; visual/text verification</x:v>
      </x:c>
      <x:c r="Q20" s="83" t="str">
        <x:v>A - Direct</x:v>
      </x:c>
      <x:c r="R20" s="83" t="str"/>
    </x:row>
    <x:row r="21">
      <x:c r="A21" s="83" t="str">
        <x:v>DEM-0044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Usi energetici</x:v>
      </x:c>
      <x:c r="F21" s="143" t="n">
        <x:v>35.4</x:v>
      </x:c>
      <x:c r="G21" s="83" t="str">
        <x:v>TWh</x:v>
      </x:c>
      <x:c r="H21" s="83" t="str">
        <x:v>Italia</x:v>
      </x:c>
      <x:c r="I21" s="83" t="str">
        <x:v>DDS definition: usi finali + usi energetici + perdite</x:v>
      </x:c>
      <x:c r="J21" s="83" t="str">
        <x:v>Assunzione di scenario</x:v>
      </x:c>
      <x:c r="K21" s="83" t="str">
        <x:v>S09</x:v>
      </x:c>
      <x:c r="L21" s="83" t="str">
        <x:v>Documento_Descrizione_Scenari_2024_8dce2430d44d101.pdf</x:v>
      </x:c>
      <x:c r="M21" s="83" t="n">
        <x:v>48</x:v>
      </x:c>
      <x:c r="N21" s="83" t="n">
        <x:v>46</x:v>
      </x:c>
      <x:c r="O21" s="83" t="str">
        <x:v>Tabella 6</x:v>
      </x:c>
      <x:c r="P21" s="83" t="str">
        <x:v>Direct table extraction; visual/text verification</x:v>
      </x:c>
      <x:c r="Q21" s="83" t="str">
        <x:v>A - Direct</x:v>
      </x:c>
      <x:c r="R21" s="83" t="str"/>
    </x:row>
    <x:row r="22">
      <x:c r="A22" s="83" t="str">
        <x:v>DEM-0045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Usi energetici</x:v>
      </x:c>
      <x:c r="F22" s="143" t="n">
        <x:v>28.1</x:v>
      </x:c>
      <x:c r="G22" s="83" t="str">
        <x:v>TWh</x:v>
      </x:c>
      <x:c r="H22" s="83" t="str">
        <x:v>Italia</x:v>
      </x:c>
      <x:c r="I22" s="83" t="str">
        <x:v>DDS definition: usi finali + usi energetici + perdite</x:v>
      </x:c>
      <x:c r="J22" s="83" t="str">
        <x:v>Assunzione di scenario</x:v>
      </x:c>
      <x:c r="K22" s="83" t="str">
        <x:v>S09</x:v>
      </x:c>
      <x:c r="L22" s="83" t="str">
        <x:v>Documento_Descrizione_Scenari_2024_8dce2430d44d101.pdf</x:v>
      </x:c>
      <x:c r="M22" s="83" t="n">
        <x:v>48</x:v>
      </x:c>
      <x:c r="N22" s="83" t="n">
        <x:v>46</x:v>
      </x:c>
      <x:c r="O22" s="83" t="str">
        <x:v>Tabella 6</x:v>
      </x:c>
      <x:c r="P22" s="83" t="str">
        <x:v>Direct table extraction; visual/text verification</x:v>
      </x:c>
      <x:c r="Q22" s="83" t="str">
        <x:v>A - Direct</x:v>
      </x:c>
      <x:c r="R22" s="83" t="str"/>
    </x:row>
    <x:row r="23">
      <x:c r="A23" s="83" t="str">
        <x:v>DEM-0046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Usi energetici tradizionali</x:v>
      </x:c>
      <x:c r="F23" s="143" t="n">
        <x:v>8.7</x:v>
      </x:c>
      <x:c r="G23" s="83" t="str">
        <x:v>TWh</x:v>
      </x:c>
      <x:c r="H23" s="83" t="str">
        <x:v>Italia</x:v>
      </x:c>
      <x:c r="I23" s="83" t="str">
        <x:v>DDS definition: usi finali + usi energetici + perdite</x:v>
      </x:c>
      <x:c r="J23" s="83" t="str">
        <x:v>Dato osservato storico</x:v>
      </x:c>
      <x:c r="K23" s="83" t="str">
        <x:v>S09</x:v>
      </x:c>
      <x:c r="L23" s="83" t="str">
        <x:v>Documento_Descrizione_Scenari_2024_8dce2430d44d101.pdf</x:v>
      </x:c>
      <x:c r="M23" s="83" t="n">
        <x:v>48</x:v>
      </x:c>
      <x:c r="N23" s="83" t="n">
        <x:v>46</x:v>
      </x:c>
      <x:c r="O23" s="83" t="str">
        <x:v>Tabella 6</x:v>
      </x:c>
      <x:c r="P23" s="83" t="str">
        <x:v>Direct table extraction; visual/text verification</x:v>
      </x:c>
      <x:c r="Q23" s="83" t="str">
        <x:v>A - Direct</x:v>
      </x:c>
      <x:c r="R23" s="83" t="str">
        <x:v>Valore con un decimale; fonte Terna provvisoria per il 2023.</x:v>
      </x:c>
    </x:row>
    <x:row r="24">
      <x:c r="A24" s="83" t="str">
        <x:v>DEM-0047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Usi energetici tradizionali</x:v>
      </x:c>
      <x:c r="F24" s="143" t="n">
        <x:v>10</x:v>
      </x:c>
      <x:c r="G24" s="83" t="str">
        <x:v>TWh</x:v>
      </x:c>
      <x:c r="H24" s="83" t="str">
        <x:v>Italia</x:v>
      </x:c>
      <x:c r="I24" s="83" t="str">
        <x:v>DDS definition: usi finali + usi energetici + perdite</x:v>
      </x:c>
      <x:c r="J24" s="83" t="str">
        <x:v>Assunzione di scenario</x:v>
      </x:c>
      <x:c r="K24" s="83" t="str">
        <x:v>S09</x:v>
      </x:c>
      <x:c r="L24" s="83" t="str">
        <x:v>Documento_Descrizione_Scenari_2024_8dce2430d44d101.pdf</x:v>
      </x:c>
      <x:c r="M24" s="83" t="n">
        <x:v>48</x:v>
      </x:c>
      <x:c r="N24" s="83" t="n">
        <x:v>46</x:v>
      </x:c>
      <x:c r="O24" s="83" t="str">
        <x:v>Tabella 6</x:v>
      </x:c>
      <x:c r="P24" s="83" t="str">
        <x:v>Direct table extraction; visual/text verification</x:v>
      </x:c>
      <x:c r="Q24" s="83" t="str">
        <x:v>A - Direct</x:v>
      </x:c>
      <x:c r="R24" s="83" t="str"/>
    </x:row>
    <x:row r="25">
      <x:c r="A25" s="83" t="str">
        <x:v>DEM-0048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Usi energetici tradizionali</x:v>
      </x:c>
      <x:c r="F25" s="143" t="n">
        <x:v>10.8</x:v>
      </x:c>
      <x:c r="G25" s="83" t="str">
        <x:v>TWh</x:v>
      </x:c>
      <x:c r="H25" s="83" t="str">
        <x:v>Italia</x:v>
      </x:c>
      <x:c r="I25" s="83" t="str">
        <x:v>DDS definition: usi finali + usi energetici + perdite</x:v>
      </x:c>
      <x:c r="J25" s="83" t="str">
        <x:v>Assunzione di scenario</x:v>
      </x:c>
      <x:c r="K25" s="83" t="str">
        <x:v>S09</x:v>
      </x:c>
      <x:c r="L25" s="83" t="str">
        <x:v>Documento_Descrizione_Scenari_2024_8dce2430d44d101.pdf</x:v>
      </x:c>
      <x:c r="M25" s="83" t="n">
        <x:v>48</x:v>
      </x:c>
      <x:c r="N25" s="83" t="n">
        <x:v>46</x:v>
      </x:c>
      <x:c r="O25" s="83" t="str">
        <x:v>Tabella 6</x:v>
      </x:c>
      <x:c r="P25" s="83" t="str">
        <x:v>Direct table extraction; visual/text verification</x:v>
      </x:c>
      <x:c r="Q25" s="83" t="str">
        <x:v>A - Direct</x:v>
      </x:c>
      <x:c r="R25" s="83" t="str"/>
    </x:row>
    <x:row r="26">
      <x:c r="A26" s="83" t="str">
        <x:v>DEM-0049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Usi energetici tradizionali</x:v>
      </x:c>
      <x:c r="F26" s="143" t="n">
        <x:v>9.1</x:v>
      </x:c>
      <x:c r="G26" s="83" t="str">
        <x:v>TWh</x:v>
      </x:c>
      <x:c r="H26" s="83" t="str">
        <x:v>Italia</x:v>
      </x:c>
      <x:c r="I26" s="83" t="str">
        <x:v>DDS definition: usi finali + usi energetici + perdite</x:v>
      </x:c>
      <x:c r="J26" s="83" t="str">
        <x:v>Assunzione di scenario</x:v>
      </x:c>
      <x:c r="K26" s="83" t="str">
        <x:v>S09</x:v>
      </x:c>
      <x:c r="L26" s="83" t="str">
        <x:v>Documento_Descrizione_Scenari_2024_8dce2430d44d101.pdf</x:v>
      </x:c>
      <x:c r="M26" s="83" t="n">
        <x:v>48</x:v>
      </x:c>
      <x:c r="N26" s="83" t="n">
        <x:v>46</x:v>
      </x:c>
      <x:c r="O26" s="83" t="str">
        <x:v>Tabella 6</x:v>
      </x:c>
      <x:c r="P26" s="83" t="str">
        <x:v>Direct table extraction; visual/text verification</x:v>
      </x:c>
      <x:c r="Q26" s="83" t="str">
        <x:v>A - Direct</x:v>
      </x:c>
      <x:c r="R26" s="83" t="str"/>
    </x:row>
    <x:row r="27">
      <x:c r="A27" s="83" t="str">
        <x:v>DEM-0050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Usi energetici tradizionali</x:v>
      </x:c>
      <x:c r="F27" s="143" t="n">
        <x:v>9.4</x:v>
      </x:c>
      <x:c r="G27" s="83" t="str">
        <x:v>TWh</x:v>
      </x:c>
      <x:c r="H27" s="83" t="str">
        <x:v>Italia</x:v>
      </x:c>
      <x:c r="I27" s="83" t="str">
        <x:v>DDS definition: usi finali + usi energetici + perdite</x:v>
      </x:c>
      <x:c r="J27" s="83" t="str">
        <x:v>Assunzione di scenario</x:v>
      </x:c>
      <x:c r="K27" s="83" t="str">
        <x:v>S09</x:v>
      </x:c>
      <x:c r="L27" s="83" t="str">
        <x:v>Documento_Descrizione_Scenari_2024_8dce2430d44d101.pdf</x:v>
      </x:c>
      <x:c r="M27" s="83" t="n">
        <x:v>48</x:v>
      </x:c>
      <x:c r="N27" s="83" t="n">
        <x:v>46</x:v>
      </x:c>
      <x:c r="O27" s="83" t="str">
        <x:v>Tabella 6</x:v>
      </x:c>
      <x:c r="P27" s="83" t="str">
        <x:v>Direct table extraction; visual/text verification</x:v>
      </x:c>
      <x:c r="Q27" s="83" t="str">
        <x:v>A - Direct</x:v>
      </x:c>
      <x:c r="R27" s="83" t="str"/>
    </x:row>
    <x:row r="28">
      <x:c r="A28" s="83" t="str">
        <x:v>DEM-0051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Usi energetici tradizionali</x:v>
      </x:c>
      <x:c r="F28" s="143" t="n">
        <x:v>9.6</x:v>
      </x:c>
      <x:c r="G28" s="83" t="str">
        <x:v>TWh</x:v>
      </x:c>
      <x:c r="H28" s="83" t="str">
        <x:v>Italia</x:v>
      </x:c>
      <x:c r="I28" s="83" t="str">
        <x:v>DDS definition: usi finali + usi energetici + perdite</x:v>
      </x:c>
      <x:c r="J28" s="83" t="str">
        <x:v>Assunzione di scenario</x:v>
      </x:c>
      <x:c r="K28" s="83" t="str">
        <x:v>S09</x:v>
      </x:c>
      <x:c r="L28" s="83" t="str">
        <x:v>Documento_Descrizione_Scenari_2024_8dce2430d44d101.pdf</x:v>
      </x:c>
      <x:c r="M28" s="83" t="n">
        <x:v>48</x:v>
      </x:c>
      <x:c r="N28" s="83" t="n">
        <x:v>46</x:v>
      </x:c>
      <x:c r="O28" s="83" t="str">
        <x:v>Tabella 6</x:v>
      </x:c>
      <x:c r="P28" s="83" t="str">
        <x:v>Direct table extraction; visual/text verification</x:v>
      </x:c>
      <x:c r="Q28" s="83" t="str">
        <x:v>A - Direct</x:v>
      </x:c>
      <x:c r="R28" s="83" t="str"/>
    </x:row>
    <x:row r="29">
      <x:c r="A29" s="83" t="str">
        <x:v>DEM-0052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Usi energetici tradizionali</x:v>
      </x:c>
      <x:c r="F29" s="143" t="n">
        <x:v>7.4</x:v>
      </x:c>
      <x:c r="G29" s="83" t="str">
        <x:v>TWh</x:v>
      </x:c>
      <x:c r="H29" s="83" t="str">
        <x:v>Italia</x:v>
      </x:c>
      <x:c r="I29" s="83" t="str">
        <x:v>DDS definition: usi finali + usi energetici + perdite</x:v>
      </x:c>
      <x:c r="J29" s="83" t="str">
        <x:v>Assunzione di scenario</x:v>
      </x:c>
      <x:c r="K29" s="83" t="str">
        <x:v>S09</x:v>
      </x:c>
      <x:c r="L29" s="83" t="str">
        <x:v>Documento_Descrizione_Scenari_2024_8dce2430d44d101.pdf</x:v>
      </x:c>
      <x:c r="M29" s="83" t="n">
        <x:v>48</x:v>
      </x:c>
      <x:c r="N29" s="83" t="n">
        <x:v>46</x:v>
      </x:c>
      <x:c r="O29" s="83" t="str">
        <x:v>Tabella 6</x:v>
      </x:c>
      <x:c r="P29" s="83" t="str">
        <x:v>Direct table extraction; visual/text verification</x:v>
      </x:c>
      <x:c r="Q29" s="83" t="str">
        <x:v>A - Direct</x:v>
      </x:c>
      <x:c r="R29" s="83" t="str"/>
    </x:row>
    <x:row r="30">
      <x:c r="A30" s="83" t="str">
        <x:v>DEM-0053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Usi energetici tradizionali</x:v>
      </x:c>
      <x:c r="F30" s="143" t="n">
        <x:v>7.9</x:v>
      </x:c>
      <x:c r="G30" s="83" t="str">
        <x:v>TWh</x:v>
      </x:c>
      <x:c r="H30" s="83" t="str">
        <x:v>Italia</x:v>
      </x:c>
      <x:c r="I30" s="83" t="str">
        <x:v>DDS definition: usi finali + usi energetici + perdite</x:v>
      </x:c>
      <x:c r="J30" s="83" t="str">
        <x:v>Assunzione di scenario</x:v>
      </x:c>
      <x:c r="K30" s="83" t="str">
        <x:v>S09</x:v>
      </x:c>
      <x:c r="L30" s="83" t="str">
        <x:v>Documento_Descrizione_Scenari_2024_8dce2430d44d101.pdf</x:v>
      </x:c>
      <x:c r="M30" s="83" t="n">
        <x:v>48</x:v>
      </x:c>
      <x:c r="N30" s="83" t="n">
        <x:v>46</x:v>
      </x:c>
      <x:c r="O30" s="83" t="str">
        <x:v>Tabella 6</x:v>
      </x:c>
      <x:c r="P30" s="83" t="str">
        <x:v>Direct table extraction; visual/text verification</x:v>
      </x:c>
      <x:c r="Q30" s="83" t="str">
        <x:v>A - Direct</x:v>
      </x:c>
      <x:c r="R30" s="83" t="str"/>
    </x:row>
    <x:row r="31">
      <x:c r="A31" s="83" t="str">
        <x:v>DEM-0054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Usi energetici tradizionali</x:v>
      </x:c>
      <x:c r="F31" s="143" t="n">
        <x:v>8.3</x:v>
      </x:c>
      <x:c r="G31" s="83" t="str">
        <x:v>TWh</x:v>
      </x:c>
      <x:c r="H31" s="83" t="str">
        <x:v>Italia</x:v>
      </x:c>
      <x:c r="I31" s="83" t="str">
        <x:v>DDS definition: usi finali + usi energetici + perdite</x:v>
      </x:c>
      <x:c r="J31" s="83" t="str">
        <x:v>Assunzione di scenario</x:v>
      </x:c>
      <x:c r="K31" s="83" t="str">
        <x:v>S09</x:v>
      </x:c>
      <x:c r="L31" s="83" t="str">
        <x:v>Documento_Descrizione_Scenari_2024_8dce2430d44d101.pdf</x:v>
      </x:c>
      <x:c r="M31" s="83" t="n">
        <x:v>48</x:v>
      </x:c>
      <x:c r="N31" s="83" t="n">
        <x:v>46</x:v>
      </x:c>
      <x:c r="O31" s="83" t="str">
        <x:v>Tabella 6</x:v>
      </x:c>
      <x:c r="P31" s="83" t="str">
        <x:v>Direct table extraction; visual/text verification</x:v>
      </x:c>
      <x:c r="Q31" s="83" t="str">
        <x:v>A - Direct</x:v>
      </x:c>
      <x:c r="R31" s="83" t="str"/>
    </x:row>
    <x:row r="32">
      <x:c r="A32" s="83" t="str">
        <x:v>DEM-0055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Produzione H2 (elettrolisi)</x:v>
      </x:c>
      <x:c r="F32" s="143" t="n">
        <x:v>0</x:v>
      </x:c>
      <x:c r="G32" s="83" t="str">
        <x:v>TWh</x:v>
      </x:c>
      <x:c r="H32" s="83" t="str">
        <x:v>Italia</x:v>
      </x:c>
      <x:c r="I32" s="83" t="str">
        <x:v>DDS definition: usi finali + usi energetici + perdite</x:v>
      </x:c>
      <x:c r="J32" s="83" t="str">
        <x:v>Dato osservato storico</x:v>
      </x:c>
      <x:c r="K32" s="83" t="str">
        <x:v>S09</x:v>
      </x:c>
      <x:c r="L32" s="83" t="str">
        <x:v>Documento_Descrizione_Scenari_2024_8dce2430d44d101.pdf</x:v>
      </x:c>
      <x:c r="M32" s="83" t="n">
        <x:v>48</x:v>
      </x:c>
      <x:c r="N32" s="83" t="n">
        <x:v>46</x:v>
      </x:c>
      <x:c r="O32" s="83" t="str">
        <x:v>Tabella 6</x:v>
      </x:c>
      <x:c r="P32" s="83" t="str">
        <x:v>Direct table extraction; visual/text verification</x:v>
      </x:c>
      <x:c r="Q32" s="83" t="str">
        <x:v>A - Direct</x:v>
      </x:c>
      <x:c r="R32" s="83" t="str">
        <x:v>Valore con un decimale; fonte Terna provvisoria per il 2023.</x:v>
      </x:c>
    </x:row>
    <x:row r="33">
      <x:c r="A33" s="83" t="str">
        <x:v>DEM-0056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Produzione H2 (elettrolisi)</x:v>
      </x:c>
      <x:c r="F33" s="143" t="n">
        <x:v>10</x:v>
      </x:c>
      <x:c r="G33" s="83" t="str">
        <x:v>TWh</x:v>
      </x:c>
      <x:c r="H33" s="83" t="str">
        <x:v>Italia</x:v>
      </x:c>
      <x:c r="I33" s="83" t="str">
        <x:v>DDS definition: usi finali + usi energetici + perdite</x:v>
      </x:c>
      <x:c r="J33" s="83" t="str">
        <x:v>Assunzione di scenario</x:v>
      </x:c>
      <x:c r="K33" s="83" t="str">
        <x:v>S09</x:v>
      </x:c>
      <x:c r="L33" s="83" t="str">
        <x:v>Documento_Descrizione_Scenari_2024_8dce2430d44d101.pdf</x:v>
      </x:c>
      <x:c r="M33" s="83" t="n">
        <x:v>48</x:v>
      </x:c>
      <x:c r="N33" s="83" t="n">
        <x:v>46</x:v>
      </x:c>
      <x:c r="O33" s="83" t="str">
        <x:v>Tabella 6</x:v>
      </x:c>
      <x:c r="P33" s="83" t="str">
        <x:v>Direct table extraction; visual/text verification</x:v>
      </x:c>
      <x:c r="Q33" s="83" t="str">
        <x:v>A - Direct</x:v>
      </x:c>
      <x:c r="R33" s="83" t="str"/>
    </x:row>
    <x:row r="34">
      <x:c r="A34" s="83" t="str">
        <x:v>DEM-0057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Produzione H2 (elettrolisi)</x:v>
      </x:c>
      <x:c r="F34" s="143" t="n">
        <x:v>5.8</x:v>
      </x:c>
      <x:c r="G34" s="83" t="str">
        <x:v>TWh</x:v>
      </x:c>
      <x:c r="H34" s="83" t="str">
        <x:v>Italia</x:v>
      </x:c>
      <x:c r="I34" s="83" t="str">
        <x:v>DDS definition: usi finali + usi energetici + perdite</x:v>
      </x:c>
      <x:c r="J34" s="83" t="str">
        <x:v>Assunzione di scenario</x:v>
      </x:c>
      <x:c r="K34" s="83" t="str">
        <x:v>S09</x:v>
      </x:c>
      <x:c r="L34" s="83" t="str">
        <x:v>Documento_Descrizione_Scenari_2024_8dce2430d44d101.pdf</x:v>
      </x:c>
      <x:c r="M34" s="83" t="n">
        <x:v>48</x:v>
      </x:c>
      <x:c r="N34" s="83" t="n">
        <x:v>46</x:v>
      </x:c>
      <x:c r="O34" s="83" t="str">
        <x:v>Tabella 6</x:v>
      </x:c>
      <x:c r="P34" s="83" t="str">
        <x:v>Direct table extraction; visual/text verification</x:v>
      </x:c>
      <x:c r="Q34" s="83" t="str">
        <x:v>A - Direct</x:v>
      </x:c>
      <x:c r="R34" s="83" t="str"/>
    </x:row>
    <x:row r="35">
      <x:c r="A35" s="83" t="str">
        <x:v>DEM-0058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Produzione H2 (elettrolisi)</x:v>
      </x:c>
      <x:c r="F35" s="143" t="n">
        <x:v>18.8</x:v>
      </x:c>
      <x:c r="G35" s="83" t="str">
        <x:v>TWh</x:v>
      </x:c>
      <x:c r="H35" s="83" t="str">
        <x:v>Italia</x:v>
      </x:c>
      <x:c r="I35" s="83" t="str">
        <x:v>DDS definition: usi finali + usi energetici + perdite</x:v>
      </x:c>
      <x:c r="J35" s="83" t="str">
        <x:v>Assunzione di scenario</x:v>
      </x:c>
      <x:c r="K35" s="83" t="str">
        <x:v>S09</x:v>
      </x:c>
      <x:c r="L35" s="83" t="str">
        <x:v>Documento_Descrizione_Scenari_2024_8dce2430d44d101.pdf</x:v>
      </x:c>
      <x:c r="M35" s="83" t="n">
        <x:v>48</x:v>
      </x:c>
      <x:c r="N35" s="83" t="n">
        <x:v>46</x:v>
      </x:c>
      <x:c r="O35" s="83" t="str">
        <x:v>Tabella 6</x:v>
      </x:c>
      <x:c r="P35" s="83" t="str">
        <x:v>Direct table extraction; visual/text verification</x:v>
      </x:c>
      <x:c r="Q35" s="83" t="str">
        <x:v>A - Direct</x:v>
      </x:c>
      <x:c r="R35" s="83" t="str"/>
    </x:row>
    <x:row r="36">
      <x:c r="A36" s="83" t="str">
        <x:v>DEM-0059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Produzione H2 (elettrolisi)</x:v>
      </x:c>
      <x:c r="F36" s="143" t="n">
        <x:v>18.8</x:v>
      </x:c>
      <x:c r="G36" s="83" t="str">
        <x:v>TWh</x:v>
      </x:c>
      <x:c r="H36" s="83" t="str">
        <x:v>Italia</x:v>
      </x:c>
      <x:c r="I36" s="83" t="str">
        <x:v>DDS definition: usi finali + usi energetici + perdite</x:v>
      </x:c>
      <x:c r="J36" s="83" t="str">
        <x:v>Assunzione di scenario</x:v>
      </x:c>
      <x:c r="K36" s="83" t="str">
        <x:v>S09</x:v>
      </x:c>
      <x:c r="L36" s="83" t="str">
        <x:v>Documento_Descrizione_Scenari_2024_8dce2430d44d101.pdf</x:v>
      </x:c>
      <x:c r="M36" s="83" t="n">
        <x:v>48</x:v>
      </x:c>
      <x:c r="N36" s="83" t="n">
        <x:v>46</x:v>
      </x:c>
      <x:c r="O36" s="83" t="str">
        <x:v>Tabella 6</x:v>
      </x:c>
      <x:c r="P36" s="83" t="str">
        <x:v>Direct table extraction; visual/text verification</x:v>
      </x:c>
      <x:c r="Q36" s="83" t="str">
        <x:v>A - Direct</x:v>
      </x:c>
      <x:c r="R36" s="83" t="str"/>
    </x:row>
    <x:row r="37">
      <x:c r="A37" s="83" t="str">
        <x:v>DEM-0060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Produzione H2 (elettrolisi)</x:v>
      </x:c>
      <x:c r="F37" s="143" t="n">
        <x:v>12.8</x:v>
      </x:c>
      <x:c r="G37" s="83" t="str">
        <x:v>TWh</x:v>
      </x:c>
      <x:c r="H37" s="83" t="str">
        <x:v>Italia</x:v>
      </x:c>
      <x:c r="I37" s="83" t="str">
        <x:v>DDS definition: usi finali + usi energetici + perdite</x:v>
      </x:c>
      <x:c r="J37" s="83" t="str">
        <x:v>Assunzione di scenario</x:v>
      </x:c>
      <x:c r="K37" s="83" t="str">
        <x:v>S09</x:v>
      </x:c>
      <x:c r="L37" s="83" t="str">
        <x:v>Documento_Descrizione_Scenari_2024_8dce2430d44d101.pdf</x:v>
      </x:c>
      <x:c r="M37" s="83" t="n">
        <x:v>48</x:v>
      </x:c>
      <x:c r="N37" s="83" t="n">
        <x:v>46</x:v>
      </x:c>
      <x:c r="O37" s="83" t="str">
        <x:v>Tabella 6</x:v>
      </x:c>
      <x:c r="P37" s="83" t="str">
        <x:v>Direct table extraction; visual/text verification</x:v>
      </x:c>
      <x:c r="Q37" s="83" t="str">
        <x:v>A - Direct</x:v>
      </x:c>
      <x:c r="R37" s="83" t="str"/>
    </x:row>
    <x:row r="38">
      <x:c r="A38" s="83" t="str">
        <x:v>DEM-0061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Produzione H2 (elettrolisi)</x:v>
      </x:c>
      <x:c r="F38" s="143" t="n">
        <x:v>27.5</x:v>
      </x:c>
      <x:c r="G38" s="83" t="str">
        <x:v>TWh</x:v>
      </x:c>
      <x:c r="H38" s="83" t="str">
        <x:v>Italia</x:v>
      </x:c>
      <x:c r="I38" s="83" t="str">
        <x:v>DDS definition: usi finali + usi energetici + perdite</x:v>
      </x:c>
      <x:c r="J38" s="83" t="str">
        <x:v>Assunzione di scenario</x:v>
      </x:c>
      <x:c r="K38" s="83" t="str">
        <x:v>S09</x:v>
      </x:c>
      <x:c r="L38" s="83" t="str">
        <x:v>Documento_Descrizione_Scenari_2024_8dce2430d44d101.pdf</x:v>
      </x:c>
      <x:c r="M38" s="83" t="n">
        <x:v>48</x:v>
      </x:c>
      <x:c r="N38" s="83" t="n">
        <x:v>46</x:v>
      </x:c>
      <x:c r="O38" s="83" t="str">
        <x:v>Tabella 6</x:v>
      </x:c>
      <x:c r="P38" s="83" t="str">
        <x:v>Direct table extraction; visual/text verification</x:v>
      </x:c>
      <x:c r="Q38" s="83" t="str">
        <x:v>A - Direct</x:v>
      </x:c>
      <x:c r="R38" s="83" t="str"/>
    </x:row>
    <x:row r="39">
      <x:c r="A39" s="83" t="str">
        <x:v>DEM-0062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Produzione H2 (elettrolisi)</x:v>
      </x:c>
      <x:c r="F39" s="143" t="n">
        <x:v>27.5</x:v>
      </x:c>
      <x:c r="G39" s="83" t="str">
        <x:v>TWh</x:v>
      </x:c>
      <x:c r="H39" s="83" t="str">
        <x:v>Italia</x:v>
      </x:c>
      <x:c r="I39" s="83" t="str">
        <x:v>DDS definition: usi finali + usi energetici + perdite</x:v>
      </x:c>
      <x:c r="J39" s="83" t="str">
        <x:v>Assunzione di scenario</x:v>
      </x:c>
      <x:c r="K39" s="83" t="str">
        <x:v>S09</x:v>
      </x:c>
      <x:c r="L39" s="83" t="str">
        <x:v>Documento_Descrizione_Scenari_2024_8dce2430d44d101.pdf</x:v>
      </x:c>
      <x:c r="M39" s="83" t="n">
        <x:v>48</x:v>
      </x:c>
      <x:c r="N39" s="83" t="n">
        <x:v>46</x:v>
      </x:c>
      <x:c r="O39" s="83" t="str">
        <x:v>Tabella 6</x:v>
      </x:c>
      <x:c r="P39" s="83" t="str">
        <x:v>Direct table extraction; visual/text verification</x:v>
      </x:c>
      <x:c r="Q39" s="83" t="str">
        <x:v>A - Direct</x:v>
      </x:c>
      <x:c r="R39" s="83" t="str"/>
    </x:row>
    <x:row r="40">
      <x:c r="A40" s="83" t="str">
        <x:v>DEM-0063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Produzione H2 (elettrolisi)</x:v>
      </x:c>
      <x:c r="F40" s="143" t="n">
        <x:v>19.8</x:v>
      </x:c>
      <x:c r="G40" s="83" t="str">
        <x:v>TWh</x:v>
      </x:c>
      <x:c r="H40" s="83" t="str">
        <x:v>Italia</x:v>
      </x:c>
      <x:c r="I40" s="83" t="str">
        <x:v>DDS definition: usi finali + usi energetici + perdite</x:v>
      </x:c>
      <x:c r="J40" s="83" t="str">
        <x:v>Assunzione di scenario</x:v>
      </x:c>
      <x:c r="K40" s="83" t="str">
        <x:v>S09</x:v>
      </x:c>
      <x:c r="L40" s="83" t="str">
        <x:v>Documento_Descrizione_Scenari_2024_8dce2430d44d101.pdf</x:v>
      </x:c>
      <x:c r="M40" s="83" t="n">
        <x:v>48</x:v>
      </x:c>
      <x:c r="N40" s="83" t="n">
        <x:v>46</x:v>
      </x:c>
      <x:c r="O40" s="83" t="str">
        <x:v>Tabella 6</x:v>
      </x:c>
      <x:c r="P40" s="83" t="str">
        <x:v>Direct table extraction; visual/text verification</x:v>
      </x:c>
      <x:c r="Q40" s="83" t="str">
        <x:v>A - Direct</x:v>
      </x:c>
      <x:c r="R40" s="83" t="str"/>
    </x:row>
    <x:row r="41">
      <x:c r="A41" s="83" t="str">
        <x:v>DEM-0064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Perdite di rete</x:v>
      </x:c>
      <x:c r="F41" s="143" t="n">
        <x:v>18.2</x:v>
      </x:c>
      <x:c r="G41" s="83" t="str">
        <x:v>TWh</x:v>
      </x:c>
      <x:c r="H41" s="83" t="str">
        <x:v>Italia</x:v>
      </x:c>
      <x:c r="I41" s="83" t="str">
        <x:v>DDS definition: usi finali + usi energetici + perdite</x:v>
      </x:c>
      <x:c r="J41" s="83" t="str">
        <x:v>Dato osservato storico</x:v>
      </x:c>
      <x:c r="K41" s="83" t="str">
        <x:v>S09</x:v>
      </x:c>
      <x:c r="L41" s="83" t="str">
        <x:v>Documento_Descrizione_Scenari_2024_8dce2430d44d101.pdf</x:v>
      </x:c>
      <x:c r="M41" s="83" t="n">
        <x:v>48</x:v>
      </x:c>
      <x:c r="N41" s="83" t="n">
        <x:v>46</x:v>
      </x:c>
      <x:c r="O41" s="83" t="str">
        <x:v>Tabella 6</x:v>
      </x:c>
      <x:c r="P41" s="83" t="str">
        <x:v>Direct table extraction; visual/text verification</x:v>
      </x:c>
      <x:c r="Q41" s="83" t="str">
        <x:v>A - Direct</x:v>
      </x:c>
      <x:c r="R41" s="83" t="str">
        <x:v>Valore con un decimale; fonte Terna provvisoria per il 2023.</x:v>
      </x:c>
    </x:row>
    <x:row r="42">
      <x:c r="A42" s="83" t="str">
        <x:v>DEM-0065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Perdite di rete</x:v>
      </x:c>
      <x:c r="F42" s="143" t="n">
        <x:v>22</x:v>
      </x:c>
      <x:c r="G42" s="83" t="str">
        <x:v>TWh</x:v>
      </x:c>
      <x:c r="H42" s="83" t="str">
        <x:v>Italia</x:v>
      </x:c>
      <x:c r="I42" s="83" t="str">
        <x:v>DDS definition: usi finali + usi energetici + perdite</x:v>
      </x:c>
      <x:c r="J42" s="83" t="str">
        <x:v>Assunzione di scenario</x:v>
      </x:c>
      <x:c r="K42" s="83" t="str">
        <x:v>S09</x:v>
      </x:c>
      <x:c r="L42" s="83" t="str">
        <x:v>Documento_Descrizione_Scenari_2024_8dce2430d44d101.pdf</x:v>
      </x:c>
      <x:c r="M42" s="83" t="n">
        <x:v>48</x:v>
      </x:c>
      <x:c r="N42" s="83" t="n">
        <x:v>46</x:v>
      </x:c>
      <x:c r="O42" s="83" t="str">
        <x:v>Tabella 6</x:v>
      </x:c>
      <x:c r="P42" s="83" t="str">
        <x:v>Direct table extraction; visual/text verification</x:v>
      </x:c>
      <x:c r="Q42" s="83" t="str">
        <x:v>A - Direct</x:v>
      </x:c>
      <x:c r="R42" s="83" t="str"/>
    </x:row>
    <x:row r="43">
      <x:c r="A43" s="83" t="str">
        <x:v>DEM-0066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Perdite di rete</x:v>
      </x:c>
      <x:c r="F43" s="143" t="n">
        <x:v>20.7</x:v>
      </x:c>
      <x:c r="G43" s="83" t="str">
        <x:v>TWh</x:v>
      </x:c>
      <x:c r="H43" s="83" t="str">
        <x:v>Italia</x:v>
      </x:c>
      <x:c r="I43" s="83" t="str">
        <x:v>DDS definition: usi finali + usi energetici + perdite</x:v>
      </x:c>
      <x:c r="J43" s="83" t="str">
        <x:v>Assunzione di scenario</x:v>
      </x:c>
      <x:c r="K43" s="83" t="str">
        <x:v>S09</x:v>
      </x:c>
      <x:c r="L43" s="83" t="str">
        <x:v>Documento_Descrizione_Scenari_2024_8dce2430d44d101.pdf</x:v>
      </x:c>
      <x:c r="M43" s="83" t="n">
        <x:v>48</x:v>
      </x:c>
      <x:c r="N43" s="83" t="n">
        <x:v>46</x:v>
      </x:c>
      <x:c r="O43" s="83" t="str">
        <x:v>Tabella 6</x:v>
      </x:c>
      <x:c r="P43" s="83" t="str">
        <x:v>Direct table extraction; visual/text verification</x:v>
      </x:c>
      <x:c r="Q43" s="83" t="str">
        <x:v>A - Direct</x:v>
      </x:c>
      <x:c r="R43" s="83" t="str"/>
    </x:row>
    <x:row r="44">
      <x:c r="A44" s="83" t="str">
        <x:v>DEM-0067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Perdite di rete</x:v>
      </x:c>
      <x:c r="F44" s="143" t="n">
        <x:v>23.7</x:v>
      </x:c>
      <x:c r="G44" s="83" t="str">
        <x:v>TWh</x:v>
      </x:c>
      <x:c r="H44" s="83" t="str">
        <x:v>Italia</x:v>
      </x:c>
      <x:c r="I44" s="83" t="str">
        <x:v>DDS definition: usi finali + usi energetici + perdite</x:v>
      </x:c>
      <x:c r="J44" s="83" t="str">
        <x:v>Assunzione di scenario</x:v>
      </x:c>
      <x:c r="K44" s="83" t="str">
        <x:v>S09</x:v>
      </x:c>
      <x:c r="L44" s="83" t="str">
        <x:v>Documento_Descrizione_Scenari_2024_8dce2430d44d101.pdf</x:v>
      </x:c>
      <x:c r="M44" s="83" t="n">
        <x:v>48</x:v>
      </x:c>
      <x:c r="N44" s="83" t="n">
        <x:v>46</x:v>
      </x:c>
      <x:c r="O44" s="83" t="str">
        <x:v>Tabella 6</x:v>
      </x:c>
      <x:c r="P44" s="83" t="str">
        <x:v>Direct table extraction; visual/text verification</x:v>
      </x:c>
      <x:c r="Q44" s="83" t="str">
        <x:v>A - Direct</x:v>
      </x:c>
      <x:c r="R44" s="83" t="str"/>
    </x:row>
    <x:row r="45">
      <x:c r="A45" s="83" t="str">
        <x:v>DEM-0068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Perdite di rete</x:v>
      </x:c>
      <x:c r="F45" s="143" t="n">
        <x:v>23</x:v>
      </x:c>
      <x:c r="G45" s="83" t="str">
        <x:v>TWh</x:v>
      </x:c>
      <x:c r="H45" s="83" t="str">
        <x:v>Italia</x:v>
      </x:c>
      <x:c r="I45" s="83" t="str">
        <x:v>DDS definition: usi finali + usi energetici + perdite</x:v>
      </x:c>
      <x:c r="J45" s="83" t="str">
        <x:v>Assunzione di scenario</x:v>
      </x:c>
      <x:c r="K45" s="83" t="str">
        <x:v>S09</x:v>
      </x:c>
      <x:c r="L45" s="83" t="str">
        <x:v>Documento_Descrizione_Scenari_2024_8dce2430d44d101.pdf</x:v>
      </x:c>
      <x:c r="M45" s="83" t="n">
        <x:v>48</x:v>
      </x:c>
      <x:c r="N45" s="83" t="n">
        <x:v>46</x:v>
      </x:c>
      <x:c r="O45" s="83" t="str">
        <x:v>Tabella 6</x:v>
      </x:c>
      <x:c r="P45" s="83" t="str">
        <x:v>Direct table extraction; visual/text verification</x:v>
      </x:c>
      <x:c r="Q45" s="83" t="str">
        <x:v>A - Direct</x:v>
      </x:c>
      <x:c r="R45" s="83" t="str"/>
    </x:row>
    <x:row r="46">
      <x:c r="A46" s="83" t="str">
        <x:v>DEM-0069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Perdite di rete</x:v>
      </x:c>
      <x:c r="F46" s="143" t="n">
        <x:v>22.4</x:v>
      </x:c>
      <x:c r="G46" s="83" t="str">
        <x:v>TWh</x:v>
      </x:c>
      <x:c r="H46" s="83" t="str">
        <x:v>Italia</x:v>
      </x:c>
      <x:c r="I46" s="83" t="str">
        <x:v>DDS definition: usi finali + usi energetici + perdite</x:v>
      </x:c>
      <x:c r="J46" s="83" t="str">
        <x:v>Assunzione di scenario</x:v>
      </x:c>
      <x:c r="K46" s="83" t="str">
        <x:v>S09</x:v>
      </x:c>
      <x:c r="L46" s="83" t="str">
        <x:v>Documento_Descrizione_Scenari_2024_8dce2430d44d101.pdf</x:v>
      </x:c>
      <x:c r="M46" s="83" t="n">
        <x:v>48</x:v>
      </x:c>
      <x:c r="N46" s="83" t="n">
        <x:v>46</x:v>
      </x:c>
      <x:c r="O46" s="83" t="str">
        <x:v>Tabella 6</x:v>
      </x:c>
      <x:c r="P46" s="83" t="str">
        <x:v>Direct table extraction; visual/text verification</x:v>
      </x:c>
      <x:c r="Q46" s="83" t="str">
        <x:v>A - Direct</x:v>
      </x:c>
      <x:c r="R46" s="83" t="str"/>
    </x:row>
    <x:row r="47">
      <x:c r="A47" s="83" t="str">
        <x:v>DEM-0070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Perdite di rete</x:v>
      </x:c>
      <x:c r="F47" s="143" t="n">
        <x:v>26.2</x:v>
      </x:c>
      <x:c r="G47" s="83" t="str">
        <x:v>TWh</x:v>
      </x:c>
      <x:c r="H47" s="83" t="str">
        <x:v>Italia</x:v>
      </x:c>
      <x:c r="I47" s="83" t="str">
        <x:v>DDS definition: usi finali + usi energetici + perdite</x:v>
      </x:c>
      <x:c r="J47" s="83" t="str">
        <x:v>Assunzione di scenario</x:v>
      </x:c>
      <x:c r="K47" s="83" t="str">
        <x:v>S09</x:v>
      </x:c>
      <x:c r="L47" s="83" t="str">
        <x:v>Documento_Descrizione_Scenari_2024_8dce2430d44d101.pdf</x:v>
      </x:c>
      <x:c r="M47" s="83" t="n">
        <x:v>48</x:v>
      </x:c>
      <x:c r="N47" s="83" t="n">
        <x:v>46</x:v>
      </x:c>
      <x:c r="O47" s="83" t="str">
        <x:v>Tabella 6</x:v>
      </x:c>
      <x:c r="P47" s="83" t="str">
        <x:v>Direct table extraction; visual/text verification</x:v>
      </x:c>
      <x:c r="Q47" s="83" t="str">
        <x:v>A - Direct</x:v>
      </x:c>
      <x:c r="R47" s="83" t="str"/>
    </x:row>
    <x:row r="48">
      <x:c r="A48" s="83" t="str">
        <x:v>DEM-0071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Perdite di rete</x:v>
      </x:c>
      <x:c r="F48" s="143" t="n">
        <x:v>24.8</x:v>
      </x:c>
      <x:c r="G48" s="83" t="str">
        <x:v>TWh</x:v>
      </x:c>
      <x:c r="H48" s="83" t="str">
        <x:v>Italia</x:v>
      </x:c>
      <x:c r="I48" s="83" t="str">
        <x:v>DDS definition: usi finali + usi energetici + perdite</x:v>
      </x:c>
      <x:c r="J48" s="83" t="str">
        <x:v>Assunzione di scenario</x:v>
      </x:c>
      <x:c r="K48" s="83" t="str">
        <x:v>S09</x:v>
      </x:c>
      <x:c r="L48" s="83" t="str">
        <x:v>Documento_Descrizione_Scenari_2024_8dce2430d44d101.pdf</x:v>
      </x:c>
      <x:c r="M48" s="83" t="n">
        <x:v>48</x:v>
      </x:c>
      <x:c r="N48" s="83" t="n">
        <x:v>46</x:v>
      </x:c>
      <x:c r="O48" s="83" t="str">
        <x:v>Tabella 6</x:v>
      </x:c>
      <x:c r="P48" s="83" t="str">
        <x:v>Direct table extraction; visual/text verification</x:v>
      </x:c>
      <x:c r="Q48" s="83" t="str">
        <x:v>A - Direct</x:v>
      </x:c>
      <x:c r="R48" s="83" t="str"/>
    </x:row>
    <x:row r="49">
      <x:c r="A49" s="83" t="str">
        <x:v>DEM-0072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Perdite di rete</x:v>
      </x:c>
      <x:c r="F49" s="143" t="n">
        <x:v>24.1</x:v>
      </x:c>
      <x:c r="G49" s="83" t="str">
        <x:v>TWh</x:v>
      </x:c>
      <x:c r="H49" s="83" t="str">
        <x:v>Italia</x:v>
      </x:c>
      <x:c r="I49" s="83" t="str">
        <x:v>DDS definition: usi finali + usi energetici + perdite</x:v>
      </x:c>
      <x:c r="J49" s="83" t="str">
        <x:v>Assunzione di scenario</x:v>
      </x:c>
      <x:c r="K49" s="83" t="str">
        <x:v>S09</x:v>
      </x:c>
      <x:c r="L49" s="83" t="str">
        <x:v>Documento_Descrizione_Scenari_2024_8dce2430d44d101.pdf</x:v>
      </x:c>
      <x:c r="M49" s="83" t="n">
        <x:v>48</x:v>
      </x:c>
      <x:c r="N49" s="83" t="n">
        <x:v>46</x:v>
      </x:c>
      <x:c r="O49" s="83" t="str">
        <x:v>Tabella 6</x:v>
      </x:c>
      <x:c r="P49" s="83" t="str">
        <x:v>Direct table extraction; visual/text verification</x:v>
      </x:c>
      <x:c r="Q49" s="83" t="str">
        <x:v>A - Direct</x:v>
      </x:c>
      <x:c r="R49" s="83" t="str"/>
    </x:row>
    <x:row r="50">
      <x:c r="A50" s="83" t="str">
        <x:v>DEM-0073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Fabbisogno elettrico</x:v>
      </x:c>
      <x:c r="F50" s="143" t="n">
        <x:v>305.6</x:v>
      </x:c>
      <x:c r="G50" s="83" t="str">
        <x:v>TWh</x:v>
      </x:c>
      <x:c r="H50" s="83" t="str">
        <x:v>Italia</x:v>
      </x:c>
      <x:c r="I50" s="83" t="str">
        <x:v>DDS definition: usi finali + usi energetici + perdite</x:v>
      </x:c>
      <x:c r="J50" s="83" t="str">
        <x:v>Dato osservato storico</x:v>
      </x:c>
      <x:c r="K50" s="83" t="str">
        <x:v>S09</x:v>
      </x:c>
      <x:c r="L50" s="83" t="str">
        <x:v>Documento_Descrizione_Scenari_2024_8dce2430d44d101.pdf</x:v>
      </x:c>
      <x:c r="M50" s="83" t="n">
        <x:v>48</x:v>
      </x:c>
      <x:c r="N50" s="83" t="n">
        <x:v>46</x:v>
      </x:c>
      <x:c r="O50" s="83" t="str">
        <x:v>Tabella 6</x:v>
      </x:c>
      <x:c r="P50" s="83" t="str">
        <x:v>Direct table extraction; visual/text verification</x:v>
      </x:c>
      <x:c r="Q50" s="83" t="str">
        <x:v>A - Direct</x:v>
      </x:c>
      <x:c r="R50" s="83" t="str">
        <x:v>Valore con un decimale; fonte Terna provvisoria per il 2023.</x:v>
      </x:c>
    </x:row>
    <x:row r="51">
      <x:c r="A51" s="83" t="str">
        <x:v>DEM-0074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Fabbisogno elettrico</x:v>
      </x:c>
      <x:c r="F51" s="143" t="n">
        <x:v>361.9</x:v>
      </x:c>
      <x:c r="G51" s="83" t="str">
        <x:v>TWh</x:v>
      </x:c>
      <x:c r="H51" s="83" t="str">
        <x:v>Italia</x:v>
      </x:c>
      <x:c r="I51" s="83" t="str">
        <x:v>DDS definition: usi finali + usi energetici + perdite</x:v>
      </x:c>
      <x:c r="J51" s="83" t="str">
        <x:v>Assunzione di scenario</x:v>
      </x:c>
      <x:c r="K51" s="83" t="str">
        <x:v>S09</x:v>
      </x:c>
      <x:c r="L51" s="83" t="str">
        <x:v>Documento_Descrizione_Scenari_2024_8dce2430d44d101.pdf</x:v>
      </x:c>
      <x:c r="M51" s="83" t="n">
        <x:v>48</x:v>
      </x:c>
      <x:c r="N51" s="83" t="n">
        <x:v>46</x:v>
      </x:c>
      <x:c r="O51" s="83" t="str">
        <x:v>Tabella 6</x:v>
      </x:c>
      <x:c r="P51" s="83" t="str">
        <x:v>Direct table extraction; visual/text verification</x:v>
      </x:c>
      <x:c r="Q51" s="83" t="str">
        <x:v>A - Direct</x:v>
      </x:c>
      <x:c r="R51" s="83" t="str"/>
    </x:row>
    <x:row r="52">
      <x:c r="A52" s="83" t="str">
        <x:v>DEM-0075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Fabbisogno elettrico</x:v>
      </x:c>
      <x:c r="F52" s="143" t="n">
        <x:v>346.6</x:v>
      </x:c>
      <x:c r="G52" s="83" t="str">
        <x:v>TWh</x:v>
      </x:c>
      <x:c r="H52" s="83" t="str">
        <x:v>Italia</x:v>
      </x:c>
      <x:c r="I52" s="83" t="str">
        <x:v>DDS definition: usi finali + usi energetici + perdite</x:v>
      </x:c>
      <x:c r="J52" s="83" t="str">
        <x:v>Assunzione di scenario</x:v>
      </x:c>
      <x:c r="K52" s="83" t="str">
        <x:v>S09</x:v>
      </x:c>
      <x:c r="L52" s="83" t="str">
        <x:v>Documento_Descrizione_Scenari_2024_8dce2430d44d101.pdf</x:v>
      </x:c>
      <x:c r="M52" s="83" t="n">
        <x:v>48</x:v>
      </x:c>
      <x:c r="N52" s="83" t="n">
        <x:v>46</x:v>
      </x:c>
      <x:c r="O52" s="83" t="str">
        <x:v>Tabella 6</x:v>
      </x:c>
      <x:c r="P52" s="83" t="str">
        <x:v>Direct table extraction; visual/text verification</x:v>
      </x:c>
      <x:c r="Q52" s="83" t="str">
        <x:v>A - Direct</x:v>
      </x:c>
      <x:c r="R52" s="83" t="str"/>
    </x:row>
    <x:row r="53">
      <x:c r="A53" s="83" t="str">
        <x:v>DEM-0076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Fabbisogno elettrico</x:v>
      </x:c>
      <x:c r="F53" s="143" t="n">
        <x:v>396.9</x:v>
      </x:c>
      <x:c r="G53" s="83" t="str">
        <x:v>TWh</x:v>
      </x:c>
      <x:c r="H53" s="83" t="str">
        <x:v>Italia</x:v>
      </x:c>
      <x:c r="I53" s="83" t="str">
        <x:v>DDS definition: usi finali + usi energetici + perdite</x:v>
      </x:c>
      <x:c r="J53" s="83" t="str">
        <x:v>Assunzione di scenario</x:v>
      </x:c>
      <x:c r="K53" s="83" t="str">
        <x:v>S09</x:v>
      </x:c>
      <x:c r="L53" s="83" t="str">
        <x:v>Documento_Descrizione_Scenari_2024_8dce2430d44d101.pdf</x:v>
      </x:c>
      <x:c r="M53" s="83" t="n">
        <x:v>48</x:v>
      </x:c>
      <x:c r="N53" s="83" t="n">
        <x:v>46</x:v>
      </x:c>
      <x:c r="O53" s="83" t="str">
        <x:v>Tabella 6</x:v>
      </x:c>
      <x:c r="P53" s="83" t="str">
        <x:v>Direct table extraction; visual/text verification</x:v>
      </x:c>
      <x:c r="Q53" s="83" t="str">
        <x:v>A - Direct</x:v>
      </x:c>
      <x:c r="R53" s="83" t="str"/>
    </x:row>
    <x:row r="54">
      <x:c r="A54" s="83" t="str">
        <x:v>DEM-0077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Fabbisogno elettrico</x:v>
      </x:c>
      <x:c r="F54" s="143" t="n">
        <x:v>385</x:v>
      </x:c>
      <x:c r="G54" s="83" t="str">
        <x:v>TWh</x:v>
      </x:c>
      <x:c r="H54" s="83" t="str">
        <x:v>Italia</x:v>
      </x:c>
      <x:c r="I54" s="83" t="str">
        <x:v>DDS definition: usi finali + usi energetici + perdite</x:v>
      </x:c>
      <x:c r="J54" s="83" t="str">
        <x:v>Assunzione di scenario</x:v>
      </x:c>
      <x:c r="K54" s="83" t="str">
        <x:v>S09</x:v>
      </x:c>
      <x:c r="L54" s="83" t="str">
        <x:v>Documento_Descrizione_Scenari_2024_8dce2430d44d101.pdf</x:v>
      </x:c>
      <x:c r="M54" s="83" t="n">
        <x:v>48</x:v>
      </x:c>
      <x:c r="N54" s="83" t="n">
        <x:v>46</x:v>
      </x:c>
      <x:c r="O54" s="83" t="str">
        <x:v>Tabella 6</x:v>
      </x:c>
      <x:c r="P54" s="83" t="str">
        <x:v>Direct table extraction; visual/text verification</x:v>
      </x:c>
      <x:c r="Q54" s="83" t="str">
        <x:v>A - Direct</x:v>
      </x:c>
      <x:c r="R54" s="83" t="str"/>
    </x:row>
    <x:row r="55">
      <x:c r="A55" s="83" t="str">
        <x:v>DEM-0078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Fabbisogno elettrico</x:v>
      </x:c>
      <x:c r="F55" s="143" t="n">
        <x:v>375.5</x:v>
      </x:c>
      <x:c r="G55" s="83" t="str">
        <x:v>TWh</x:v>
      </x:c>
      <x:c r="H55" s="83" t="str">
        <x:v>Italia</x:v>
      </x:c>
      <x:c r="I55" s="83" t="str">
        <x:v>DDS definition: usi finali + usi energetici + perdite</x:v>
      </x:c>
      <x:c r="J55" s="83" t="str">
        <x:v>Assunzione di scenario</x:v>
      </x:c>
      <x:c r="K55" s="83" t="str">
        <x:v>S09</x:v>
      </x:c>
      <x:c r="L55" s="83" t="str">
        <x:v>Documento_Descrizione_Scenari_2024_8dce2430d44d101.pdf</x:v>
      </x:c>
      <x:c r="M55" s="83" t="n">
        <x:v>48</x:v>
      </x:c>
      <x:c r="N55" s="83" t="n">
        <x:v>46</x:v>
      </x:c>
      <x:c r="O55" s="83" t="str">
        <x:v>Tabella 6</x:v>
      </x:c>
      <x:c r="P55" s="83" t="str">
        <x:v>Direct table extraction; visual/text verification</x:v>
      </x:c>
      <x:c r="Q55" s="83" t="str">
        <x:v>A - Direct</x:v>
      </x:c>
      <x:c r="R55" s="83" t="str"/>
    </x:row>
    <x:row r="56">
      <x:c r="A56" s="83" t="str">
        <x:v>DEM-0079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Fabbisogno elettrico</x:v>
      </x:c>
      <x:c r="F56" s="143" t="n">
        <x:v>439</x:v>
      </x:c>
      <x:c r="G56" s="83" t="str">
        <x:v>TWh</x:v>
      </x:c>
      <x:c r="H56" s="83" t="str">
        <x:v>Italia</x:v>
      </x:c>
      <x:c r="I56" s="83" t="str">
        <x:v>DDS definition: usi finali + usi energetici + perdite</x:v>
      </x:c>
      <x:c r="J56" s="83" t="str">
        <x:v>Assunzione di scenario</x:v>
      </x:c>
      <x:c r="K56" s="83" t="str">
        <x:v>S09</x:v>
      </x:c>
      <x:c r="L56" s="83" t="str">
        <x:v>Documento_Descrizione_Scenari_2024_8dce2430d44d101.pdf</x:v>
      </x:c>
      <x:c r="M56" s="83" t="n">
        <x:v>48</x:v>
      </x:c>
      <x:c r="N56" s="83" t="n">
        <x:v>46</x:v>
      </x:c>
      <x:c r="O56" s="83" t="str">
        <x:v>Tabella 6</x:v>
      </x:c>
      <x:c r="P56" s="83" t="str">
        <x:v>Direct table extraction; visual/text verification</x:v>
      </x:c>
      <x:c r="Q56" s="83" t="str">
        <x:v>A - Direct</x:v>
      </x:c>
      <x:c r="R56" s="83" t="str"/>
    </x:row>
    <x:row r="57">
      <x:c r="A57" s="83" t="str">
        <x:v>DEM-0080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Fabbisogno elettrico</x:v>
      </x:c>
      <x:c r="F57" s="143" t="n">
        <x:v>415.2</x:v>
      </x:c>
      <x:c r="G57" s="83" t="str">
        <x:v>TWh</x:v>
      </x:c>
      <x:c r="H57" s="83" t="str">
        <x:v>Italia</x:v>
      </x:c>
      <x:c r="I57" s="83" t="str">
        <x:v>DDS definition: usi finali + usi energetici + perdite</x:v>
      </x:c>
      <x:c r="J57" s="83" t="str">
        <x:v>Assunzione di scenario</x:v>
      </x:c>
      <x:c r="K57" s="83" t="str">
        <x:v>S09</x:v>
      </x:c>
      <x:c r="L57" s="83" t="str">
        <x:v>Documento_Descrizione_Scenari_2024_8dce2430d44d101.pdf</x:v>
      </x:c>
      <x:c r="M57" s="83" t="n">
        <x:v>48</x:v>
      </x:c>
      <x:c r="N57" s="83" t="n">
        <x:v>46</x:v>
      </x:c>
      <x:c r="O57" s="83" t="str">
        <x:v>Tabella 6</x:v>
      </x:c>
      <x:c r="P57" s="83" t="str">
        <x:v>Direct table extraction; visual/text verification</x:v>
      </x:c>
      <x:c r="Q57" s="83" t="str">
        <x:v>A - Direct</x:v>
      </x:c>
      <x:c r="R57" s="83" t="str"/>
    </x:row>
    <x:row r="58">
      <x:c r="A58" s="83" t="str">
        <x:v>DEM-0081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Fabbisogno elettrico</x:v>
      </x:c>
      <x:c r="F58" s="143" t="n">
        <x:v>404.4</x:v>
      </x:c>
      <x:c r="G58" s="83" t="str">
        <x:v>TWh</x:v>
      </x:c>
      <x:c r="H58" s="83" t="str">
        <x:v>Italia</x:v>
      </x:c>
      <x:c r="I58" s="83" t="str">
        <x:v>DDS definition: usi finali + usi energetici + perdite</x:v>
      </x:c>
      <x:c r="J58" s="83" t="str">
        <x:v>Assunzione di scenario</x:v>
      </x:c>
      <x:c r="K58" s="83" t="str">
        <x:v>S09</x:v>
      </x:c>
      <x:c r="L58" s="83" t="str">
        <x:v>Documento_Descrizione_Scenari_2024_8dce2430d44d101.pdf</x:v>
      </x:c>
      <x:c r="M58" s="83" t="n">
        <x:v>48</x:v>
      </x:c>
      <x:c r="N58" s="83" t="n">
        <x:v>46</x:v>
      </x:c>
      <x:c r="O58" s="83" t="str">
        <x:v>Tabella 6</x:v>
      </x:c>
      <x:c r="P58" s="83" t="str">
        <x:v>Direct table extraction; visual/text verification</x:v>
      </x:c>
      <x:c r="Q58" s="83" t="str">
        <x:v>A - Direct</x:v>
      </x:c>
      <x:c r="R58" s="83" t="str"/>
    </x:row>
    <x:row r="59">
      <x:c r="A59" s="83" t="str">
        <x:v>DEM-0082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Fabbisogno elettrico puro</x:v>
      </x:c>
      <x:c r="F59" s="143" t="n">
        <x:v>306</x:v>
      </x:c>
      <x:c r="G59" s="83" t="str">
        <x:v>TWh</x:v>
      </x:c>
      <x:c r="H59" s="83" t="str">
        <x:v>Italia</x:v>
      </x:c>
      <x:c r="I59" s="83" t="str">
        <x:v>Fabbisogno totale al netto dei consumi elettrici per produzione H2</x:v>
      </x:c>
      <x:c r="J59" s="83" t="str">
        <x:v>Dato osservato storico</x:v>
      </x:c>
      <x:c r="K59" s="83" t="str">
        <x:v>S09</x:v>
      </x:c>
      <x:c r="L59" s="83" t="str">
        <x:v>Documento_Descrizione_Scenari_2024_8dce2430d44d101.pdf</x:v>
      </x:c>
      <x:c r="M59" s="83" t="n">
        <x:v>66</x:v>
      </x:c>
      <x:c r="N59" s="83" t="n">
        <x:v>64</x:v>
      </x:c>
      <x:c r="O59" s="83" t="str">
        <x:v>Tabella 18</x:v>
      </x:c>
      <x:c r="P59" s="83" t="str">
        <x:v>Direct table extraction; rounded values</x:v>
      </x:c>
      <x:c r="Q59" s="83" t="str">
        <x:v>A - Direct</x:v>
      </x:c>
      <x:c r="R59" s="83" t="str">
        <x:v>Tabella 18 riporta valori interi; differenze minime rispetto alla sottrazione dei valori decimali della Tabella 6.</x:v>
      </x:c>
    </x:row>
    <x:row r="60">
      <x:c r="A60" s="83" t="str">
        <x:v>DEM-0083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Fabbisogno elettrico puro</x:v>
      </x:c>
      <x:c r="F60" s="143" t="n">
        <x:v>352</x:v>
      </x:c>
      <x:c r="G60" s="83" t="str">
        <x:v>TWh</x:v>
      </x:c>
      <x:c r="H60" s="83" t="str">
        <x:v>Italia</x:v>
      </x:c>
      <x:c r="I60" s="83" t="str">
        <x:v>Fabbisogno totale al netto dei consumi elettrici per produzione H2</x:v>
      </x:c>
      <x:c r="J60" s="83" t="str">
        <x:v>Assunzione di scenario</x:v>
      </x:c>
      <x:c r="K60" s="83" t="str">
        <x:v>S09</x:v>
      </x:c>
      <x:c r="L60" s="83" t="str">
        <x:v>Documento_Descrizione_Scenari_2024_8dce2430d44d101.pdf</x:v>
      </x:c>
      <x:c r="M60" s="83" t="n">
        <x:v>66</x:v>
      </x:c>
      <x:c r="N60" s="83" t="n">
        <x:v>64</x:v>
      </x:c>
      <x:c r="O60" s="83" t="str">
        <x:v>Tabella 18</x:v>
      </x:c>
      <x:c r="P60" s="83" t="str">
        <x:v>Direct table extraction; rounded values</x:v>
      </x:c>
      <x:c r="Q60" s="83" t="str">
        <x:v>A - Direct</x:v>
      </x:c>
      <x:c r="R60" s="83" t="str">
        <x:v>Tabella 18 riporta valori interi; differenze minime rispetto alla sottrazione dei valori decimali della Tabella 6.</x:v>
      </x:c>
    </x:row>
    <x:row r="61">
      <x:c r="A61" s="83" t="str">
        <x:v>DEM-0084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Fabbisogno elettrico puro</x:v>
      </x:c>
      <x:c r="F61" s="143" t="n">
        <x:v>341</x:v>
      </x:c>
      <x:c r="G61" s="83" t="str">
        <x:v>TWh</x:v>
      </x:c>
      <x:c r="H61" s="83" t="str">
        <x:v>Italia</x:v>
      </x:c>
      <x:c r="I61" s="83" t="str">
        <x:v>Fabbisogno totale al netto dei consumi elettrici per produzione H2</x:v>
      </x:c>
      <x:c r="J61" s="83" t="str">
        <x:v>Assunzione di scenario</x:v>
      </x:c>
      <x:c r="K61" s="83" t="str">
        <x:v>S09</x:v>
      </x:c>
      <x:c r="L61" s="83" t="str">
        <x:v>Documento_Descrizione_Scenari_2024_8dce2430d44d101.pdf</x:v>
      </x:c>
      <x:c r="M61" s="83" t="n">
        <x:v>66</x:v>
      </x:c>
      <x:c r="N61" s="83" t="n">
        <x:v>64</x:v>
      </x:c>
      <x:c r="O61" s="83" t="str">
        <x:v>Tabella 18</x:v>
      </x:c>
      <x:c r="P61" s="83" t="str">
        <x:v>Direct table extraction; rounded values</x:v>
      </x:c>
      <x:c r="Q61" s="83" t="str">
        <x:v>A - Direct</x:v>
      </x:c>
      <x:c r="R61" s="83" t="str">
        <x:v>Tabella 18 riporta valori interi; differenze minime rispetto alla sottrazione dei valori decimali della Tabella 6.</x:v>
      </x:c>
    </x:row>
    <x:row r="62">
      <x:c r="A62" s="83" t="str">
        <x:v>DEM-0085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Fabbisogno elettrico puro</x:v>
      </x:c>
      <x:c r="F62" s="143" t="n">
        <x:v>378</x:v>
      </x:c>
      <x:c r="G62" s="83" t="str">
        <x:v>TWh</x:v>
      </x:c>
      <x:c r="H62" s="83" t="str">
        <x:v>Italia</x:v>
      </x:c>
      <x:c r="I62" s="83" t="str">
        <x:v>Fabbisogno totale al netto dei consumi elettrici per produzione H2</x:v>
      </x:c>
      <x:c r="J62" s="83" t="str">
        <x:v>Assunzione di scenario</x:v>
      </x:c>
      <x:c r="K62" s="83" t="str">
        <x:v>S09</x:v>
      </x:c>
      <x:c r="L62" s="83" t="str">
        <x:v>Documento_Descrizione_Scenari_2024_8dce2430d44d101.pdf</x:v>
      </x:c>
      <x:c r="M62" s="83" t="n">
        <x:v>66</x:v>
      </x:c>
      <x:c r="N62" s="83" t="n">
        <x:v>64</x:v>
      </x:c>
      <x:c r="O62" s="83" t="str">
        <x:v>Tabella 18</x:v>
      </x:c>
      <x:c r="P62" s="83" t="str">
        <x:v>Direct table extraction; rounded values</x:v>
      </x:c>
      <x:c r="Q62" s="83" t="str">
        <x:v>A - Direct</x:v>
      </x:c>
      <x:c r="R62" s="83" t="str">
        <x:v>Tabella 18 riporta valori interi; differenze minime rispetto alla sottrazione dei valori decimali della Tabella 6.</x:v>
      </x:c>
    </x:row>
    <x:row r="63">
      <x:c r="A63" s="83" t="str">
        <x:v>DEM-0086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Fabbisogno elettrico puro</x:v>
      </x:c>
      <x:c r="F63" s="143" t="n">
        <x:v>366</x:v>
      </x:c>
      <x:c r="G63" s="83" t="str">
        <x:v>TWh</x:v>
      </x:c>
      <x:c r="H63" s="83" t="str">
        <x:v>Italia</x:v>
      </x:c>
      <x:c r="I63" s="83" t="str">
        <x:v>Fabbisogno totale al netto dei consumi elettrici per produzione H2</x:v>
      </x:c>
      <x:c r="J63" s="83" t="str">
        <x:v>Assunzione di scenario</x:v>
      </x:c>
      <x:c r="K63" s="83" t="str">
        <x:v>S09</x:v>
      </x:c>
      <x:c r="L63" s="83" t="str">
        <x:v>Documento_Descrizione_Scenari_2024_8dce2430d44d101.pdf</x:v>
      </x:c>
      <x:c r="M63" s="83" t="n">
        <x:v>66</x:v>
      </x:c>
      <x:c r="N63" s="83" t="n">
        <x:v>64</x:v>
      </x:c>
      <x:c r="O63" s="83" t="str">
        <x:v>Tabella 18</x:v>
      </x:c>
      <x:c r="P63" s="83" t="str">
        <x:v>Direct table extraction; rounded values</x:v>
      </x:c>
      <x:c r="Q63" s="83" t="str">
        <x:v>A - Direct</x:v>
      </x:c>
      <x:c r="R63" s="83" t="str">
        <x:v>Tabella 18 riporta valori interi; differenze minime rispetto alla sottrazione dei valori decimali della Tabella 6.</x:v>
      </x:c>
    </x:row>
    <x:row r="64">
      <x:c r="A64" s="83" t="str">
        <x:v>DEM-0087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Fabbisogno elettrico puro</x:v>
      </x:c>
      <x:c r="F64" s="143" t="n">
        <x:v>363</x:v>
      </x:c>
      <x:c r="G64" s="83" t="str">
        <x:v>TWh</x:v>
      </x:c>
      <x:c r="H64" s="83" t="str">
        <x:v>Italia</x:v>
      </x:c>
      <x:c r="I64" s="83" t="str">
        <x:v>Fabbisogno totale al netto dei consumi elettrici per produzione H2</x:v>
      </x:c>
      <x:c r="J64" s="83" t="str">
        <x:v>Assunzione di scenario</x:v>
      </x:c>
      <x:c r="K64" s="83" t="str">
        <x:v>S09</x:v>
      </x:c>
      <x:c r="L64" s="83" t="str">
        <x:v>Documento_Descrizione_Scenari_2024_8dce2430d44d101.pdf</x:v>
      </x:c>
      <x:c r="M64" s="83" t="n">
        <x:v>66</x:v>
      </x:c>
      <x:c r="N64" s="83" t="n">
        <x:v>64</x:v>
      </x:c>
      <x:c r="O64" s="83" t="str">
        <x:v>Tabella 18</x:v>
      </x:c>
      <x:c r="P64" s="83" t="str">
        <x:v>Direct table extraction; rounded values</x:v>
      </x:c>
      <x:c r="Q64" s="83" t="str">
        <x:v>A - Direct</x:v>
      </x:c>
      <x:c r="R64" s="83" t="str">
        <x:v>Tabella 18 riporta valori interi; differenze minime rispetto alla sottrazione dei valori decimali della Tabella 6.</x:v>
      </x:c>
    </x:row>
    <x:row r="65">
      <x:c r="A65" s="83" t="str">
        <x:v>DEM-0088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Fabbisogno elettrico puro</x:v>
      </x:c>
      <x:c r="F65" s="143" t="n">
        <x:v>412</x:v>
      </x:c>
      <x:c r="G65" s="83" t="str">
        <x:v>TWh</x:v>
      </x:c>
      <x:c r="H65" s="83" t="str">
        <x:v>Italia</x:v>
      </x:c>
      <x:c r="I65" s="83" t="str">
        <x:v>Fabbisogno totale al netto dei consumi elettrici per produzione H2</x:v>
      </x:c>
      <x:c r="J65" s="83" t="str">
        <x:v>Assunzione di scenario</x:v>
      </x:c>
      <x:c r="K65" s="83" t="str">
        <x:v>S09</x:v>
      </x:c>
      <x:c r="L65" s="83" t="str">
        <x:v>Documento_Descrizione_Scenari_2024_8dce2430d44d101.pdf</x:v>
      </x:c>
      <x:c r="M65" s="83" t="n">
        <x:v>66</x:v>
      </x:c>
      <x:c r="N65" s="83" t="n">
        <x:v>64</x:v>
      </x:c>
      <x:c r="O65" s="83" t="str">
        <x:v>Tabella 18</x:v>
      </x:c>
      <x:c r="P65" s="83" t="str">
        <x:v>Direct table extraction; rounded values</x:v>
      </x:c>
      <x:c r="Q65" s="83" t="str">
        <x:v>A - Direct</x:v>
      </x:c>
      <x:c r="R65" s="83" t="str">
        <x:v>Tabella 18 riporta valori interi; differenze minime rispetto alla sottrazione dei valori decimali della Tabella 6.</x:v>
      </x:c>
    </x:row>
    <x:row r="66">
      <x:c r="A66" s="83" t="str">
        <x:v>DEM-0089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Fabbisogno elettrico puro</x:v>
      </x:c>
      <x:c r="F66" s="143" t="n">
        <x:v>388</x:v>
      </x:c>
      <x:c r="G66" s="83" t="str">
        <x:v>TWh</x:v>
      </x:c>
      <x:c r="H66" s="83" t="str">
        <x:v>Italia</x:v>
      </x:c>
      <x:c r="I66" s="83" t="str">
        <x:v>Fabbisogno totale al netto dei consumi elettrici per produzione H2</x:v>
      </x:c>
      <x:c r="J66" s="83" t="str">
        <x:v>Assunzione di scenario</x:v>
      </x:c>
      <x:c r="K66" s="83" t="str">
        <x:v>S09</x:v>
      </x:c>
      <x:c r="L66" s="83" t="str">
        <x:v>Documento_Descrizione_Scenari_2024_8dce2430d44d101.pdf</x:v>
      </x:c>
      <x:c r="M66" s="83" t="n">
        <x:v>66</x:v>
      </x:c>
      <x:c r="N66" s="83" t="n">
        <x:v>64</x:v>
      </x:c>
      <x:c r="O66" s="83" t="str">
        <x:v>Tabella 18</x:v>
      </x:c>
      <x:c r="P66" s="83" t="str">
        <x:v>Direct table extraction; rounded values</x:v>
      </x:c>
      <x:c r="Q66" s="83" t="str">
        <x:v>A - Direct</x:v>
      </x:c>
      <x:c r="R66" s="83" t="str">
        <x:v>Tabella 18 riporta valori interi; differenze minime rispetto alla sottrazione dei valori decimali della Tabella 6.</x:v>
      </x:c>
    </x:row>
    <x:row r="67">
      <x:c r="A67" s="83" t="str">
        <x:v>DEM-0090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Fabbisogno elettrico puro</x:v>
      </x:c>
      <x:c r="F67" s="143" t="n">
        <x:v>385</x:v>
      </x:c>
      <x:c r="G67" s="83" t="str">
        <x:v>TWh</x:v>
      </x:c>
      <x:c r="H67" s="83" t="str">
        <x:v>Italia</x:v>
      </x:c>
      <x:c r="I67" s="83" t="str">
        <x:v>Fabbisogno totale al netto dei consumi elettrici per produzione H2</x:v>
      </x:c>
      <x:c r="J67" s="83" t="str">
        <x:v>Assunzione di scenario</x:v>
      </x:c>
      <x:c r="K67" s="83" t="str">
        <x:v>S09</x:v>
      </x:c>
      <x:c r="L67" s="83" t="str">
        <x:v>Documento_Descrizione_Scenari_2024_8dce2430d44d101.pdf</x:v>
      </x:c>
      <x:c r="M67" s="83" t="n">
        <x:v>66</x:v>
      </x:c>
      <x:c r="N67" s="83" t="n">
        <x:v>64</x:v>
      </x:c>
      <x:c r="O67" s="83" t="str">
        <x:v>Tabella 18</x:v>
      </x:c>
      <x:c r="P67" s="83" t="str">
        <x:v>Direct table extraction; rounded values</x:v>
      </x:c>
      <x:c r="Q67" s="83" t="str">
        <x:v>A - Direct</x:v>
      </x:c>
      <x:c r="R67" s="83" t="str">
        <x:v>Tabella 18 riporta valori interi; differenze minime rispetto alla sottrazione dei valori decimali della Tabella 6.</x:v>
      </x:c>
    </x:row>
    <x:row r="68">
      <x:c r="A68" s="83" t="str">
        <x:v>DEM-0091</x:v>
      </x:c>
      <x:c r="B68" s="83" t="str">
        <x:v>PNIEC_2050_NUCLEAR</x:v>
      </x:c>
      <x:c r="C68" s="83" t="n">
        <x:v>2050</x:v>
      </x:c>
      <x:c r="D68" s="83" t="str">
        <x:v>PNIEC 2050 con nucleare</x:v>
      </x:c>
      <x:c r="E68" s="83" t="str">
        <x:v>Fabbisogno elettrico</x:v>
      </x:c>
      <x:c r="F68" s="143" t="n">
        <x:v>583.1</x:v>
      </x:c>
      <x:c r="G68" s="83" t="str">
        <x:v>TWh</x:v>
      </x:c>
      <x:c r="H68" s="83" t="str">
        <x:v>Italia</x:v>
      </x:c>
      <x:c r="I68" s="83" t="str">
        <x:v>PNIEC 2050 exploratory scenario</x:v>
      </x:c>
      <x:c r="J68" s="83" t="str">
        <x:v>Risultato di modello della fonte</x:v>
      </x:c>
      <x:c r="K68" s="83" t="str">
        <x:v>S07 (riproduce S08)</x:v>
      </x:c>
      <x:c r="L68" s="83" t="str">
        <x:v>Terna Prospettive Sviluppo Sistema Energetico 2050.pdf</x:v>
      </x:c>
      <x:c r="M68" s="83" t="n">
        <x:v>52</x:v>
      </x:c>
      <x:c r="N68" s="83" t="n">
        <x:v>50</x:v>
      </x:c>
      <x:c r="O68" s="83" t="str">
        <x:v>Tabella 3</x:v>
      </x:c>
      <x:c r="P68" s="83" t="str">
        <x:v>Direct table extraction; cross-check with PNIEC Figures 7-8</x:v>
      </x:c>
      <x:c r="Q68" s="83" t="str">
        <x:v>A - Direct</x:v>
      </x:c>
      <x:c r="R68" s="83" t="str">
        <x:v>Scenario esplorativo TIMES_RSE; non è lo scenario tecnico Terna 2050.</x:v>
      </x:c>
    </x:row>
    <x:row r="69">
      <x:c r="A69" s="83" t="str">
        <x:v>DEM-0092</x:v>
      </x:c>
      <x:c r="B69" s="83" t="str">
        <x:v>PNIEC_2050_NUCLEAR</x:v>
      </x:c>
      <x:c r="C69" s="83" t="n">
        <x:v>2050</x:v>
      </x:c>
      <x:c r="D69" s="83" t="str">
        <x:v>PNIEC 2050 con nucleare</x:v>
      </x:c>
      <x:c r="E69" s="83" t="str">
        <x:v>Consumi finali</x:v>
      </x:c>
      <x:c r="F69" s="143" t="n">
        <x:v>478</x:v>
      </x:c>
      <x:c r="G69" s="83" t="str">
        <x:v>TWh</x:v>
      </x:c>
      <x:c r="H69" s="83" t="str">
        <x:v>Italia</x:v>
      </x:c>
      <x:c r="I69" s="83" t="str">
        <x:v>PNIEC 2050 exploratory scenario</x:v>
      </x:c>
      <x:c r="J69" s="83" t="str">
        <x:v>Risultato di modello della fonte</x:v>
      </x:c>
      <x:c r="K69" s="83" t="str">
        <x:v>S07 (riproduce S08)</x:v>
      </x:c>
      <x:c r="L69" s="83" t="str">
        <x:v>Terna Prospettive Sviluppo Sistema Energetico 2050.pdf</x:v>
      </x:c>
      <x:c r="M69" s="83" t="n">
        <x:v>52</x:v>
      </x:c>
      <x:c r="N69" s="83" t="n">
        <x:v>50</x:v>
      </x:c>
      <x:c r="O69" s="83" t="str">
        <x:v>Tabella 3</x:v>
      </x:c>
      <x:c r="P69" s="83" t="str">
        <x:v>Direct table extraction; cross-check with PNIEC Figures 7-8</x:v>
      </x:c>
      <x:c r="Q69" s="83" t="str">
        <x:v>A - Direct</x:v>
      </x:c>
      <x:c r="R69" s="83" t="str">
        <x:v>Scenario esplorativo TIMES_RSE; non è lo scenario tecnico Terna 2050.</x:v>
      </x:c>
    </x:row>
    <x:row r="70">
      <x:c r="A70" s="83" t="str">
        <x:v>DEM-0093</x:v>
      </x:c>
      <x:c r="B70" s="83" t="str">
        <x:v>PNIEC_2050_NUCLEAR</x:v>
      </x:c>
      <x:c r="C70" s="83" t="n">
        <x:v>2050</x:v>
      </x:c>
      <x:c r="D70" s="83" t="str">
        <x:v>PNIEC 2050 con nucleare</x:v>
      </x:c>
      <x:c r="E70" s="83" t="str">
        <x:v>Power to X</x:v>
      </x:c>
      <x:c r="F70" s="143" t="n">
        <x:v>81.5</x:v>
      </x:c>
      <x:c r="G70" s="83" t="str">
        <x:v>TWh</x:v>
      </x:c>
      <x:c r="H70" s="83" t="str">
        <x:v>Italia</x:v>
      </x:c>
      <x:c r="I70" s="83" t="str">
        <x:v>PNIEC 2050 exploratory scenario</x:v>
      </x:c>
      <x:c r="J70" s="83" t="str">
        <x:v>Risultato di modello della fonte</x:v>
      </x:c>
      <x:c r="K70" s="83" t="str">
        <x:v>S07 (riproduce S08)</x:v>
      </x:c>
      <x:c r="L70" s="83" t="str">
        <x:v>Terna Prospettive Sviluppo Sistema Energetico 2050.pdf</x:v>
      </x:c>
      <x:c r="M70" s="83" t="n">
        <x:v>52</x:v>
      </x:c>
      <x:c r="N70" s="83" t="n">
        <x:v>50</x:v>
      </x:c>
      <x:c r="O70" s="83" t="str">
        <x:v>Tabella 3</x:v>
      </x:c>
      <x:c r="P70" s="83" t="str">
        <x:v>Direct table extraction; cross-check with PNIEC Figures 7-8</x:v>
      </x:c>
      <x:c r="Q70" s="83" t="str">
        <x:v>A - Direct</x:v>
      </x:c>
      <x:c r="R70" s="83" t="str">
        <x:v>Scenario esplorativo TIMES_RSE; non è lo scenario tecnico Terna 2050.</x:v>
      </x:c>
    </x:row>
    <x:row r="71">
      <x:c r="A71" s="83" t="str">
        <x:v>DEM-0094</x:v>
      </x:c>
      <x:c r="B71" s="83" t="str">
        <x:v>PNIEC_2050_NUCLEAR</x:v>
      </x:c>
      <x:c r="C71" s="83" t="n">
        <x:v>2050</x:v>
      </x:c>
      <x:c r="D71" s="83" t="str">
        <x:v>PNIEC 2050 con nucleare</x:v>
      </x:c>
      <x:c r="E71" s="83" t="str">
        <x:v>Perdite</x:v>
      </x:c>
      <x:c r="F71" s="143" t="n">
        <x:v>23.6</x:v>
      </x:c>
      <x:c r="G71" s="83" t="str">
        <x:v>TWh</x:v>
      </x:c>
      <x:c r="H71" s="83" t="str">
        <x:v>Italia</x:v>
      </x:c>
      <x:c r="I71" s="83" t="str">
        <x:v>PNIEC 2050 exploratory scenario</x:v>
      </x:c>
      <x:c r="J71" s="83" t="str">
        <x:v>Risultato di modello della fonte</x:v>
      </x:c>
      <x:c r="K71" s="83" t="str">
        <x:v>S07 (riproduce S08)</x:v>
      </x:c>
      <x:c r="L71" s="83" t="str">
        <x:v>Terna Prospettive Sviluppo Sistema Energetico 2050.pdf</x:v>
      </x:c>
      <x:c r="M71" s="83" t="n">
        <x:v>52</x:v>
      </x:c>
      <x:c r="N71" s="83" t="n">
        <x:v>50</x:v>
      </x:c>
      <x:c r="O71" s="83" t="str">
        <x:v>Tabella 3</x:v>
      </x:c>
      <x:c r="P71" s="83" t="str">
        <x:v>Direct table extraction; cross-check with PNIEC Figures 7-8</x:v>
      </x:c>
      <x:c r="Q71" s="83" t="str">
        <x:v>A - Direct</x:v>
      </x:c>
      <x:c r="R71" s="83" t="str">
        <x:v>Scenario esplorativo TIMES_RSE; non è lo scenario tecnico Terna 2050.</x:v>
      </x:c>
    </x:row>
    <x:row r="72">
      <x:c r="A72" s="83" t="str">
        <x:v>DEM-0095</x:v>
      </x:c>
      <x:c r="B72" s="83" t="str">
        <x:v>PNIEC_2050_NO_NUCLEAR</x:v>
      </x:c>
      <x:c r="C72" s="83" t="n">
        <x:v>2050</x:v>
      </x:c>
      <x:c r="D72" s="83" t="str">
        <x:v>PNIEC 2050 senza nucleare</x:v>
      </x:c>
      <x:c r="E72" s="83" t="str">
        <x:v>Fabbisogno elettrico</x:v>
      </x:c>
      <x:c r="F72" s="143" t="n">
        <x:v>551.7</x:v>
      </x:c>
      <x:c r="G72" s="83" t="str">
        <x:v>TWh</x:v>
      </x:c>
      <x:c r="H72" s="83" t="str">
        <x:v>Italia</x:v>
      </x:c>
      <x:c r="I72" s="83" t="str">
        <x:v>PNIEC 2050 exploratory scenario</x:v>
      </x:c>
      <x:c r="J72" s="83" t="str">
        <x:v>Risultato di modello della fonte</x:v>
      </x:c>
      <x:c r="K72" s="83" t="str">
        <x:v>S07 (riproduce S08)</x:v>
      </x:c>
      <x:c r="L72" s="83" t="str">
        <x:v>Terna Prospettive Sviluppo Sistema Energetico 2050.pdf</x:v>
      </x:c>
      <x:c r="M72" s="83" t="n">
        <x:v>52</x:v>
      </x:c>
      <x:c r="N72" s="83" t="n">
        <x:v>50</x:v>
      </x:c>
      <x:c r="O72" s="83" t="str">
        <x:v>Tabella 3</x:v>
      </x:c>
      <x:c r="P72" s="83" t="str">
        <x:v>Direct table extraction; cross-check with PNIEC Figures 7-8</x:v>
      </x:c>
      <x:c r="Q72" s="83" t="str">
        <x:v>A - Direct</x:v>
      </x:c>
      <x:c r="R72" s="83" t="str">
        <x:v>Scenario esplorativo TIMES_RSE; non è lo scenario tecnico Terna 2050.</x:v>
      </x:c>
    </x:row>
    <x:row r="73">
      <x:c r="A73" s="83" t="str">
        <x:v>DEM-0096</x:v>
      </x:c>
      <x:c r="B73" s="83" t="str">
        <x:v>PNIEC_2050_NO_NUCLEAR</x:v>
      </x:c>
      <x:c r="C73" s="83" t="n">
        <x:v>2050</x:v>
      </x:c>
      <x:c r="D73" s="83" t="str">
        <x:v>PNIEC 2050 senza nucleare</x:v>
      </x:c>
      <x:c r="E73" s="83" t="str">
        <x:v>Consumi finali</x:v>
      </x:c>
      <x:c r="F73" s="143" t="n">
        <x:v>453.4</x:v>
      </x:c>
      <x:c r="G73" s="83" t="str">
        <x:v>TWh</x:v>
      </x:c>
      <x:c r="H73" s="83" t="str">
        <x:v>Italia</x:v>
      </x:c>
      <x:c r="I73" s="83" t="str">
        <x:v>PNIEC 2050 exploratory scenario</x:v>
      </x:c>
      <x:c r="J73" s="83" t="str">
        <x:v>Risultato di modello della fonte</x:v>
      </x:c>
      <x:c r="K73" s="83" t="str">
        <x:v>S07 (riproduce S08)</x:v>
      </x:c>
      <x:c r="L73" s="83" t="str">
        <x:v>Terna Prospettive Sviluppo Sistema Energetico 2050.pdf</x:v>
      </x:c>
      <x:c r="M73" s="83" t="n">
        <x:v>52</x:v>
      </x:c>
      <x:c r="N73" s="83" t="n">
        <x:v>50</x:v>
      </x:c>
      <x:c r="O73" s="83" t="str">
        <x:v>Tabella 3</x:v>
      </x:c>
      <x:c r="P73" s="83" t="str">
        <x:v>Direct table extraction; cross-check with PNIEC Figures 7-8</x:v>
      </x:c>
      <x:c r="Q73" s="83" t="str">
        <x:v>A - Direct</x:v>
      </x:c>
      <x:c r="R73" s="83" t="str">
        <x:v>Scenario esplorativo TIMES_RSE; non è lo scenario tecnico Terna 2050.</x:v>
      </x:c>
    </x:row>
    <x:row r="74">
      <x:c r="A74" s="83" t="str">
        <x:v>DEM-0097</x:v>
      </x:c>
      <x:c r="B74" s="83" t="str">
        <x:v>PNIEC_2050_NO_NUCLEAR</x:v>
      </x:c>
      <x:c r="C74" s="83" t="n">
        <x:v>2050</x:v>
      </x:c>
      <x:c r="D74" s="83" t="str">
        <x:v>PNIEC 2050 senza nucleare</x:v>
      </x:c>
      <x:c r="E74" s="83" t="str">
        <x:v>Power to X</x:v>
      </x:c>
      <x:c r="F74" s="143" t="n">
        <x:v>75.8</x:v>
      </x:c>
      <x:c r="G74" s="83" t="str">
        <x:v>TWh</x:v>
      </x:c>
      <x:c r="H74" s="83" t="str">
        <x:v>Italia</x:v>
      </x:c>
      <x:c r="I74" s="83" t="str">
        <x:v>PNIEC 2050 exploratory scenario</x:v>
      </x:c>
      <x:c r="J74" s="83" t="str">
        <x:v>Risultato di modello della fonte</x:v>
      </x:c>
      <x:c r="K74" s="83" t="str">
        <x:v>S07 (riproduce S08)</x:v>
      </x:c>
      <x:c r="L74" s="83" t="str">
        <x:v>Terna Prospettive Sviluppo Sistema Energetico 2050.pdf</x:v>
      </x:c>
      <x:c r="M74" s="83" t="n">
        <x:v>52</x:v>
      </x:c>
      <x:c r="N74" s="83" t="n">
        <x:v>50</x:v>
      </x:c>
      <x:c r="O74" s="83" t="str">
        <x:v>Tabella 3</x:v>
      </x:c>
      <x:c r="P74" s="83" t="str">
        <x:v>Direct table extraction; cross-check with PNIEC Figures 7-8</x:v>
      </x:c>
      <x:c r="Q74" s="83" t="str">
        <x:v>A - Direct</x:v>
      </x:c>
      <x:c r="R74" s="83" t="str">
        <x:v>Scenario esplorativo TIMES_RSE; non è lo scenario tecnico Terna 2050.</x:v>
      </x:c>
    </x:row>
    <x:row r="75">
      <x:c r="A75" s="83" t="str">
        <x:v>DEM-0098</x:v>
      </x:c>
      <x:c r="B75" s="83" t="str">
        <x:v>PNIEC_2050_NO_NUCLEAR</x:v>
      </x:c>
      <x:c r="C75" s="83" t="n">
        <x:v>2050</x:v>
      </x:c>
      <x:c r="D75" s="83" t="str">
        <x:v>PNIEC 2050 senza nucleare</x:v>
      </x:c>
      <x:c r="E75" s="83" t="str">
        <x:v>Perdite</x:v>
      </x:c>
      <x:c r="F75" s="143" t="n">
        <x:v>22.5</x:v>
      </x:c>
      <x:c r="G75" s="83" t="str">
        <x:v>TWh</x:v>
      </x:c>
      <x:c r="H75" s="83" t="str">
        <x:v>Italia</x:v>
      </x:c>
      <x:c r="I75" s="83" t="str">
        <x:v>PNIEC 2050 exploratory scenario</x:v>
      </x:c>
      <x:c r="J75" s="83" t="str">
        <x:v>Risultato di modello della fonte</x:v>
      </x:c>
      <x:c r="K75" s="83" t="str">
        <x:v>S07 (riproduce S08)</x:v>
      </x:c>
      <x:c r="L75" s="83" t="str">
        <x:v>Terna Prospettive Sviluppo Sistema Energetico 2050.pdf</x:v>
      </x:c>
      <x:c r="M75" s="83" t="n">
        <x:v>52</x:v>
      </x:c>
      <x:c r="N75" s="83" t="n">
        <x:v>50</x:v>
      </x:c>
      <x:c r="O75" s="83" t="str">
        <x:v>Tabella 3</x:v>
      </x:c>
      <x:c r="P75" s="83" t="str">
        <x:v>Direct table extraction; cross-check with PNIEC Figures 7-8</x:v>
      </x:c>
      <x:c r="Q75" s="83" t="str">
        <x:v>A - Direct</x:v>
      </x:c>
      <x:c r="R75" s="83" t="str">
        <x:v>Scenario esplorativo TIMES_RSE; non è lo scenario tecnico Terna 2050.</x:v>
      </x:c>
    </x:row>
    <x:row r="76">
      <x:c r="A76" s="83" t="str">
        <x:v>DEM-0099</x:v>
      </x:c>
      <x:c r="B76" s="83" t="str">
        <x:v>TERNA_2050_NUCLEAR</x:v>
      </x:c>
      <x:c r="C76" s="83" t="n">
        <x:v>2050</x:v>
      </x:c>
      <x:c r="D76" s="83" t="str">
        <x:v>Terna 2050 con nucleare</x:v>
      </x:c>
      <x:c r="E76" s="83" t="str">
        <x:v>Fabbisogno elettrico</x:v>
      </x:c>
      <x:c r="F76" s="143" t="n">
        <x:v>583</x:v>
      </x:c>
      <x:c r="G76" s="83" t="str">
        <x:v>TWh</x:v>
      </x:c>
      <x:c r="H76" s="83" t="str">
        <x:v>Italia</x:v>
      </x:c>
      <x:c r="I76" s="83" t="str">
        <x:v>Scenario tecnico Terna 2050</x:v>
      </x:c>
      <x:c r="J76" s="83" t="str">
        <x:v>Assunzione di scenario</x:v>
      </x:c>
      <x:c r="K76" s="83" t="str">
        <x:v>S07</x:v>
      </x:c>
      <x:c r="L76" s="83" t="str">
        <x:v>Terna Prospettive Sviluppo Sistema Energetico 2050.pdf</x:v>
      </x:c>
      <x:c r="M76" s="83" t="n">
        <x:v>59</x:v>
      </x:c>
      <x:c r="N76" s="83" t="n">
        <x:v>57</x:v>
      </x:c>
      <x:c r="O76" s="83" t="str">
        <x:v>Tabella 5</x:v>
      </x:c>
      <x:c r="P76" s="83" t="str">
        <x:v>Direct table extraction</x:v>
      </x:c>
      <x:c r="Q76" s="83" t="str">
        <x:v>A - Direct</x:v>
      </x:c>
      <x:c r="R76" s="83" t="str">
        <x:v>Entrambi gli scenari Terna usano il fabbisogno PNIEC con nucleare, circa 583 TWh.</x:v>
      </x:c>
    </x:row>
    <x:row r="77">
      <x:c r="A77" s="83" t="str">
        <x:v>DEM-0100</x:v>
      </x:c>
      <x:c r="B77" s="83" t="str">
        <x:v>TERNA_2050_NO_NUCLEAR</x:v>
      </x:c>
      <x:c r="C77" s="83" t="n">
        <x:v>2050</x:v>
      </x:c>
      <x:c r="D77" s="83" t="str">
        <x:v>Terna 2050 senza nucleare</x:v>
      </x:c>
      <x:c r="E77" s="83" t="str">
        <x:v>Fabbisogno elettrico</x:v>
      </x:c>
      <x:c r="F77" s="143" t="n">
        <x:v>583</x:v>
      </x:c>
      <x:c r="G77" s="83" t="str">
        <x:v>TWh</x:v>
      </x:c>
      <x:c r="H77" s="83" t="str">
        <x:v>Italia</x:v>
      </x:c>
      <x:c r="I77" s="83" t="str">
        <x:v>Scenario tecnico Terna 2050</x:v>
      </x:c>
      <x:c r="J77" s="83" t="str">
        <x:v>Assunzione di scenario</x:v>
      </x:c>
      <x:c r="K77" s="83" t="str">
        <x:v>S07</x:v>
      </x:c>
      <x:c r="L77" s="83" t="str">
        <x:v>Terna Prospettive Sviluppo Sistema Energetico 2050.pdf</x:v>
      </x:c>
      <x:c r="M77" s="83" t="n">
        <x:v>59</x:v>
      </x:c>
      <x:c r="N77" s="83" t="n">
        <x:v>57</x:v>
      </x:c>
      <x:c r="O77" s="83" t="str">
        <x:v>Tabella 5</x:v>
      </x:c>
      <x:c r="P77" s="83" t="str">
        <x:v>Direct table extraction</x:v>
      </x:c>
      <x:c r="Q77" s="83" t="str">
        <x:v>A - Direct</x:v>
      </x:c>
      <x:c r="R77" s="83" t="str">
        <x:v>Entrambi gli scenari Terna usano il fabbisogno PNIEC con nucleare, circa 583 TWh.</x:v>
      </x:c>
    </x:row>
  </x:sheetData>
  <x:mergeCells>
    <x:mergeCell ref="A1:R1"/>
    <x:mergeCell ref="A2:R2"/>
  </x:mergeCells>
  <x:conditionalFormatting sqref="Q5:Q77">
    <x:cfRule type="expression" dxfId="25" priority="1">
      <x:formula>LEFT(Q5,1)="A"</x:formula>
    </x:cfRule>
    <x:cfRule type="expression" dxfId="26" priority="2">
      <x:formula>OR(LEFT(Q5,1)="D",LEFT(Q5,1)="E")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52daa25177489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34" hidden="0" customWidth="1"/>
    <x:col min="6" max="6" width="14" hidden="0" customWidth="1"/>
    <x:col min="7" max="7" width="10" hidden="0" customWidth="1"/>
    <x:col min="8" max="8" width="14" hidden="0" customWidth="1"/>
    <x:col min="9" max="9" width="45" hidden="0" customWidth="1"/>
    <x:col min="10" max="10" width="32" hidden="0" customWidth="1"/>
    <x:col min="11" max="11" width="12" hidden="0" customWidth="1"/>
    <x:col min="12" max="12" width="42" hidden="0" customWidth="1"/>
    <x:col min="13" max="13" width="12" hidden="0" customWidth="1"/>
    <x:col min="14" max="14" width="16" hidden="0" customWidth="1"/>
    <x:col min="15" max="15" width="20" hidden="0" customWidth="1"/>
    <x:col min="16" max="16" width="40" hidden="0" customWidth="1"/>
    <x:col min="17" max="17" width="18" hidden="0" customWidth="1"/>
    <x:col min="18" max="18" width="48" hidden="0" customWidth="1"/>
  </x:cols>
  <x:sheetData>
    <x:row r="1" ht="34" customHeight="1">
      <x:c r="A1" s="134" t="str">
        <x:v>Domanda elettrica — dettaglio settoriale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</x:row>
    <x:row r="2" ht="30" customHeight="1">
      <x:c r="A2" s="138" t="str">
        <x:v>42 righe; industria, civile e trasporti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Voce</x:v>
      </x:c>
      <x:c r="F4" s="142" t="str">
        <x:v>Valore</x:v>
      </x:c>
      <x:c r="G4" s="142" t="str">
        <x:v>Unità</x:v>
      </x:c>
      <x:c r="H4" s="142" t="str">
        <x:v>Geografia</x:v>
      </x:c>
      <x:c r="I4" s="142" t="str">
        <x:v>Perimetro</x:v>
      </x:c>
      <x:c r="J4" s="142" t="str">
        <x:v>Tipo evidenza</x:v>
      </x:c>
      <x:c r="K4" s="142" t="str">
        <x:v>Fonte</x:v>
      </x:c>
      <x:c r="L4" s="142" t="str">
        <x:v>File fonte</x:v>
      </x:c>
      <x:c r="M4" s="142" t="str">
        <x:v>Pagina PDF</x:v>
      </x:c>
      <x:c r="N4" s="142" t="str">
        <x:v>Pagina stampata</x:v>
      </x:c>
      <x:c r="O4" s="142" t="str">
        <x:v>Tabella/Figura</x:v>
      </x:c>
      <x:c r="P4" s="142" t="str">
        <x:v>Metodo</x:v>
      </x:c>
      <x:c r="Q4" s="142" t="str">
        <x:v>Affidabilità</x:v>
      </x:c>
      <x:c r="R4" s="142" t="str">
        <x:v>Note</x:v>
      </x:c>
    </x:row>
    <x:row r="5">
      <x:c r="A5" s="83" t="str">
        <x:v>DEM-0010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Industria</x:v>
      </x:c>
      <x:c r="F5" s="143" t="n">
        <x:v>107.1</x:v>
      </x:c>
      <x:c r="G5" s="83" t="str">
        <x:v>TWh</x:v>
      </x:c>
      <x:c r="H5" s="83" t="str">
        <x:v>Italia</x:v>
      </x:c>
      <x:c r="I5" s="83" t="str">
        <x:v>DDS definition: usi finali + usi energetici + perdite</x:v>
      </x:c>
      <x:c r="J5" s="83" t="str">
        <x:v>Dato osservato storico</x:v>
      </x:c>
      <x:c r="K5" s="83" t="str">
        <x:v>S09</x:v>
      </x:c>
      <x:c r="L5" s="83" t="str">
        <x:v>Documento_Descrizione_Scenari_2024_8dce2430d44d101.pdf</x:v>
      </x:c>
      <x:c r="M5" s="83" t="n">
        <x:v>48</x:v>
      </x:c>
      <x:c r="N5" s="83" t="n">
        <x:v>46</x:v>
      </x:c>
      <x:c r="O5" s="83" t="str">
        <x:v>Tabella 6</x:v>
      </x:c>
      <x:c r="P5" s="83" t="str">
        <x:v>Direct table extraction; visual/text verification</x:v>
      </x:c>
      <x:c r="Q5" s="83" t="str">
        <x:v>A - Direct</x:v>
      </x:c>
      <x:c r="R5" s="83" t="str">
        <x:v>Valore con un decimale; fonte Terna provvisoria per il 2023.</x:v>
      </x:c>
    </x:row>
    <x:row r="6">
      <x:c r="A6" s="83" t="str">
        <x:v>DEM-0011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Industria</x:v>
      </x:c>
      <x:c r="F6" s="143" t="n">
        <x:v>115.1</x:v>
      </x:c>
      <x:c r="G6" s="83" t="str">
        <x:v>TWh</x:v>
      </x:c>
      <x:c r="H6" s="83" t="str">
        <x:v>Italia</x:v>
      </x:c>
      <x:c r="I6" s="83" t="str">
        <x:v>DDS definition: usi finali + usi energetici + perdite</x:v>
      </x:c>
      <x:c r="J6" s="83" t="str">
        <x:v>Assunzione di scenario</x:v>
      </x:c>
      <x:c r="K6" s="83" t="str">
        <x:v>S09</x:v>
      </x:c>
      <x:c r="L6" s="83" t="str">
        <x:v>Documento_Descrizione_Scenari_2024_8dce2430d44d101.pdf</x:v>
      </x:c>
      <x:c r="M6" s="83" t="n">
        <x:v>48</x:v>
      </x:c>
      <x:c r="N6" s="83" t="n">
        <x:v>46</x:v>
      </x:c>
      <x:c r="O6" s="83" t="str">
        <x:v>Tabella 6</x:v>
      </x:c>
      <x:c r="P6" s="83" t="str">
        <x:v>Direct table extraction; visual/text verification</x:v>
      </x:c>
      <x:c r="Q6" s="83" t="str">
        <x:v>A - Direct</x:v>
      </x:c>
      <x:c r="R6" s="83" t="str"/>
    </x:row>
    <x:row r="7">
      <x:c r="A7" s="83" t="str">
        <x:v>DEM-0012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Industria</x:v>
      </x:c>
      <x:c r="F7" s="143" t="n">
        <x:v>112.2</x:v>
      </x:c>
      <x:c r="G7" s="83" t="str">
        <x:v>TWh</x:v>
      </x:c>
      <x:c r="H7" s="83" t="str">
        <x:v>Italia</x:v>
      </x:c>
      <x:c r="I7" s="83" t="str">
        <x:v>DDS definition: usi finali + usi energetici + perdite</x:v>
      </x:c>
      <x:c r="J7" s="83" t="str">
        <x:v>Assunzione di scenario</x:v>
      </x:c>
      <x:c r="K7" s="83" t="str">
        <x:v>S09</x:v>
      </x:c>
      <x:c r="L7" s="83" t="str">
        <x:v>Documento_Descrizione_Scenari_2024_8dce2430d44d101.pdf</x:v>
      </x:c>
      <x:c r="M7" s="83" t="n">
        <x:v>48</x:v>
      </x:c>
      <x:c r="N7" s="83" t="n">
        <x:v>46</x:v>
      </x:c>
      <x:c r="O7" s="83" t="str">
        <x:v>Tabella 6</x:v>
      </x:c>
      <x:c r="P7" s="83" t="str">
        <x:v>Direct table extraction; visual/text verification</x:v>
      </x:c>
      <x:c r="Q7" s="83" t="str">
        <x:v>A - Direct</x:v>
      </x:c>
      <x:c r="R7" s="83" t="str"/>
    </x:row>
    <x:row r="8">
      <x:c r="A8" s="83" t="str">
        <x:v>DEM-0013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Industria</x:v>
      </x:c>
      <x:c r="F8" s="143" t="n">
        <x:v>117.6</x:v>
      </x:c>
      <x:c r="G8" s="83" t="str">
        <x:v>TWh</x:v>
      </x:c>
      <x:c r="H8" s="83" t="str">
        <x:v>Italia</x:v>
      </x:c>
      <x:c r="I8" s="83" t="str">
        <x:v>DDS definition: usi finali + usi energetici + perdite</x:v>
      </x:c>
      <x:c r="J8" s="83" t="str">
        <x:v>Assunzione di scenario</x:v>
      </x:c>
      <x:c r="K8" s="83" t="str">
        <x:v>S09</x:v>
      </x:c>
      <x:c r="L8" s="83" t="str">
        <x:v>Documento_Descrizione_Scenari_2024_8dce2430d44d101.pdf</x:v>
      </x:c>
      <x:c r="M8" s="83" t="n">
        <x:v>48</x:v>
      </x:c>
      <x:c r="N8" s="83" t="n">
        <x:v>46</x:v>
      </x:c>
      <x:c r="O8" s="83" t="str">
        <x:v>Tabella 6</x:v>
      </x:c>
      <x:c r="P8" s="83" t="str">
        <x:v>Direct table extraction; visual/text verification</x:v>
      </x:c>
      <x:c r="Q8" s="83" t="str">
        <x:v>A - Direct</x:v>
      </x:c>
      <x:c r="R8" s="83" t="str"/>
    </x:row>
    <x:row r="9">
      <x:c r="A9" s="83" t="str">
        <x:v>DEM-0014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Industria</x:v>
      </x:c>
      <x:c r="F9" s="143" t="n">
        <x:v>114.5</x:v>
      </x:c>
      <x:c r="G9" s="83" t="str">
        <x:v>TWh</x:v>
      </x:c>
      <x:c r="H9" s="83" t="str">
        <x:v>Italia</x:v>
      </x:c>
      <x:c r="I9" s="83" t="str">
        <x:v>DDS definition: usi finali + usi energetici + perdite</x:v>
      </x:c>
      <x:c r="J9" s="83" t="str">
        <x:v>Assunzione di scenario</x:v>
      </x:c>
      <x:c r="K9" s="83" t="str">
        <x:v>S09</x:v>
      </x:c>
      <x:c r="L9" s="83" t="str">
        <x:v>Documento_Descrizione_Scenari_2024_8dce2430d44d101.pdf</x:v>
      </x:c>
      <x:c r="M9" s="83" t="n">
        <x:v>48</x:v>
      </x:c>
      <x:c r="N9" s="83" t="n">
        <x:v>46</x:v>
      </x:c>
      <x:c r="O9" s="83" t="str">
        <x:v>Tabella 6</x:v>
      </x:c>
      <x:c r="P9" s="83" t="str">
        <x:v>Direct table extraction; visual/text verification</x:v>
      </x:c>
      <x:c r="Q9" s="83" t="str">
        <x:v>A - Direct</x:v>
      </x:c>
      <x:c r="R9" s="83" t="str"/>
    </x:row>
    <x:row r="10">
      <x:c r="A10" s="83" t="str">
        <x:v>DEM-0015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Industria</x:v>
      </x:c>
      <x:c r="F10" s="143" t="n">
        <x:v>115.8</x:v>
      </x:c>
      <x:c r="G10" s="83" t="str">
        <x:v>TWh</x:v>
      </x:c>
      <x:c r="H10" s="83" t="str">
        <x:v>Italia</x:v>
      </x:c>
      <x:c r="I10" s="83" t="str">
        <x:v>DDS definition: usi finali + usi energetici + perdite</x:v>
      </x:c>
      <x:c r="J10" s="83" t="str">
        <x:v>Assunzione di scenario</x:v>
      </x:c>
      <x:c r="K10" s="83" t="str">
        <x:v>S09</x:v>
      </x:c>
      <x:c r="L10" s="83" t="str">
        <x:v>Documento_Descrizione_Scenari_2024_8dce2430d44d101.pdf</x:v>
      </x:c>
      <x:c r="M10" s="83" t="n">
        <x:v>48</x:v>
      </x:c>
      <x:c r="N10" s="83" t="n">
        <x:v>46</x:v>
      </x:c>
      <x:c r="O10" s="83" t="str">
        <x:v>Tabella 6</x:v>
      </x:c>
      <x:c r="P10" s="83" t="str">
        <x:v>Direct table extraction; visual/text verification</x:v>
      </x:c>
      <x:c r="Q10" s="83" t="str">
        <x:v>A - Direct</x:v>
      </x:c>
      <x:c r="R10" s="83" t="str"/>
    </x:row>
    <x:row r="11">
      <x:c r="A11" s="83" t="str">
        <x:v>DEM-0016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Industria</x:v>
      </x:c>
      <x:c r="F11" s="143" t="n">
        <x:v>120.9</x:v>
      </x:c>
      <x:c r="G11" s="83" t="str">
        <x:v>TWh</x:v>
      </x:c>
      <x:c r="H11" s="83" t="str">
        <x:v>Italia</x:v>
      </x:c>
      <x:c r="I11" s="83" t="str">
        <x:v>DDS definition: usi finali + usi energetici + perdite</x:v>
      </x:c>
      <x:c r="J11" s="83" t="str">
        <x:v>Assunzione di scenario</x:v>
      </x:c>
      <x:c r="K11" s="83" t="str">
        <x:v>S09</x:v>
      </x:c>
      <x:c r="L11" s="83" t="str">
        <x:v>Documento_Descrizione_Scenari_2024_8dce2430d44d101.pdf</x:v>
      </x:c>
      <x:c r="M11" s="83" t="n">
        <x:v>48</x:v>
      </x:c>
      <x:c r="N11" s="83" t="n">
        <x:v>46</x:v>
      </x:c>
      <x:c r="O11" s="83" t="str">
        <x:v>Tabella 6</x:v>
      </x:c>
      <x:c r="P11" s="83" t="str">
        <x:v>Direct table extraction; visual/text verification</x:v>
      </x:c>
      <x:c r="Q11" s="83" t="str">
        <x:v>A - Direct</x:v>
      </x:c>
      <x:c r="R11" s="83" t="str"/>
    </x:row>
    <x:row r="12">
      <x:c r="A12" s="83" t="str">
        <x:v>DEM-0017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Industria</x:v>
      </x:c>
      <x:c r="F12" s="143" t="n">
        <x:v>113.6</x:v>
      </x:c>
      <x:c r="G12" s="83" t="str">
        <x:v>TWh</x:v>
      </x:c>
      <x:c r="H12" s="83" t="str">
        <x:v>Italia</x:v>
      </x:c>
      <x:c r="I12" s="83" t="str">
        <x:v>DDS definition: usi finali + usi energetici + perdite</x:v>
      </x:c>
      <x:c r="J12" s="83" t="str">
        <x:v>Assunzione di scenario</x:v>
      </x:c>
      <x:c r="K12" s="83" t="str">
        <x:v>S09</x:v>
      </x:c>
      <x:c r="L12" s="83" t="str">
        <x:v>Documento_Descrizione_Scenari_2024_8dce2430d44d101.pdf</x:v>
      </x:c>
      <x:c r="M12" s="83" t="n">
        <x:v>48</x:v>
      </x:c>
      <x:c r="N12" s="83" t="n">
        <x:v>46</x:v>
      </x:c>
      <x:c r="O12" s="83" t="str">
        <x:v>Tabella 6</x:v>
      </x:c>
      <x:c r="P12" s="83" t="str">
        <x:v>Direct table extraction; visual/text verification</x:v>
      </x:c>
      <x:c r="Q12" s="83" t="str">
        <x:v>A - Direct</x:v>
      </x:c>
      <x:c r="R12" s="83" t="str"/>
    </x:row>
    <x:row r="13">
      <x:c r="A13" s="83" t="str">
        <x:v>DEM-0018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Industria</x:v>
      </x:c>
      <x:c r="F13" s="143" t="n">
        <x:v>119.5</x:v>
      </x:c>
      <x:c r="G13" s="83" t="str">
        <x:v>TWh</x:v>
      </x:c>
      <x:c r="H13" s="83" t="str">
        <x:v>Italia</x:v>
      </x:c>
      <x:c r="I13" s="83" t="str">
        <x:v>DDS definition: usi finali + usi energetici + perdite</x:v>
      </x:c>
      <x:c r="J13" s="83" t="str">
        <x:v>Assunzione di scenario</x:v>
      </x:c>
      <x:c r="K13" s="83" t="str">
        <x:v>S09</x:v>
      </x:c>
      <x:c r="L13" s="83" t="str">
        <x:v>Documento_Descrizione_Scenari_2024_8dce2430d44d101.pdf</x:v>
      </x:c>
      <x:c r="M13" s="83" t="n">
        <x:v>48</x:v>
      </x:c>
      <x:c r="N13" s="83" t="n">
        <x:v>46</x:v>
      </x:c>
      <x:c r="O13" s="83" t="str">
        <x:v>Tabella 6</x:v>
      </x:c>
      <x:c r="P13" s="83" t="str">
        <x:v>Direct table extraction; visual/text verification</x:v>
      </x:c>
      <x:c r="Q13" s="83" t="str">
        <x:v>A - Direct</x:v>
      </x:c>
      <x:c r="R13" s="83" t="str"/>
    </x:row>
    <x:row r="14">
      <x:c r="A14" s="83" t="str">
        <x:v>DEM-0019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Civile</x:v>
      </x:c>
      <x:c r="F14" s="143" t="n">
        <x:v>162</x:v>
      </x:c>
      <x:c r="G14" s="83" t="str">
        <x:v>TWh</x:v>
      </x:c>
      <x:c r="H14" s="83" t="str">
        <x:v>Italia</x:v>
      </x:c>
      <x:c r="I14" s="83" t="str">
        <x:v>DDS definition: usi finali + usi energetici + perdite</x:v>
      </x:c>
      <x:c r="J14" s="83" t="str">
        <x:v>Dato osservato storico</x:v>
      </x:c>
      <x:c r="K14" s="83" t="str">
        <x:v>S09</x:v>
      </x:c>
      <x:c r="L14" s="83" t="str">
        <x:v>Documento_Descrizione_Scenari_2024_8dce2430d44d101.pdf</x:v>
      </x:c>
      <x:c r="M14" s="83" t="n">
        <x:v>48</x:v>
      </x:c>
      <x:c r="N14" s="83" t="n">
        <x:v>46</x:v>
      </x:c>
      <x:c r="O14" s="83" t="str">
        <x:v>Tabella 6</x:v>
      </x:c>
      <x:c r="P14" s="83" t="str">
        <x:v>Direct table extraction; visual/text verification</x:v>
      </x:c>
      <x:c r="Q14" s="83" t="str">
        <x:v>A - Direct</x:v>
      </x:c>
      <x:c r="R14" s="83" t="str">
        <x:v>Valore con un decimale; fonte Terna provvisoria per il 2023.</x:v>
      </x:c>
    </x:row>
    <x:row r="15">
      <x:c r="A15" s="83" t="str">
        <x:v>DEM-0020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Civile</x:v>
      </x:c>
      <x:c r="F15" s="143" t="n">
        <x:v>172.8</x:v>
      </x:c>
      <x:c r="G15" s="83" t="str">
        <x:v>TWh</x:v>
      </x:c>
      <x:c r="H15" s="83" t="str">
        <x:v>Italia</x:v>
      </x:c>
      <x:c r="I15" s="83" t="str">
        <x:v>DDS definition: usi finali + usi energetici + perdite</x:v>
      </x:c>
      <x:c r="J15" s="83" t="str">
        <x:v>Assunzione di scenario</x:v>
      </x:c>
      <x:c r="K15" s="83" t="str">
        <x:v>S09</x:v>
      </x:c>
      <x:c r="L15" s="83" t="str">
        <x:v>Documento_Descrizione_Scenari_2024_8dce2430d44d101.pdf</x:v>
      </x:c>
      <x:c r="M15" s="83" t="n">
        <x:v>48</x:v>
      </x:c>
      <x:c r="N15" s="83" t="n">
        <x:v>46</x:v>
      </x:c>
      <x:c r="O15" s="83" t="str">
        <x:v>Tabella 6</x:v>
      </x:c>
      <x:c r="P15" s="83" t="str">
        <x:v>Direct table extraction; visual/text verification</x:v>
      </x:c>
      <x:c r="Q15" s="83" t="str">
        <x:v>A - Direct</x:v>
      </x:c>
      <x:c r="R15" s="83" t="str"/>
    </x:row>
    <x:row r="16">
      <x:c r="A16" s="83" t="str">
        <x:v>DEM-0021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Civile</x:v>
      </x:c>
      <x:c r="F16" s="143" t="n">
        <x:v>172.3</x:v>
      </x:c>
      <x:c r="G16" s="83" t="str">
        <x:v>TWh</x:v>
      </x:c>
      <x:c r="H16" s="83" t="str">
        <x:v>Italia</x:v>
      </x:c>
      <x:c r="I16" s="83" t="str">
        <x:v>DDS definition: usi finali + usi energetici + perdite</x:v>
      </x:c>
      <x:c r="J16" s="83" t="str">
        <x:v>Assunzione di scenario</x:v>
      </x:c>
      <x:c r="K16" s="83" t="str">
        <x:v>S09</x:v>
      </x:c>
      <x:c r="L16" s="83" t="str">
        <x:v>Documento_Descrizione_Scenari_2024_8dce2430d44d101.pdf</x:v>
      </x:c>
      <x:c r="M16" s="83" t="n">
        <x:v>48</x:v>
      </x:c>
      <x:c r="N16" s="83" t="n">
        <x:v>46</x:v>
      </x:c>
      <x:c r="O16" s="83" t="str">
        <x:v>Tabella 6</x:v>
      </x:c>
      <x:c r="P16" s="83" t="str">
        <x:v>Direct table extraction; visual/text verification</x:v>
      </x:c>
      <x:c r="Q16" s="83" t="str">
        <x:v>A - Direct</x:v>
      </x:c>
      <x:c r="R16" s="83" t="str"/>
    </x:row>
    <x:row r="17">
      <x:c r="A17" s="83" t="str">
        <x:v>DEM-0022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Civile</x:v>
      </x:c>
      <x:c r="F17" s="143" t="n">
        <x:v>181.3</x:v>
      </x:c>
      <x:c r="G17" s="83" t="str">
        <x:v>TWh</x:v>
      </x:c>
      <x:c r="H17" s="83" t="str">
        <x:v>Italia</x:v>
      </x:c>
      <x:c r="I17" s="83" t="str">
        <x:v>DDS definition: usi finali + usi energetici + perdite</x:v>
      </x:c>
      <x:c r="J17" s="83" t="str">
        <x:v>Assunzione di scenario</x:v>
      </x:c>
      <x:c r="K17" s="83" t="str">
        <x:v>S09</x:v>
      </x:c>
      <x:c r="L17" s="83" t="str">
        <x:v>Documento_Descrizione_Scenari_2024_8dce2430d44d101.pdf</x:v>
      </x:c>
      <x:c r="M17" s="83" t="n">
        <x:v>48</x:v>
      </x:c>
      <x:c r="N17" s="83" t="n">
        <x:v>46</x:v>
      </x:c>
      <x:c r="O17" s="83" t="str">
        <x:v>Tabella 6</x:v>
      </x:c>
      <x:c r="P17" s="83" t="str">
        <x:v>Direct table extraction; visual/text verification</x:v>
      </x:c>
      <x:c r="Q17" s="83" t="str">
        <x:v>A - Direct</x:v>
      </x:c>
      <x:c r="R17" s="83" t="str"/>
    </x:row>
    <x:row r="18">
      <x:c r="A18" s="83" t="str">
        <x:v>DEM-0023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Civile</x:v>
      </x:c>
      <x:c r="F18" s="143" t="n">
        <x:v>178.1</x:v>
      </x:c>
      <x:c r="G18" s="83" t="str">
        <x:v>TWh</x:v>
      </x:c>
      <x:c r="H18" s="83" t="str">
        <x:v>Italia</x:v>
      </x:c>
      <x:c r="I18" s="83" t="str">
        <x:v>DDS definition: usi finali + usi energetici + perdite</x:v>
      </x:c>
      <x:c r="J18" s="83" t="str">
        <x:v>Assunzione di scenario</x:v>
      </x:c>
      <x:c r="K18" s="83" t="str">
        <x:v>S09</x:v>
      </x:c>
      <x:c r="L18" s="83" t="str">
        <x:v>Documento_Descrizione_Scenari_2024_8dce2430d44d101.pdf</x:v>
      </x:c>
      <x:c r="M18" s="83" t="n">
        <x:v>48</x:v>
      </x:c>
      <x:c r="N18" s="83" t="n">
        <x:v>46</x:v>
      </x:c>
      <x:c r="O18" s="83" t="str">
        <x:v>Tabella 6</x:v>
      </x:c>
      <x:c r="P18" s="83" t="str">
        <x:v>Direct table extraction; visual/text verification</x:v>
      </x:c>
      <x:c r="Q18" s="83" t="str">
        <x:v>A - Direct</x:v>
      </x:c>
      <x:c r="R18" s="83" t="str"/>
    </x:row>
    <x:row r="19">
      <x:c r="A19" s="83" t="str">
        <x:v>DEM-0024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Civile</x:v>
      </x:c>
      <x:c r="F19" s="143" t="n">
        <x:v>178.5</x:v>
      </x:c>
      <x:c r="G19" s="83" t="str">
        <x:v>TWh</x:v>
      </x:c>
      <x:c r="H19" s="83" t="str">
        <x:v>Italia</x:v>
      </x:c>
      <x:c r="I19" s="83" t="str">
        <x:v>DDS definition: usi finali + usi energetici + perdite</x:v>
      </x:c>
      <x:c r="J19" s="83" t="str">
        <x:v>Assunzione di scenario</x:v>
      </x:c>
      <x:c r="K19" s="83" t="str">
        <x:v>S09</x:v>
      </x:c>
      <x:c r="L19" s="83" t="str">
        <x:v>Documento_Descrizione_Scenari_2024_8dce2430d44d101.pdf</x:v>
      </x:c>
      <x:c r="M19" s="83" t="n">
        <x:v>48</x:v>
      </x:c>
      <x:c r="N19" s="83" t="n">
        <x:v>46</x:v>
      </x:c>
      <x:c r="O19" s="83" t="str">
        <x:v>Tabella 6</x:v>
      </x:c>
      <x:c r="P19" s="83" t="str">
        <x:v>Direct table extraction; visual/text verification</x:v>
      </x:c>
      <x:c r="Q19" s="83" t="str">
        <x:v>A - Direct</x:v>
      </x:c>
      <x:c r="R19" s="83" t="str"/>
    </x:row>
    <x:row r="20">
      <x:c r="A20" s="83" t="str">
        <x:v>DEM-0025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Civile</x:v>
      </x:c>
      <x:c r="F20" s="143" t="n">
        <x:v>191.8</x:v>
      </x:c>
      <x:c r="G20" s="83" t="str">
        <x:v>TWh</x:v>
      </x:c>
      <x:c r="H20" s="83" t="str">
        <x:v>Italia</x:v>
      </x:c>
      <x:c r="I20" s="83" t="str">
        <x:v>DDS definition: usi finali + usi energetici + perdite</x:v>
      </x:c>
      <x:c r="J20" s="83" t="str">
        <x:v>Assunzione di scenario</x:v>
      </x:c>
      <x:c r="K20" s="83" t="str">
        <x:v>S09</x:v>
      </x:c>
      <x:c r="L20" s="83" t="str">
        <x:v>Documento_Descrizione_Scenari_2024_8dce2430d44d101.pdf</x:v>
      </x:c>
      <x:c r="M20" s="83" t="n">
        <x:v>48</x:v>
      </x:c>
      <x:c r="N20" s="83" t="n">
        <x:v>46</x:v>
      </x:c>
      <x:c r="O20" s="83" t="str">
        <x:v>Tabella 6</x:v>
      </x:c>
      <x:c r="P20" s="83" t="str">
        <x:v>Direct table extraction; visual/text verification</x:v>
      </x:c>
      <x:c r="Q20" s="83" t="str">
        <x:v>A - Direct</x:v>
      </x:c>
      <x:c r="R20" s="83" t="str"/>
    </x:row>
    <x:row r="21">
      <x:c r="A21" s="83" t="str">
        <x:v>DEM-0026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Civile</x:v>
      </x:c>
      <x:c r="F21" s="143" t="n">
        <x:v>185.7</x:v>
      </x:c>
      <x:c r="G21" s="83" t="str">
        <x:v>TWh</x:v>
      </x:c>
      <x:c r="H21" s="83" t="str">
        <x:v>Italia</x:v>
      </x:c>
      <x:c r="I21" s="83" t="str">
        <x:v>DDS definition: usi finali + usi energetici + perdite</x:v>
      </x:c>
      <x:c r="J21" s="83" t="str">
        <x:v>Assunzione di scenario</x:v>
      </x:c>
      <x:c r="K21" s="83" t="str">
        <x:v>S09</x:v>
      </x:c>
      <x:c r="L21" s="83" t="str">
        <x:v>Documento_Descrizione_Scenari_2024_8dce2430d44d101.pdf</x:v>
      </x:c>
      <x:c r="M21" s="83" t="n">
        <x:v>48</x:v>
      </x:c>
      <x:c r="N21" s="83" t="n">
        <x:v>46</x:v>
      </x:c>
      <x:c r="O21" s="83" t="str">
        <x:v>Tabella 6</x:v>
      </x:c>
      <x:c r="P21" s="83" t="str">
        <x:v>Direct table extraction; visual/text verification</x:v>
      </x:c>
      <x:c r="Q21" s="83" t="str">
        <x:v>A - Direct</x:v>
      </x:c>
      <x:c r="R21" s="83" t="str"/>
    </x:row>
    <x:row r="22">
      <x:c r="A22" s="83" t="str">
        <x:v>DEM-0027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Civile</x:v>
      </x:c>
      <x:c r="F22" s="143" t="n">
        <x:v>184.7</x:v>
      </x:c>
      <x:c r="G22" s="83" t="str">
        <x:v>TWh</x:v>
      </x:c>
      <x:c r="H22" s="83" t="str">
        <x:v>Italia</x:v>
      </x:c>
      <x:c r="I22" s="83" t="str">
        <x:v>DDS definition: usi finali + usi energetici + perdite</x:v>
      </x:c>
      <x:c r="J22" s="83" t="str">
        <x:v>Assunzione di scenario</x:v>
      </x:c>
      <x:c r="K22" s="83" t="str">
        <x:v>S09</x:v>
      </x:c>
      <x:c r="L22" s="83" t="str">
        <x:v>Documento_Descrizione_Scenari_2024_8dce2430d44d101.pdf</x:v>
      </x:c>
      <x:c r="M22" s="83" t="n">
        <x:v>48</x:v>
      </x:c>
      <x:c r="N22" s="83" t="n">
        <x:v>46</x:v>
      </x:c>
      <x:c r="O22" s="83" t="str">
        <x:v>Tabella 6</x:v>
      </x:c>
      <x:c r="P22" s="83" t="str">
        <x:v>Direct table extraction; visual/text verification</x:v>
      </x:c>
      <x:c r="Q22" s="83" t="str">
        <x:v>A - Direct</x:v>
      </x:c>
      <x:c r="R22" s="83" t="str"/>
    </x:row>
    <x:row r="23">
      <x:c r="A23" s="83" t="str">
        <x:v>DEM-0028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Trasporti</x:v>
      </x:c>
      <x:c r="F23" s="143" t="n">
        <x:v>9.5</x:v>
      </x:c>
      <x:c r="G23" s="83" t="str">
        <x:v>TWh</x:v>
      </x:c>
      <x:c r="H23" s="83" t="str">
        <x:v>Italia</x:v>
      </x:c>
      <x:c r="I23" s="83" t="str">
        <x:v>DDS definition: usi finali + usi energetici + perdite</x:v>
      </x:c>
      <x:c r="J23" s="83" t="str">
        <x:v>Dato osservato storico</x:v>
      </x:c>
      <x:c r="K23" s="83" t="str">
        <x:v>S09</x:v>
      </x:c>
      <x:c r="L23" s="83" t="str">
        <x:v>Documento_Descrizione_Scenari_2024_8dce2430d44d101.pdf</x:v>
      </x:c>
      <x:c r="M23" s="83" t="n">
        <x:v>48</x:v>
      </x:c>
      <x:c r="N23" s="83" t="n">
        <x:v>46</x:v>
      </x:c>
      <x:c r="O23" s="83" t="str">
        <x:v>Tabella 6</x:v>
      </x:c>
      <x:c r="P23" s="83" t="str">
        <x:v>Direct table extraction; visual/text verification</x:v>
      </x:c>
      <x:c r="Q23" s="83" t="str">
        <x:v>A - Direct</x:v>
      </x:c>
      <x:c r="R23" s="83" t="str">
        <x:v>Valore con un decimale; fonte Terna provvisoria per il 2023.</x:v>
      </x:c>
    </x:row>
    <x:row r="24">
      <x:c r="A24" s="83" t="str">
        <x:v>DEM-0029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Trasporti</x:v>
      </x:c>
      <x:c r="F24" s="143" t="n">
        <x:v>32</x:v>
      </x:c>
      <x:c r="G24" s="83" t="str">
        <x:v>TWh</x:v>
      </x:c>
      <x:c r="H24" s="83" t="str">
        <x:v>Italia</x:v>
      </x:c>
      <x:c r="I24" s="83" t="str">
        <x:v>DDS definition: usi finali + usi energetici + perdite</x:v>
      </x:c>
      <x:c r="J24" s="83" t="str">
        <x:v>Assunzione di scenario</x:v>
      </x:c>
      <x:c r="K24" s="83" t="str">
        <x:v>S09</x:v>
      </x:c>
      <x:c r="L24" s="83" t="str">
        <x:v>Documento_Descrizione_Scenari_2024_8dce2430d44d101.pdf</x:v>
      </x:c>
      <x:c r="M24" s="83" t="n">
        <x:v>48</x:v>
      </x:c>
      <x:c r="N24" s="83" t="n">
        <x:v>46</x:v>
      </x:c>
      <x:c r="O24" s="83" t="str">
        <x:v>Tabella 6</x:v>
      </x:c>
      <x:c r="P24" s="83" t="str">
        <x:v>Direct table extraction; visual/text verification</x:v>
      </x:c>
      <x:c r="Q24" s="83" t="str">
        <x:v>A - Direct</x:v>
      </x:c>
      <x:c r="R24" s="83" t="str"/>
    </x:row>
    <x:row r="25">
      <x:c r="A25" s="83" t="str">
        <x:v>DEM-0030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Trasporti</x:v>
      </x:c>
      <x:c r="F25" s="143" t="n">
        <x:v>24.8</x:v>
      </x:c>
      <x:c r="G25" s="83" t="str">
        <x:v>TWh</x:v>
      </x:c>
      <x:c r="H25" s="83" t="str">
        <x:v>Italia</x:v>
      </x:c>
      <x:c r="I25" s="83" t="str">
        <x:v>DDS definition: usi finali + usi energetici + perdite</x:v>
      </x:c>
      <x:c r="J25" s="83" t="str">
        <x:v>Assunzione di scenario</x:v>
      </x:c>
      <x:c r="K25" s="83" t="str">
        <x:v>S09</x:v>
      </x:c>
      <x:c r="L25" s="83" t="str">
        <x:v>Documento_Descrizione_Scenari_2024_8dce2430d44d101.pdf</x:v>
      </x:c>
      <x:c r="M25" s="83" t="n">
        <x:v>48</x:v>
      </x:c>
      <x:c r="N25" s="83" t="n">
        <x:v>46</x:v>
      </x:c>
      <x:c r="O25" s="83" t="str">
        <x:v>Tabella 6</x:v>
      </x:c>
      <x:c r="P25" s="83" t="str">
        <x:v>Direct table extraction; visual/text verification</x:v>
      </x:c>
      <x:c r="Q25" s="83" t="str">
        <x:v>A - Direct</x:v>
      </x:c>
      <x:c r="R25" s="83" t="str"/>
    </x:row>
    <x:row r="26">
      <x:c r="A26" s="83" t="str">
        <x:v>DEM-0031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Trasporti</x:v>
      </x:c>
      <x:c r="F26" s="143" t="n">
        <x:v>46.5</x:v>
      </x:c>
      <x:c r="G26" s="83" t="str">
        <x:v>TWh</x:v>
      </x:c>
      <x:c r="H26" s="83" t="str">
        <x:v>Italia</x:v>
      </x:c>
      <x:c r="I26" s="83" t="str">
        <x:v>DDS definition: usi finali + usi energetici + perdite</x:v>
      </x:c>
      <x:c r="J26" s="83" t="str">
        <x:v>Assunzione di scenario</x:v>
      </x:c>
      <x:c r="K26" s="83" t="str">
        <x:v>S09</x:v>
      </x:c>
      <x:c r="L26" s="83" t="str">
        <x:v>Documento_Descrizione_Scenari_2024_8dce2430d44d101.pdf</x:v>
      </x:c>
      <x:c r="M26" s="83" t="n">
        <x:v>48</x:v>
      </x:c>
      <x:c r="N26" s="83" t="n">
        <x:v>46</x:v>
      </x:c>
      <x:c r="O26" s="83" t="str">
        <x:v>Tabella 6</x:v>
      </x:c>
      <x:c r="P26" s="83" t="str">
        <x:v>Direct table extraction; visual/text verification</x:v>
      </x:c>
      <x:c r="Q26" s="83" t="str">
        <x:v>A - Direct</x:v>
      </x:c>
      <x:c r="R26" s="83" t="str"/>
    </x:row>
    <x:row r="27">
      <x:c r="A27" s="83" t="str">
        <x:v>DEM-0032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Trasporti</x:v>
      </x:c>
      <x:c r="F27" s="143" t="n">
        <x:v>41.4</x:v>
      </x:c>
      <x:c r="G27" s="83" t="str">
        <x:v>TWh</x:v>
      </x:c>
      <x:c r="H27" s="83" t="str">
        <x:v>Italia</x:v>
      </x:c>
      <x:c r="I27" s="83" t="str">
        <x:v>DDS definition: usi finali + usi energetici + perdite</x:v>
      </x:c>
      <x:c r="J27" s="83" t="str">
        <x:v>Assunzione di scenario</x:v>
      </x:c>
      <x:c r="K27" s="83" t="str">
        <x:v>S09</x:v>
      </x:c>
      <x:c r="L27" s="83" t="str">
        <x:v>Documento_Descrizione_Scenari_2024_8dce2430d44d101.pdf</x:v>
      </x:c>
      <x:c r="M27" s="83" t="n">
        <x:v>48</x:v>
      </x:c>
      <x:c r="N27" s="83" t="n">
        <x:v>46</x:v>
      </x:c>
      <x:c r="O27" s="83" t="str">
        <x:v>Tabella 6</x:v>
      </x:c>
      <x:c r="P27" s="83" t="str">
        <x:v>Direct table extraction; visual/text verification</x:v>
      </x:c>
      <x:c r="Q27" s="83" t="str">
        <x:v>A - Direct</x:v>
      </x:c>
      <x:c r="R27" s="83" t="str"/>
    </x:row>
    <x:row r="28">
      <x:c r="A28" s="83" t="str">
        <x:v>DEM-0033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Trasporti</x:v>
      </x:c>
      <x:c r="F28" s="143" t="n">
        <x:v>36.4</x:v>
      </x:c>
      <x:c r="G28" s="83" t="str">
        <x:v>TWh</x:v>
      </x:c>
      <x:c r="H28" s="83" t="str">
        <x:v>Italia</x:v>
      </x:c>
      <x:c r="I28" s="83" t="str">
        <x:v>DDS definition: usi finali + usi energetici + perdite</x:v>
      </x:c>
      <x:c r="J28" s="83" t="str">
        <x:v>Assunzione di scenario</x:v>
      </x:c>
      <x:c r="K28" s="83" t="str">
        <x:v>S09</x:v>
      </x:c>
      <x:c r="L28" s="83" t="str">
        <x:v>Documento_Descrizione_Scenari_2024_8dce2430d44d101.pdf</x:v>
      </x:c>
      <x:c r="M28" s="83" t="n">
        <x:v>48</x:v>
      </x:c>
      <x:c r="N28" s="83" t="n">
        <x:v>46</x:v>
      </x:c>
      <x:c r="O28" s="83" t="str">
        <x:v>Tabella 6</x:v>
      </x:c>
      <x:c r="P28" s="83" t="str">
        <x:v>Direct table extraction; visual/text verification</x:v>
      </x:c>
      <x:c r="Q28" s="83" t="str">
        <x:v>A - Direct</x:v>
      </x:c>
      <x:c r="R28" s="83" t="str"/>
    </x:row>
    <x:row r="29">
      <x:c r="A29" s="83" t="str">
        <x:v>DEM-0034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Trasporti</x:v>
      </x:c>
      <x:c r="F29" s="143" t="n">
        <x:v>65</x:v>
      </x:c>
      <x:c r="G29" s="83" t="str">
        <x:v>TWh</x:v>
      </x:c>
      <x:c r="H29" s="83" t="str">
        <x:v>Italia</x:v>
      </x:c>
      <x:c r="I29" s="83" t="str">
        <x:v>DDS definition: usi finali + usi energetici + perdite</x:v>
      </x:c>
      <x:c r="J29" s="83" t="str">
        <x:v>Assunzione di scenario</x:v>
      </x:c>
      <x:c r="K29" s="83" t="str">
        <x:v>S09</x:v>
      </x:c>
      <x:c r="L29" s="83" t="str">
        <x:v>Documento_Descrizione_Scenari_2024_8dce2430d44d101.pdf</x:v>
      </x:c>
      <x:c r="M29" s="83" t="n">
        <x:v>48</x:v>
      </x:c>
      <x:c r="N29" s="83" t="n">
        <x:v>46</x:v>
      </x:c>
      <x:c r="O29" s="83" t="str">
        <x:v>Tabella 6</x:v>
      </x:c>
      <x:c r="P29" s="83" t="str">
        <x:v>Direct table extraction; visual/text verification</x:v>
      </x:c>
      <x:c r="Q29" s="83" t="str">
        <x:v>A - Direct</x:v>
      </x:c>
      <x:c r="R29" s="83" t="str"/>
    </x:row>
    <x:row r="30">
      <x:c r="A30" s="83" t="str">
        <x:v>DEM-0035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Trasporti</x:v>
      </x:c>
      <x:c r="F30" s="143" t="n">
        <x:v>55.7</x:v>
      </x:c>
      <x:c r="G30" s="83" t="str">
        <x:v>TWh</x:v>
      </x:c>
      <x:c r="H30" s="83" t="str">
        <x:v>Italia</x:v>
      </x:c>
      <x:c r="I30" s="83" t="str">
        <x:v>DDS definition: usi finali + usi energetici + perdite</x:v>
      </x:c>
      <x:c r="J30" s="83" t="str">
        <x:v>Assunzione di scenario</x:v>
      </x:c>
      <x:c r="K30" s="83" t="str">
        <x:v>S09</x:v>
      </x:c>
      <x:c r="L30" s="83" t="str">
        <x:v>Documento_Descrizione_Scenari_2024_8dce2430d44d101.pdf</x:v>
      </x:c>
      <x:c r="M30" s="83" t="n">
        <x:v>48</x:v>
      </x:c>
      <x:c r="N30" s="83" t="n">
        <x:v>46</x:v>
      </x:c>
      <x:c r="O30" s="83" t="str">
        <x:v>Tabella 6</x:v>
      </x:c>
      <x:c r="P30" s="83" t="str">
        <x:v>Direct table extraction; visual/text verification</x:v>
      </x:c>
      <x:c r="Q30" s="83" t="str">
        <x:v>A - Direct</x:v>
      </x:c>
      <x:c r="R30" s="83" t="str"/>
    </x:row>
    <x:row r="31">
      <x:c r="A31" s="83" t="str">
        <x:v>DEM-0036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Trasporti</x:v>
      </x:c>
      <x:c r="F31" s="143" t="n">
        <x:v>47.9</x:v>
      </x:c>
      <x:c r="G31" s="83" t="str">
        <x:v>TWh</x:v>
      </x:c>
      <x:c r="H31" s="83" t="str">
        <x:v>Italia</x:v>
      </x:c>
      <x:c r="I31" s="83" t="str">
        <x:v>DDS definition: usi finali + usi energetici + perdite</x:v>
      </x:c>
      <x:c r="J31" s="83" t="str">
        <x:v>Assunzione di scenario</x:v>
      </x:c>
      <x:c r="K31" s="83" t="str">
        <x:v>S09</x:v>
      </x:c>
      <x:c r="L31" s="83" t="str">
        <x:v>Documento_Descrizione_Scenari_2024_8dce2430d44d101.pdf</x:v>
      </x:c>
      <x:c r="M31" s="83" t="n">
        <x:v>48</x:v>
      </x:c>
      <x:c r="N31" s="83" t="n">
        <x:v>46</x:v>
      </x:c>
      <x:c r="O31" s="83" t="str">
        <x:v>Tabella 6</x:v>
      </x:c>
      <x:c r="P31" s="83" t="str">
        <x:v>Direct table extraction; visual/text verification</x:v>
      </x:c>
      <x:c r="Q31" s="83" t="str">
        <x:v>A - Direct</x:v>
      </x:c>
      <x:c r="R31" s="83" t="str"/>
    </x:row>
    <x:row r="32">
      <x:c r="A32" s="83" t="str">
        <x:v>DEM-0101</x:v>
      </x:c>
      <x:c r="B32" s="83" t="str">
        <x:v>HIST_2024</x:v>
      </x:c>
      <x:c r="C32" s="83" t="n">
        <x:v>2024</x:v>
      </x:c>
      <x:c r="D32" s="83" t="str">
        <x:v>Storico 2024</x:v>
      </x:c>
      <x:c r="E32" s="83" t="str">
        <x:v>Fabbisogno 2024</x:v>
      </x:c>
      <x:c r="F32" s="143" t="n">
        <x:v>312</x:v>
      </x:c>
      <x:c r="G32" s="83" t="str">
        <x:v>TWh</x:v>
      </x:c>
      <x:c r="H32" s="83" t="str">
        <x:v>Italia</x:v>
      </x:c>
      <x:c r="I32" s="83" t="str">
        <x:v>Drivers di evoluzione del fabbisogno</x:v>
      </x:c>
      <x:c r="J32" s="83" t="str">
        <x:v>Dato storico</x:v>
      </x:c>
      <x:c r="K32" s="83" t="str">
        <x:v>S07</x:v>
      </x:c>
      <x:c r="L32" s="83" t="str">
        <x:v>Terna Prospettive Sviluppo Sistema Energetico 2050.pdf</x:v>
      </x:c>
      <x:c r="M32" s="83" t="n">
        <x:v>53</x:v>
      </x:c>
      <x:c r="N32" s="83" t="n">
        <x:v>51</x:v>
      </x:c>
      <x:c r="O32" s="83" t="str">
        <x:v>Figura 45</x:v>
      </x:c>
      <x:c r="P32" s="83" t="str">
        <x:v>Direct labelled values from figure; visual/text verification</x:v>
      </x:c>
      <x:c r="Q32" s="83" t="str">
        <x:v>A - Direct labels</x:v>
      </x:c>
      <x:c r="R32" s="83" t="str">
        <x:v>Livello storico di partenza. Le estremità dei range settoriali non sono necessariamente simultanee.</x:v>
      </x:c>
    </x:row>
    <x:row r="33">
      <x:c r="A33" s="83" t="str">
        <x:v>DEM-0102</x:v>
      </x:c>
      <x:c r="B33" s="83" t="str">
        <x:v>TERNA_2050_RANGE</x:v>
      </x:c>
      <x:c r="C33" s="83" t="n">
        <x:v>2050</x:v>
      </x:c>
      <x:c r="D33" s="83" t="str">
        <x:v>Terna 2050 - analisi varianze</x:v>
      </x:c>
      <x:c r="E33" s="83" t="str">
        <x:v>Civile (include data center)</x:v>
      </x:c>
      <x:c r="F33" s="143"/>
      <x:c r="G33" s="83" t="str">
        <x:v>TWh</x:v>
      </x:c>
      <x:c r="H33" s="83" t="str">
        <x:v>Italia</x:v>
      </x:c>
      <x:c r="I33" s="83" t="str">
        <x:v>Drivers di evoluzione del fabbisogno</x:v>
      </x:c>
      <x:c r="J33" s="83" t="str">
        <x:v>Range di scenario</x:v>
      </x:c>
      <x:c r="K33" s="83" t="str">
        <x:v>S07</x:v>
      </x:c>
      <x:c r="L33" s="83" t="str">
        <x:v>Terna Prospettive Sviluppo Sistema Energetico 2050.pdf</x:v>
      </x:c>
      <x:c r="M33" s="83" t="n">
        <x:v>53</x:v>
      </x:c>
      <x:c r="N33" s="83" t="n">
        <x:v>51</x:v>
      </x:c>
      <x:c r="O33" s="83" t="str">
        <x:v>Figura 45</x:v>
      </x:c>
      <x:c r="P33" s="83" t="str">
        <x:v>Direct labelled values from figure; visual/text verification</x:v>
      </x:c>
      <x:c r="Q33" s="83" t="str">
        <x:v>A - Direct labels</x:v>
      </x:c>
      <x:c r="R33" s="83" t="str">
        <x:v>Incremento rispetto al 2024; include quota perdite allocata. Le estremità dei range settoriali non sono necessariamente simultanee.</x:v>
      </x:c>
    </x:row>
    <x:row r="34">
      <x:c r="A34" s="83" t="str">
        <x:v>DEM-0103</x:v>
      </x:c>
      <x:c r="B34" s="83" t="str">
        <x:v>TERNA_2050_RANGE</x:v>
      </x:c>
      <x:c r="C34" s="83" t="n">
        <x:v>2050</x:v>
      </x:c>
      <x:c r="D34" s="83" t="str">
        <x:v>Terna 2050 - analisi varianze</x:v>
      </x:c>
      <x:c r="E34" s="83" t="str">
        <x:v>Trasporti</x:v>
      </x:c>
      <x:c r="F34" s="143"/>
      <x:c r="G34" s="83" t="str">
        <x:v>TWh</x:v>
      </x:c>
      <x:c r="H34" s="83" t="str">
        <x:v>Italia</x:v>
      </x:c>
      <x:c r="I34" s="83" t="str">
        <x:v>Drivers di evoluzione del fabbisogno</x:v>
      </x:c>
      <x:c r="J34" s="83" t="str">
        <x:v>Range di scenario</x:v>
      </x:c>
      <x:c r="K34" s="83" t="str">
        <x:v>S07</x:v>
      </x:c>
      <x:c r="L34" s="83" t="str">
        <x:v>Terna Prospettive Sviluppo Sistema Energetico 2050.pdf</x:v>
      </x:c>
      <x:c r="M34" s="83" t="n">
        <x:v>53</x:v>
      </x:c>
      <x:c r="N34" s="83" t="n">
        <x:v>51</x:v>
      </x:c>
      <x:c r="O34" s="83" t="str">
        <x:v>Figura 45</x:v>
      </x:c>
      <x:c r="P34" s="83" t="str">
        <x:v>Direct labelled values from figure; visual/text verification</x:v>
      </x:c>
      <x:c r="Q34" s="83" t="str">
        <x:v>A - Direct labels</x:v>
      </x:c>
      <x:c r="R34" s="83" t="str">
        <x:v>Incremento rispetto al 2024; include quota perdite allocata. Le estremità dei range settoriali non sono necessariamente simultanee.</x:v>
      </x:c>
    </x:row>
    <x:row r="35">
      <x:c r="A35" s="83" t="str">
        <x:v>DEM-0104</x:v>
      </x:c>
      <x:c r="B35" s="83" t="str">
        <x:v>TERNA_2050_RANGE</x:v>
      </x:c>
      <x:c r="C35" s="83" t="n">
        <x:v>2050</x:v>
      </x:c>
      <x:c r="D35" s="83" t="str">
        <x:v>Terna 2050 - analisi varianze</x:v>
      </x:c>
      <x:c r="E35" s="83" t="str">
        <x:v>Industria</x:v>
      </x:c>
      <x:c r="F35" s="143"/>
      <x:c r="G35" s="83" t="str">
        <x:v>TWh</x:v>
      </x:c>
      <x:c r="H35" s="83" t="str">
        <x:v>Italia</x:v>
      </x:c>
      <x:c r="I35" s="83" t="str">
        <x:v>Drivers di evoluzione del fabbisogno</x:v>
      </x:c>
      <x:c r="J35" s="83" t="str">
        <x:v>Range di scenario</x:v>
      </x:c>
      <x:c r="K35" s="83" t="str">
        <x:v>S07</x:v>
      </x:c>
      <x:c r="L35" s="83" t="str">
        <x:v>Terna Prospettive Sviluppo Sistema Energetico 2050.pdf</x:v>
      </x:c>
      <x:c r="M35" s="83" t="n">
        <x:v>53</x:v>
      </x:c>
      <x:c r="N35" s="83" t="n">
        <x:v>51</x:v>
      </x:c>
      <x:c r="O35" s="83" t="str">
        <x:v>Figura 45</x:v>
      </x:c>
      <x:c r="P35" s="83" t="str">
        <x:v>Direct labelled values from figure; visual/text verification</x:v>
      </x:c>
      <x:c r="Q35" s="83" t="str">
        <x:v>A - Direct labels</x:v>
      </x:c>
      <x:c r="R35" s="83" t="str">
        <x:v>Incremento rispetto al 2024; include quota perdite allocata. Le estremità dei range settoriali non sono necessariamente simultanee.</x:v>
      </x:c>
    </x:row>
    <x:row r="36">
      <x:c r="A36" s="83" t="str">
        <x:v>DEM-0105</x:v>
      </x:c>
      <x:c r="B36" s="83" t="str">
        <x:v>TERNA_2050_RANGE</x:v>
      </x:c>
      <x:c r="C36" s="83" t="n">
        <x:v>2050</x:v>
      </x:c>
      <x:c r="D36" s="83" t="str">
        <x:v>Terna 2050 - analisi varianze</x:v>
      </x:c>
      <x:c r="E36" s="83" t="str">
        <x:v>Produzione H2 e combustibili sintetici</x:v>
      </x:c>
      <x:c r="F36" s="143"/>
      <x:c r="G36" s="83" t="str">
        <x:v>TWh</x:v>
      </x:c>
      <x:c r="H36" s="83" t="str">
        <x:v>Italia</x:v>
      </x:c>
      <x:c r="I36" s="83" t="str">
        <x:v>Drivers di evoluzione del fabbisogno</x:v>
      </x:c>
      <x:c r="J36" s="83" t="str">
        <x:v>Range di scenario</x:v>
      </x:c>
      <x:c r="K36" s="83" t="str">
        <x:v>S07</x:v>
      </x:c>
      <x:c r="L36" s="83" t="str">
        <x:v>Terna Prospettive Sviluppo Sistema Energetico 2050.pdf</x:v>
      </x:c>
      <x:c r="M36" s="83" t="n">
        <x:v>53</x:v>
      </x:c>
      <x:c r="N36" s="83" t="n">
        <x:v>51</x:v>
      </x:c>
      <x:c r="O36" s="83" t="str">
        <x:v>Figura 45</x:v>
      </x:c>
      <x:c r="P36" s="83" t="str">
        <x:v>Direct labelled values from figure; visual/text verification</x:v>
      </x:c>
      <x:c r="Q36" s="83" t="str">
        <x:v>A - Direct labels</x:v>
      </x:c>
      <x:c r="R36" s="83" t="str">
        <x:v>Incremento rispetto al 2024. Le estremità dei range settoriali non sono necessariamente simultanee.</x:v>
      </x:c>
    </x:row>
    <x:row r="37">
      <x:c r="A37" s="83" t="str">
        <x:v>DEM-0106</x:v>
      </x:c>
      <x:c r="B37" s="83" t="str">
        <x:v>TERNA_2050_RANGE</x:v>
      </x:c>
      <x:c r="C37" s="83" t="n">
        <x:v>2050</x:v>
      </x:c>
      <x:c r="D37" s="83" t="str">
        <x:v>Terna 2050 - analisi varianze</x:v>
      </x:c>
      <x:c r="E37" s="83" t="str">
        <x:v>Fabbisogno 2050</x:v>
      </x:c>
      <x:c r="F37" s="143" t="n">
        <x:v>583</x:v>
      </x:c>
      <x:c r="G37" s="83" t="str">
        <x:v>TWh</x:v>
      </x:c>
      <x:c r="H37" s="83" t="str">
        <x:v>Italia</x:v>
      </x:c>
      <x:c r="I37" s="83" t="str">
        <x:v>Drivers di evoluzione del fabbisogno</x:v>
      </x:c>
      <x:c r="J37" s="83" t="str">
        <x:v>Range di scenario</x:v>
      </x:c>
      <x:c r="K37" s="83" t="str">
        <x:v>S07</x:v>
      </x:c>
      <x:c r="L37" s="83" t="str">
        <x:v>Terna Prospettive Sviluppo Sistema Energetico 2050.pdf</x:v>
      </x:c>
      <x:c r="M37" s="83" t="n">
        <x:v>53</x:v>
      </x:c>
      <x:c r="N37" s="83" t="n">
        <x:v>51</x:v>
      </x:c>
      <x:c r="O37" s="83" t="str">
        <x:v>Figura 45</x:v>
      </x:c>
      <x:c r="P37" s="83" t="str">
        <x:v>Direct labelled values from figure; visual/text verification</x:v>
      </x:c>
      <x:c r="Q37" s="83" t="str">
        <x:v>A - Direct labels</x:v>
      </x:c>
      <x:c r="R37" s="83" t="str">
        <x:v>Range complessivo; 583 TWh scenario medio. Le estremità dei range settoriali non sono necessariamente simultanee.</x:v>
      </x:c>
    </x:row>
    <x:row r="38">
      <x:c r="A38" s="83" t="str">
        <x:v>DEM-0107</x:v>
      </x:c>
      <x:c r="B38" s="83" t="str">
        <x:v>HIST_2023</x:v>
      </x:c>
      <x:c r="C38" s="83" t="n">
        <x:v>2023</x:v>
      </x:c>
      <x:c r="D38" s="83" t="str">
        <x:v>Storico 2023</x:v>
      </x:c>
      <x:c r="E38" s="83" t="str">
        <x:v>Capacità installata elettrolizzatori</x:v>
      </x:c>
      <x:c r="F38" s="143" t="n">
        <x:v>0</x:v>
      </x:c>
      <x:c r="G38" s="83" t="str">
        <x:v>GW_el</x:v>
      </x:c>
      <x:c r="H38" s="83" t="str">
        <x:v>Italia</x:v>
      </x:c>
      <x:c r="I38" s="83" t="str">
        <x:v>Carico elettrico flessibile per produzione H2</x:v>
      </x:c>
      <x:c r="J38" s="83" t="str">
        <x:v>Dato osservato storico</x:v>
      </x:c>
      <x:c r="K38" s="83" t="str">
        <x:v>S09</x:v>
      </x:c>
      <x:c r="L38" s="83" t="str">
        <x:v>Documento_Descrizione_Scenari_2024_8dce2430d44d101.pdf</x:v>
      </x:c>
      <x:c r="M38" s="83" t="n">
        <x:v>64</x:v>
      </x:c>
      <x:c r="N38" s="83" t="n">
        <x:v>62</x:v>
      </x:c>
      <x:c r="O38" s="83" t="str">
        <x:v>Figura 29</x:v>
      </x:c>
      <x:c r="P38" s="83" t="str">
        <x:v>Direct labelled values from figure</x:v>
      </x:c>
      <x:c r="Q38" s="83" t="str">
        <x:v>A - Direct labels</x:v>
      </x:c>
      <x:c r="R38" s="83" t="str">
        <x:v>Gli elettrolizzatori sono modellizzati come carichi che si attivano a prezzi bassi/overgeneration.</x:v>
      </x:c>
    </x:row>
    <x:row r="39">
      <x:c r="A39" s="83" t="str">
        <x:v>DEM-0108</x:v>
      </x:c>
      <x:c r="B39" s="83" t="str">
        <x:v>PNIEC_POLICY_2030</x:v>
      </x:c>
      <x:c r="C39" s="83" t="n">
        <x:v>2030</x:v>
      </x:c>
      <x:c r="D39" s="83" t="str">
        <x:v>PNIEC Policy 2030</x:v>
      </x:c>
      <x:c r="E39" s="83" t="str">
        <x:v>Capacità installata elettrolizzatori</x:v>
      </x:c>
      <x:c r="F39" s="143" t="n">
        <x:v>3</x:v>
      </x:c>
      <x:c r="G39" s="83" t="str">
        <x:v>GW_el</x:v>
      </x:c>
      <x:c r="H39" s="83" t="str">
        <x:v>Italia</x:v>
      </x:c>
      <x:c r="I39" s="83" t="str">
        <x:v>Carico elettrico flessibile per produzione H2</x:v>
      </x:c>
      <x:c r="J39" s="83" t="str">
        <x:v>Assunzione di scenario</x:v>
      </x:c>
      <x:c r="K39" s="83" t="str">
        <x:v>S09</x:v>
      </x:c>
      <x:c r="L39" s="83" t="str">
        <x:v>Documento_Descrizione_Scenari_2024_8dce2430d44d101.pdf</x:v>
      </x:c>
      <x:c r="M39" s="83" t="n">
        <x:v>64</x:v>
      </x:c>
      <x:c r="N39" s="83" t="n">
        <x:v>62</x:v>
      </x:c>
      <x:c r="O39" s="83" t="str">
        <x:v>Figura 29</x:v>
      </x:c>
      <x:c r="P39" s="83" t="str">
        <x:v>Direct labelled values from figure</x:v>
      </x:c>
      <x:c r="Q39" s="83" t="str">
        <x:v>A - Direct labels</x:v>
      </x:c>
      <x:c r="R39" s="83" t="str">
        <x:v>Gli elettrolizzatori sono modellizzati come carichi che si attivano a prezzi bassi/overgeneration.</x:v>
      </x:c>
    </x:row>
    <x:row r="40">
      <x:c r="A40" s="83" t="str">
        <x:v>DEM-0109</x:v>
      </x:c>
      <x:c r="B40" s="83" t="str">
        <x:v>PNIEC_SLOW_2030</x:v>
      </x:c>
      <x:c r="C40" s="83" t="n">
        <x:v>2030</x:v>
      </x:c>
      <x:c r="D40" s="83" t="str">
        <x:v>PNIEC Slow 2030</x:v>
      </x:c>
      <x:c r="E40" s="83" t="str">
        <x:v>Capacità installata elettrolizzatori</x:v>
      </x:c>
      <x:c r="F40" s="143" t="n">
        <x:v>1.8</x:v>
      </x:c>
      <x:c r="G40" s="83" t="str">
        <x:v>GW_el</x:v>
      </x:c>
      <x:c r="H40" s="83" t="str">
        <x:v>Italia</x:v>
      </x:c>
      <x:c r="I40" s="83" t="str">
        <x:v>Carico elettrico flessibile per produzione H2</x:v>
      </x:c>
      <x:c r="J40" s="83" t="str">
        <x:v>Assunzione di scenario</x:v>
      </x:c>
      <x:c r="K40" s="83" t="str">
        <x:v>S09</x:v>
      </x:c>
      <x:c r="L40" s="83" t="str">
        <x:v>Documento_Descrizione_Scenari_2024_8dce2430d44d101.pdf</x:v>
      </x:c>
      <x:c r="M40" s="83" t="n">
        <x:v>64</x:v>
      </x:c>
      <x:c r="N40" s="83" t="n">
        <x:v>62</x:v>
      </x:c>
      <x:c r="O40" s="83" t="str">
        <x:v>Figura 29</x:v>
      </x:c>
      <x:c r="P40" s="83" t="str">
        <x:v>Direct labelled values from figure</x:v>
      </x:c>
      <x:c r="Q40" s="83" t="str">
        <x:v>A - Direct labels</x:v>
      </x:c>
      <x:c r="R40" s="83" t="str">
        <x:v>Gli elettrolizzatori sono modellizzati come carichi che si attivano a prezzi bassi/overgeneration.</x:v>
      </x:c>
    </x:row>
    <x:row r="41">
      <x:c r="A41" s="83" t="str">
        <x:v>DEM-0110</x:v>
      </x:c>
      <x:c r="B41" s="83" t="str">
        <x:v>DE_IT_2035</x:v>
      </x:c>
      <x:c r="C41" s="83" t="n">
        <x:v>2035</x:v>
      </x:c>
      <x:c r="D41" s="83" t="str">
        <x:v>DE-IT 2035</x:v>
      </x:c>
      <x:c r="E41" s="83" t="str">
        <x:v>Capacità installata elettrolizzatori</x:v>
      </x:c>
      <x:c r="F41" s="143" t="n">
        <x:v>5.2</x:v>
      </x:c>
      <x:c r="G41" s="83" t="str">
        <x:v>GW_el</x:v>
      </x:c>
      <x:c r="H41" s="83" t="str">
        <x:v>Italia</x:v>
      </x:c>
      <x:c r="I41" s="83" t="str">
        <x:v>Carico elettrico flessibile per produzione H2</x:v>
      </x:c>
      <x:c r="J41" s="83" t="str">
        <x:v>Assunzione di scenario</x:v>
      </x:c>
      <x:c r="K41" s="83" t="str">
        <x:v>S09</x:v>
      </x:c>
      <x:c r="L41" s="83" t="str">
        <x:v>Documento_Descrizione_Scenari_2024_8dce2430d44d101.pdf</x:v>
      </x:c>
      <x:c r="M41" s="83" t="n">
        <x:v>64</x:v>
      </x:c>
      <x:c r="N41" s="83" t="n">
        <x:v>62</x:v>
      </x:c>
      <x:c r="O41" s="83" t="str">
        <x:v>Figura 29</x:v>
      </x:c>
      <x:c r="P41" s="83" t="str">
        <x:v>Direct labelled values from figure</x:v>
      </x:c>
      <x:c r="Q41" s="83" t="str">
        <x:v>A - Direct labels</x:v>
      </x:c>
      <x:c r="R41" s="83" t="str">
        <x:v>Gli elettrolizzatori sono modellizzati come carichi che si attivano a prezzi bassi/overgeneration.</x:v>
      </x:c>
    </x:row>
    <x:row r="42">
      <x:c r="A42" s="83" t="str">
        <x:v>DEM-0111</x:v>
      </x:c>
      <x:c r="B42" s="83" t="str">
        <x:v>GA_IT_2035</x:v>
      </x:c>
      <x:c r="C42" s="83" t="n">
        <x:v>2035</x:v>
      </x:c>
      <x:c r="D42" s="83" t="str">
        <x:v>GA-IT 2035</x:v>
      </x:c>
      <x:c r="E42" s="83" t="str">
        <x:v>Capacità installata elettrolizzatori</x:v>
      </x:c>
      <x:c r="F42" s="143" t="n">
        <x:v>5.2</x:v>
      </x:c>
      <x:c r="G42" s="83" t="str">
        <x:v>GW_el</x:v>
      </x:c>
      <x:c r="H42" s="83" t="str">
        <x:v>Italia</x:v>
      </x:c>
      <x:c r="I42" s="83" t="str">
        <x:v>Carico elettrico flessibile per produzione H2</x:v>
      </x:c>
      <x:c r="J42" s="83" t="str">
        <x:v>Assunzione di scenario</x:v>
      </x:c>
      <x:c r="K42" s="83" t="str">
        <x:v>S09</x:v>
      </x:c>
      <x:c r="L42" s="83" t="str">
        <x:v>Documento_Descrizione_Scenari_2024_8dce2430d44d101.pdf</x:v>
      </x:c>
      <x:c r="M42" s="83" t="n">
        <x:v>64</x:v>
      </x:c>
      <x:c r="N42" s="83" t="n">
        <x:v>62</x:v>
      </x:c>
      <x:c r="O42" s="83" t="str">
        <x:v>Figura 29</x:v>
      </x:c>
      <x:c r="P42" s="83" t="str">
        <x:v>Direct labelled values from figure</x:v>
      </x:c>
      <x:c r="Q42" s="83" t="str">
        <x:v>A - Direct labels</x:v>
      </x:c>
      <x:c r="R42" s="83" t="str">
        <x:v>Gli elettrolizzatori sono modellizzati come carichi che si attivano a prezzi bassi/overgeneration.</x:v>
      </x:c>
    </x:row>
    <x:row r="43">
      <x:c r="A43" s="83" t="str">
        <x:v>DEM-0112</x:v>
      </x:c>
      <x:c r="B43" s="83" t="str">
        <x:v>PNIEC_SLOW_2035</x:v>
      </x:c>
      <x:c r="C43" s="83" t="n">
        <x:v>2035</x:v>
      </x:c>
      <x:c r="D43" s="83" t="str">
        <x:v>PNIEC Slow 2035</x:v>
      </x:c>
      <x:c r="E43" s="83" t="str">
        <x:v>Capacità installata elettrolizzatori</x:v>
      </x:c>
      <x:c r="F43" s="143" t="n">
        <x:v>3.5</x:v>
      </x:c>
      <x:c r="G43" s="83" t="str">
        <x:v>GW_el</x:v>
      </x:c>
      <x:c r="H43" s="83" t="str">
        <x:v>Italia</x:v>
      </x:c>
      <x:c r="I43" s="83" t="str">
        <x:v>Carico elettrico flessibile per produzione H2</x:v>
      </x:c>
      <x:c r="J43" s="83" t="str">
        <x:v>Assunzione di scenario</x:v>
      </x:c>
      <x:c r="K43" s="83" t="str">
        <x:v>S09</x:v>
      </x:c>
      <x:c r="L43" s="83" t="str">
        <x:v>Documento_Descrizione_Scenari_2024_8dce2430d44d101.pdf</x:v>
      </x:c>
      <x:c r="M43" s="83" t="n">
        <x:v>64</x:v>
      </x:c>
      <x:c r="N43" s="83" t="n">
        <x:v>62</x:v>
      </x:c>
      <x:c r="O43" s="83" t="str">
        <x:v>Figura 29</x:v>
      </x:c>
      <x:c r="P43" s="83" t="str">
        <x:v>Direct labelled values from figure</x:v>
      </x:c>
      <x:c r="Q43" s="83" t="str">
        <x:v>A - Direct labels</x:v>
      </x:c>
      <x:c r="R43" s="83" t="str">
        <x:v>Gli elettrolizzatori sono modellizzati come carichi che si attivano a prezzi bassi/overgeneration.</x:v>
      </x:c>
    </x:row>
    <x:row r="44">
      <x:c r="A44" s="83" t="str">
        <x:v>DEM-0113</x:v>
      </x:c>
      <x:c r="B44" s="83" t="str">
        <x:v>DE_IT_2040</x:v>
      </x:c>
      <x:c r="C44" s="83" t="n">
        <x:v>2040</x:v>
      </x:c>
      <x:c r="D44" s="83" t="str">
        <x:v>DE-IT 2040</x:v>
      </x:c>
      <x:c r="E44" s="83" t="str">
        <x:v>Capacità installata elettrolizzatori</x:v>
      </x:c>
      <x:c r="F44" s="143" t="n">
        <x:v>7.4</x:v>
      </x:c>
      <x:c r="G44" s="83" t="str">
        <x:v>GW_el</x:v>
      </x:c>
      <x:c r="H44" s="83" t="str">
        <x:v>Italia</x:v>
      </x:c>
      <x:c r="I44" s="83" t="str">
        <x:v>Carico elettrico flessibile per produzione H2</x:v>
      </x:c>
      <x:c r="J44" s="83" t="str">
        <x:v>Assunzione di scenario</x:v>
      </x:c>
      <x:c r="K44" s="83" t="str">
        <x:v>S09</x:v>
      </x:c>
      <x:c r="L44" s="83" t="str">
        <x:v>Documento_Descrizione_Scenari_2024_8dce2430d44d101.pdf</x:v>
      </x:c>
      <x:c r="M44" s="83" t="n">
        <x:v>64</x:v>
      </x:c>
      <x:c r="N44" s="83" t="n">
        <x:v>62</x:v>
      </x:c>
      <x:c r="O44" s="83" t="str">
        <x:v>Figura 29</x:v>
      </x:c>
      <x:c r="P44" s="83" t="str">
        <x:v>Direct labelled values from figure</x:v>
      </x:c>
      <x:c r="Q44" s="83" t="str">
        <x:v>A - Direct labels</x:v>
      </x:c>
      <x:c r="R44" s="83" t="str">
        <x:v>Gli elettrolizzatori sono modellizzati come carichi che si attivano a prezzi bassi/overgeneration.</x:v>
      </x:c>
    </x:row>
    <x:row r="45">
      <x:c r="A45" s="83" t="str">
        <x:v>DEM-0114</x:v>
      </x:c>
      <x:c r="B45" s="83" t="str">
        <x:v>GA_IT_2040</x:v>
      </x:c>
      <x:c r="C45" s="83" t="n">
        <x:v>2040</x:v>
      </x:c>
      <x:c r="D45" s="83" t="str">
        <x:v>GA-IT 2040</x:v>
      </x:c>
      <x:c r="E45" s="83" t="str">
        <x:v>Capacità installata elettrolizzatori</x:v>
      </x:c>
      <x:c r="F45" s="143" t="n">
        <x:v>7.4</x:v>
      </x:c>
      <x:c r="G45" s="83" t="str">
        <x:v>GW_el</x:v>
      </x:c>
      <x:c r="H45" s="83" t="str">
        <x:v>Italia</x:v>
      </x:c>
      <x:c r="I45" s="83" t="str">
        <x:v>Carico elettrico flessibile per produzione H2</x:v>
      </x:c>
      <x:c r="J45" s="83" t="str">
        <x:v>Assunzione di scenario</x:v>
      </x:c>
      <x:c r="K45" s="83" t="str">
        <x:v>S09</x:v>
      </x:c>
      <x:c r="L45" s="83" t="str">
        <x:v>Documento_Descrizione_Scenari_2024_8dce2430d44d101.pdf</x:v>
      </x:c>
      <x:c r="M45" s="83" t="n">
        <x:v>64</x:v>
      </x:c>
      <x:c r="N45" s="83" t="n">
        <x:v>62</x:v>
      </x:c>
      <x:c r="O45" s="83" t="str">
        <x:v>Figura 29</x:v>
      </x:c>
      <x:c r="P45" s="83" t="str">
        <x:v>Direct labelled values from figure</x:v>
      </x:c>
      <x:c r="Q45" s="83" t="str">
        <x:v>A - Direct labels</x:v>
      </x:c>
      <x:c r="R45" s="83" t="str">
        <x:v>Gli elettrolizzatori sono modellizzati come carichi che si attivano a prezzi bassi/overgeneration.</x:v>
      </x:c>
    </x:row>
    <x:row r="46">
      <x:c r="A46" s="83" t="str">
        <x:v>DEM-0115</x:v>
      </x:c>
      <x:c r="B46" s="83" t="str">
        <x:v>PNIEC_SLOW_2040</x:v>
      </x:c>
      <x:c r="C46" s="83" t="n">
        <x:v>2040</x:v>
      </x:c>
      <x:c r="D46" s="83" t="str">
        <x:v>PNIEC Slow 2040</x:v>
      </x:c>
      <x:c r="E46" s="83" t="str">
        <x:v>Capacità installata elettrolizzatori</x:v>
      </x:c>
      <x:c r="F46" s="143" t="n">
        <x:v>5.3</x:v>
      </x:c>
      <x:c r="G46" s="83" t="str">
        <x:v>GW_el</x:v>
      </x:c>
      <x:c r="H46" s="83" t="str">
        <x:v>Italia</x:v>
      </x:c>
      <x:c r="I46" s="83" t="str">
        <x:v>Carico elettrico flessibile per produzione H2</x:v>
      </x:c>
      <x:c r="J46" s="83" t="str">
        <x:v>Assunzione di scenario</x:v>
      </x:c>
      <x:c r="K46" s="83" t="str">
        <x:v>S09</x:v>
      </x:c>
      <x:c r="L46" s="83" t="str">
        <x:v>Documento_Descrizione_Scenari_2024_8dce2430d44d101.pdf</x:v>
      </x:c>
      <x:c r="M46" s="83" t="n">
        <x:v>64</x:v>
      </x:c>
      <x:c r="N46" s="83" t="n">
        <x:v>62</x:v>
      </x:c>
      <x:c r="O46" s="83" t="str">
        <x:v>Figura 29</x:v>
      </x:c>
      <x:c r="P46" s="83" t="str">
        <x:v>Direct labelled values from figure</x:v>
      </x:c>
      <x:c r="Q46" s="83" t="str">
        <x:v>A - Direct labels</x:v>
      </x:c>
      <x:c r="R46" s="83" t="str">
        <x:v>Gli elettrolizzatori sono modellizzati come carichi che si attivano a prezzi bassi/overgeneration.</x:v>
      </x:c>
    </x:row>
  </x:sheetData>
  <x:mergeCells>
    <x:mergeCell ref="A1:R1"/>
    <x:mergeCell ref="A2:R2"/>
  </x:mergeCells>
  <x:conditionalFormatting sqref="Q5:Q46">
    <x:cfRule type="expression" dxfId="27" priority="1">
      <x:formula>LEFT(Q5,1)="A"</x:formula>
    </x:cfRule>
    <x:cfRule type="expression" dxfId="28" priority="2">
      <x:formula>OR(LEFT(Q5,1)="D",LEFT(Q5,1)="E")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80f03bbdc6a4aa5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0" hidden="0" customWidth="1"/>
    <x:col min="5" max="5" width="14" hidden="0" customWidth="1"/>
    <x:col min="6" max="6" width="16" hidden="0" customWidth="1"/>
    <x:col min="7" max="7" width="16" hidden="0" customWidth="1"/>
    <x:col min="8" max="8" width="26" hidden="0" customWidth="1"/>
    <x:col min="9" max="9" width="26" hidden="0" customWidth="1"/>
    <x:col min="10" max="10" width="48" hidden="0" customWidth="1"/>
    <x:col min="11" max="11" width="12" hidden="0" customWidth="1"/>
    <x:col min="12" max="12" width="44" hidden="0" customWidth="1"/>
    <x:col min="13" max="13" width="12" hidden="0" customWidth="1"/>
    <x:col min="14" max="14" width="16" hidden="0" customWidth="1"/>
    <x:col min="15" max="15" width="18" hidden="0" customWidth="1"/>
    <x:col min="16" max="16" width="28" hidden="0" customWidth="1"/>
    <x:col min="17" max="17" width="18" hidden="0" customWidth="1"/>
    <x:col min="18" max="18" width="42" hidden="0" customWidth="1"/>
  </x:cols>
  <x:sheetData>
    <x:row r="1" ht="34" customHeight="1">
      <x:c r="A1" s="134" t="str">
        <x:v>Parametri di scenario e commodity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</x:row>
    <x:row r="2" ht="30" customHeight="1">
      <x:c r="A2" s="138" t="str">
        <x:v>Valori DDS in euro reali 2023; parametri di scenario, non previsioni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4" ht="38" customHeight="1">
      <x:c r="A4" s="142" t="str">
        <x:v>Record ID</x:v>
      </x:c>
      <x:c r="B4" s="142" t="str">
        <x:v>Gruppo</x:v>
      </x:c>
      <x:c r="C4" s="142" t="str">
        <x:v>Parametro</x:v>
      </x:c>
      <x:c r="D4" s="142" t="str">
        <x:v>Anno</x:v>
      </x:c>
      <x:c r="E4" s="142" t="str">
        <x:v>Valore</x:v>
      </x:c>
      <x:c r="F4" s="142" t="str">
        <x:v>Unità</x:v>
      </x:c>
      <x:c r="G4" s="142" t="str">
        <x:v>Base prezzi</x:v>
      </x:c>
      <x:c r="H4" s="142" t="str">
        <x:v>Scenari applicabili</x:v>
      </x:c>
      <x:c r="I4" s="142" t="str">
        <x:v>Tipo evidenza</x:v>
      </x:c>
      <x:c r="J4" s="142" t="str">
        <x:v>Uso modello</x:v>
      </x:c>
      <x:c r="K4" s="142" t="str">
        <x:v>Fonte</x:v>
      </x:c>
      <x:c r="L4" s="142" t="str">
        <x:v>File fonte</x:v>
      </x:c>
      <x:c r="M4" s="142" t="str">
        <x:v>Pagina PDF</x:v>
      </x:c>
      <x:c r="N4" s="142" t="str">
        <x:v>Pagina stampata</x:v>
      </x:c>
      <x:c r="O4" s="142" t="str">
        <x:v>Tabella/Figura</x:v>
      </x:c>
      <x:c r="P4" s="142" t="str">
        <x:v>Metodo</x:v>
      </x:c>
      <x:c r="Q4" s="142" t="str">
        <x:v>Affidabilità</x:v>
      </x:c>
      <x:c r="R4" s="142" t="str">
        <x:v>Note</x:v>
      </x:c>
    </x:row>
    <x:row r="5">
      <x:c r="A5" s="83" t="str">
        <x:v>PAR-001</x:v>
      </x:c>
      <x:c r="B5" s="83" t="str">
        <x:v>Commodity and carbon price</x:v>
      </x:c>
      <x:c r="C5" s="83" t="str">
        <x:v>Gas naturale</x:v>
      </x:c>
      <x:c r="D5" s="83" t="n">
        <x:v>2023</x:v>
      </x:c>
      <x:c r="E5" s="143" t="n">
        <x:v>39.2</x:v>
      </x:c>
      <x:c r="F5" s="83" t="str">
        <x:v>EUR/MWh</x:v>
      </x:c>
      <x:c r="G5" s="83" t="str">
        <x:v>Real 2023</x:v>
      </x:c>
      <x:c r="H5" s="83" t="str">
        <x:v>All DDS 2024 scenarios</x:v>
      </x:c>
      <x:c r="I5" s="83" t="str">
        <x:v>Observed annual average</x:v>
      </x:c>
      <x:c r="J5" s="83" t="str">
        <x:v>Input to marginal-cost construction in Phase 3D; recorded now as scenario assumption.</x:v>
      </x:c>
      <x:c r="K5" s="83" t="str">
        <x:v>S09</x:v>
      </x:c>
      <x:c r="L5" s="83" t="str">
        <x:v>Documento_Descrizione_Scenari_2024_8dce2430d44d101.pdf</x:v>
      </x:c>
      <x:c r="M5" s="83" t="n">
        <x:v>28</x:v>
      </x:c>
      <x:c r="N5" s="83" t="n">
        <x:v>26</x:v>
      </x:c>
      <x:c r="O5" s="83" t="str">
        <x:v>Tabella 4</x:v>
      </x:c>
      <x:c r="P5" s="83" t="str">
        <x:v>Direct table extraction</x:v>
      </x:c>
      <x:c r="Q5" s="83" t="str">
        <x:v>A - Direct</x:v>
      </x:c>
      <x:c r="R5" s="83" t="str">
        <x:v>Not a forecast; parameter for scenario evaluation.</x:v>
      </x:c>
    </x:row>
    <x:row r="6">
      <x:c r="A6" s="83" t="str">
        <x:v>PAR-002</x:v>
      </x:c>
      <x:c r="B6" s="83" t="str">
        <x:v>Commodity and carbon price</x:v>
      </x:c>
      <x:c r="C6" s="83" t="str">
        <x:v>Gas naturale</x:v>
      </x:c>
      <x:c r="D6" s="83" t="n">
        <x:v>2030</x:v>
      </x:c>
      <x:c r="E6" s="143" t="n">
        <x:v>32.4</x:v>
      </x:c>
      <x:c r="F6" s="83" t="str">
        <x:v>EUR/MWh</x:v>
      </x:c>
      <x:c r="G6" s="83" t="str">
        <x:v>Real 2023</x:v>
      </x:c>
      <x:c r="H6" s="83" t="str">
        <x:v>All DDS 2024 scenarios</x:v>
      </x:c>
      <x:c r="I6" s="83" t="str">
        <x:v>Scenario assumption</x:v>
      </x:c>
      <x:c r="J6" s="83" t="str">
        <x:v>Input to marginal-cost construction in Phase 3D; recorded now as scenario assumption.</x:v>
      </x:c>
      <x:c r="K6" s="83" t="str">
        <x:v>S09</x:v>
      </x:c>
      <x:c r="L6" s="83" t="str">
        <x:v>Documento_Descrizione_Scenari_2024_8dce2430d44d101.pdf</x:v>
      </x:c>
      <x:c r="M6" s="83" t="n">
        <x:v>28</x:v>
      </x:c>
      <x:c r="N6" s="83" t="n">
        <x:v>26</x:v>
      </x:c>
      <x:c r="O6" s="83" t="str">
        <x:v>Tabella 4</x:v>
      </x:c>
      <x:c r="P6" s="83" t="str">
        <x:v>Direct table extraction</x:v>
      </x:c>
      <x:c r="Q6" s="83" t="str">
        <x:v>A - Direct</x:v>
      </x:c>
      <x:c r="R6" s="83" t="str">
        <x:v>Not a forecast; parameter for scenario evaluation.</x:v>
      </x:c>
    </x:row>
    <x:row r="7">
      <x:c r="A7" s="83" t="str">
        <x:v>PAR-003</x:v>
      </x:c>
      <x:c r="B7" s="83" t="str">
        <x:v>Commodity and carbon price</x:v>
      </x:c>
      <x:c r="C7" s="83" t="str">
        <x:v>Gas naturale</x:v>
      </x:c>
      <x:c r="D7" s="83" t="n">
        <x:v>2035</x:v>
      </x:c>
      <x:c r="E7" s="143" t="n">
        <x:v>29.5</x:v>
      </x:c>
      <x:c r="F7" s="83" t="str">
        <x:v>EUR/MWh</x:v>
      </x:c>
      <x:c r="G7" s="83" t="str">
        <x:v>Real 2023</x:v>
      </x:c>
      <x:c r="H7" s="83" t="str">
        <x:v>All DDS 2024 scenarios</x:v>
      </x:c>
      <x:c r="I7" s="83" t="str">
        <x:v>Scenario assumption</x:v>
      </x:c>
      <x:c r="J7" s="83" t="str">
        <x:v>Input to marginal-cost construction in Phase 3D; recorded now as scenario assumption.</x:v>
      </x:c>
      <x:c r="K7" s="83" t="str">
        <x:v>S09</x:v>
      </x:c>
      <x:c r="L7" s="83" t="str">
        <x:v>Documento_Descrizione_Scenari_2024_8dce2430d44d101.pdf</x:v>
      </x:c>
      <x:c r="M7" s="83" t="n">
        <x:v>28</x:v>
      </x:c>
      <x:c r="N7" s="83" t="n">
        <x:v>26</x:v>
      </x:c>
      <x:c r="O7" s="83" t="str">
        <x:v>Tabella 4</x:v>
      </x:c>
      <x:c r="P7" s="83" t="str">
        <x:v>Direct table extraction</x:v>
      </x:c>
      <x:c r="Q7" s="83" t="str">
        <x:v>A - Direct</x:v>
      </x:c>
      <x:c r="R7" s="83" t="str">
        <x:v>Not a forecast; parameter for scenario evaluation.</x:v>
      </x:c>
    </x:row>
    <x:row r="8">
      <x:c r="A8" s="83" t="str">
        <x:v>PAR-004</x:v>
      </x:c>
      <x:c r="B8" s="83" t="str">
        <x:v>Commodity and carbon price</x:v>
      </x:c>
      <x:c r="C8" s="83" t="str">
        <x:v>Gas naturale</x:v>
      </x:c>
      <x:c r="D8" s="83" t="n">
        <x:v>2040</x:v>
      </x:c>
      <x:c r="E8" s="143" t="n">
        <x:v>36.4</x:v>
      </x:c>
      <x:c r="F8" s="83" t="str">
        <x:v>EUR/MWh</x:v>
      </x:c>
      <x:c r="G8" s="83" t="str">
        <x:v>Real 2023</x:v>
      </x:c>
      <x:c r="H8" s="83" t="str">
        <x:v>All DDS 2024 scenarios</x:v>
      </x:c>
      <x:c r="I8" s="83" t="str">
        <x:v>Scenario assumption</x:v>
      </x:c>
      <x:c r="J8" s="83" t="str">
        <x:v>Input to marginal-cost construction in Phase 3D; recorded now as scenario assumption.</x:v>
      </x:c>
      <x:c r="K8" s="83" t="str">
        <x:v>S09</x:v>
      </x:c>
      <x:c r="L8" s="83" t="str">
        <x:v>Documento_Descrizione_Scenari_2024_8dce2430d44d101.pdf</x:v>
      </x:c>
      <x:c r="M8" s="83" t="n">
        <x:v>28</x:v>
      </x:c>
      <x:c r="N8" s="83" t="n">
        <x:v>26</x:v>
      </x:c>
      <x:c r="O8" s="83" t="str">
        <x:v>Tabella 4</x:v>
      </x:c>
      <x:c r="P8" s="83" t="str">
        <x:v>Direct table extraction</x:v>
      </x:c>
      <x:c r="Q8" s="83" t="str">
        <x:v>A - Direct</x:v>
      </x:c>
      <x:c r="R8" s="83" t="str">
        <x:v>Not a forecast; parameter for scenario evaluation.</x:v>
      </x:c>
    </x:row>
    <x:row r="9">
      <x:c r="A9" s="83" t="str">
        <x:v>PAR-005</x:v>
      </x:c>
      <x:c r="B9" s="83" t="str">
        <x:v>Commodity and carbon price</x:v>
      </x:c>
      <x:c r="C9" s="83" t="str">
        <x:v>Brent</x:v>
      </x:c>
      <x:c r="D9" s="83" t="n">
        <x:v>2023</x:v>
      </x:c>
      <x:c r="E9" s="143" t="n">
        <x:v>45</x:v>
      </x:c>
      <x:c r="F9" s="83" t="str">
        <x:v>EUR/MWh</x:v>
      </x:c>
      <x:c r="G9" s="83" t="str">
        <x:v>Real 2023</x:v>
      </x:c>
      <x:c r="H9" s="83" t="str">
        <x:v>All DDS 2024 scenarios</x:v>
      </x:c>
      <x:c r="I9" s="83" t="str">
        <x:v>Observed annual average</x:v>
      </x:c>
      <x:c r="J9" s="83" t="str">
        <x:v>Input to marginal-cost construction in Phase 3D; recorded now as scenario assumption.</x:v>
      </x:c>
      <x:c r="K9" s="83" t="str">
        <x:v>S09</x:v>
      </x:c>
      <x:c r="L9" s="83" t="str">
        <x:v>Documento_Descrizione_Scenari_2024_8dce2430d44d101.pdf</x:v>
      </x:c>
      <x:c r="M9" s="83" t="n">
        <x:v>28</x:v>
      </x:c>
      <x:c r="N9" s="83" t="n">
        <x:v>26</x:v>
      </x:c>
      <x:c r="O9" s="83" t="str">
        <x:v>Tabella 4</x:v>
      </x:c>
      <x:c r="P9" s="83" t="str">
        <x:v>Direct table extraction</x:v>
      </x:c>
      <x:c r="Q9" s="83" t="str">
        <x:v>A - Direct</x:v>
      </x:c>
      <x:c r="R9" s="83" t="str">
        <x:v>Not a forecast; parameter for scenario evaluation.</x:v>
      </x:c>
    </x:row>
    <x:row r="10">
      <x:c r="A10" s="83" t="str">
        <x:v>PAR-006</x:v>
      </x:c>
      <x:c r="B10" s="83" t="str">
        <x:v>Commodity and carbon price</x:v>
      </x:c>
      <x:c r="C10" s="83" t="str">
        <x:v>Brent</x:v>
      </x:c>
      <x:c r="D10" s="83" t="n">
        <x:v>2030</x:v>
      </x:c>
      <x:c r="E10" s="143" t="n">
        <x:v>50</x:v>
      </x:c>
      <x:c r="F10" s="83" t="str">
        <x:v>EUR/MWh</x:v>
      </x:c>
      <x:c r="G10" s="83" t="str">
        <x:v>Real 2023</x:v>
      </x:c>
      <x:c r="H10" s="83" t="str">
        <x:v>All DDS 2024 scenarios</x:v>
      </x:c>
      <x:c r="I10" s="83" t="str">
        <x:v>Scenario assumption</x:v>
      </x:c>
      <x:c r="J10" s="83" t="str">
        <x:v>Input to marginal-cost construction in Phase 3D; recorded now as scenario assumption.</x:v>
      </x:c>
      <x:c r="K10" s="83" t="str">
        <x:v>S09</x:v>
      </x:c>
      <x:c r="L10" s="83" t="str">
        <x:v>Documento_Descrizione_Scenari_2024_8dce2430d44d101.pdf</x:v>
      </x:c>
      <x:c r="M10" s="83" t="n">
        <x:v>28</x:v>
      </x:c>
      <x:c r="N10" s="83" t="n">
        <x:v>26</x:v>
      </x:c>
      <x:c r="O10" s="83" t="str">
        <x:v>Tabella 4</x:v>
      </x:c>
      <x:c r="P10" s="83" t="str">
        <x:v>Direct table extraction</x:v>
      </x:c>
      <x:c r="Q10" s="83" t="str">
        <x:v>A - Direct</x:v>
      </x:c>
      <x:c r="R10" s="83" t="str">
        <x:v>Not a forecast; parameter for scenario evaluation.</x:v>
      </x:c>
    </x:row>
    <x:row r="11">
      <x:c r="A11" s="83" t="str">
        <x:v>PAR-007</x:v>
      </x:c>
      <x:c r="B11" s="83" t="str">
        <x:v>Commodity and carbon price</x:v>
      </x:c>
      <x:c r="C11" s="83" t="str">
        <x:v>Brent</x:v>
      </x:c>
      <x:c r="D11" s="83" t="n">
        <x:v>2035</x:v>
      </x:c>
      <x:c r="E11" s="143" t="n">
        <x:v>55.4</x:v>
      </x:c>
      <x:c r="F11" s="83" t="str">
        <x:v>EUR/MWh</x:v>
      </x:c>
      <x:c r="G11" s="83" t="str">
        <x:v>Real 2023</x:v>
      </x:c>
      <x:c r="H11" s="83" t="str">
        <x:v>All DDS 2024 scenarios</x:v>
      </x:c>
      <x:c r="I11" s="83" t="str">
        <x:v>Scenario assumption</x:v>
      </x:c>
      <x:c r="J11" s="83" t="str">
        <x:v>Input to marginal-cost construction in Phase 3D; recorded now as scenario assumption.</x:v>
      </x:c>
      <x:c r="K11" s="83" t="str">
        <x:v>S09</x:v>
      </x:c>
      <x:c r="L11" s="83" t="str">
        <x:v>Documento_Descrizione_Scenari_2024_8dce2430d44d101.pdf</x:v>
      </x:c>
      <x:c r="M11" s="83" t="n">
        <x:v>28</x:v>
      </x:c>
      <x:c r="N11" s="83" t="n">
        <x:v>26</x:v>
      </x:c>
      <x:c r="O11" s="83" t="str">
        <x:v>Tabella 4</x:v>
      </x:c>
      <x:c r="P11" s="83" t="str">
        <x:v>Direct table extraction</x:v>
      </x:c>
      <x:c r="Q11" s="83" t="str">
        <x:v>A - Direct</x:v>
      </x:c>
      <x:c r="R11" s="83" t="str">
        <x:v>Not a forecast; parameter for scenario evaluation.</x:v>
      </x:c>
    </x:row>
    <x:row r="12">
      <x:c r="A12" s="83" t="str">
        <x:v>PAR-008</x:v>
      </x:c>
      <x:c r="B12" s="83" t="str">
        <x:v>Commodity and carbon price</x:v>
      </x:c>
      <x:c r="C12" s="83" t="str">
        <x:v>Brent</x:v>
      </x:c>
      <x:c r="D12" s="83" t="n">
        <x:v>2040</x:v>
      </x:c>
      <x:c r="E12" s="143" t="n">
        <x:v>56.9</x:v>
      </x:c>
      <x:c r="F12" s="83" t="str">
        <x:v>EUR/MWh</x:v>
      </x:c>
      <x:c r="G12" s="83" t="str">
        <x:v>Real 2023</x:v>
      </x:c>
      <x:c r="H12" s="83" t="str">
        <x:v>All DDS 2024 scenarios</x:v>
      </x:c>
      <x:c r="I12" s="83" t="str">
        <x:v>Scenario assumption</x:v>
      </x:c>
      <x:c r="J12" s="83" t="str">
        <x:v>Input to marginal-cost construction in Phase 3D; recorded now as scenario assumption.</x:v>
      </x:c>
      <x:c r="K12" s="83" t="str">
        <x:v>S09</x:v>
      </x:c>
      <x:c r="L12" s="83" t="str">
        <x:v>Documento_Descrizione_Scenari_2024_8dce2430d44d101.pdf</x:v>
      </x:c>
      <x:c r="M12" s="83" t="n">
        <x:v>28</x:v>
      </x:c>
      <x:c r="N12" s="83" t="n">
        <x:v>26</x:v>
      </x:c>
      <x:c r="O12" s="83" t="str">
        <x:v>Tabella 4</x:v>
      </x:c>
      <x:c r="P12" s="83" t="str">
        <x:v>Direct table extraction</x:v>
      </x:c>
      <x:c r="Q12" s="83" t="str">
        <x:v>A - Direct</x:v>
      </x:c>
      <x:c r="R12" s="83" t="str">
        <x:v>Not a forecast; parameter for scenario evaluation.</x:v>
      </x:c>
    </x:row>
    <x:row r="13">
      <x:c r="A13" s="83" t="str">
        <x:v>PAR-009</x:v>
      </x:c>
      <x:c r="B13" s="83" t="str">
        <x:v>Commodity and carbon price</x:v>
      </x:c>
      <x:c r="C13" s="83" t="str">
        <x:v>Carbone</x:v>
      </x:c>
      <x:c r="D13" s="83" t="n">
        <x:v>2023</x:v>
      </x:c>
      <x:c r="E13" s="143" t="n">
        <x:v>15.8</x:v>
      </x:c>
      <x:c r="F13" s="83" t="str">
        <x:v>EUR/MWh</x:v>
      </x:c>
      <x:c r="G13" s="83" t="str">
        <x:v>Real 2023</x:v>
      </x:c>
      <x:c r="H13" s="83" t="str">
        <x:v>All DDS 2024 scenarios</x:v>
      </x:c>
      <x:c r="I13" s="83" t="str">
        <x:v>Observed annual average</x:v>
      </x:c>
      <x:c r="J13" s="83" t="str">
        <x:v>Input to marginal-cost construction in Phase 3D; recorded now as scenario assumption.</x:v>
      </x:c>
      <x:c r="K13" s="83" t="str">
        <x:v>S09</x:v>
      </x:c>
      <x:c r="L13" s="83" t="str">
        <x:v>Documento_Descrizione_Scenari_2024_8dce2430d44d101.pdf</x:v>
      </x:c>
      <x:c r="M13" s="83" t="n">
        <x:v>28</x:v>
      </x:c>
      <x:c r="N13" s="83" t="n">
        <x:v>26</x:v>
      </x:c>
      <x:c r="O13" s="83" t="str">
        <x:v>Tabella 4</x:v>
      </x:c>
      <x:c r="P13" s="83" t="str">
        <x:v>Direct table extraction</x:v>
      </x:c>
      <x:c r="Q13" s="83" t="str">
        <x:v>A - Direct</x:v>
      </x:c>
      <x:c r="R13" s="83" t="str">
        <x:v>Not a forecast; parameter for scenario evaluation.</x:v>
      </x:c>
    </x:row>
    <x:row r="14">
      <x:c r="A14" s="83" t="str">
        <x:v>PAR-010</x:v>
      </x:c>
      <x:c r="B14" s="83" t="str">
        <x:v>Commodity and carbon price</x:v>
      </x:c>
      <x:c r="C14" s="83" t="str">
        <x:v>Carbone</x:v>
      </x:c>
      <x:c r="D14" s="83" t="n">
        <x:v>2030</x:v>
      </x:c>
      <x:c r="E14" s="143" t="n">
        <x:v>14.4</x:v>
      </x:c>
      <x:c r="F14" s="83" t="str">
        <x:v>EUR/MWh</x:v>
      </x:c>
      <x:c r="G14" s="83" t="str">
        <x:v>Real 2023</x:v>
      </x:c>
      <x:c r="H14" s="83" t="str">
        <x:v>All DDS 2024 scenarios</x:v>
      </x:c>
      <x:c r="I14" s="83" t="str">
        <x:v>Scenario assumption</x:v>
      </x:c>
      <x:c r="J14" s="83" t="str">
        <x:v>Input to marginal-cost construction in Phase 3D; recorded now as scenario assumption.</x:v>
      </x:c>
      <x:c r="K14" s="83" t="str">
        <x:v>S09</x:v>
      </x:c>
      <x:c r="L14" s="83" t="str">
        <x:v>Documento_Descrizione_Scenari_2024_8dce2430d44d101.pdf</x:v>
      </x:c>
      <x:c r="M14" s="83" t="n">
        <x:v>28</x:v>
      </x:c>
      <x:c r="N14" s="83" t="n">
        <x:v>26</x:v>
      </x:c>
      <x:c r="O14" s="83" t="str">
        <x:v>Tabella 4</x:v>
      </x:c>
      <x:c r="P14" s="83" t="str">
        <x:v>Direct table extraction</x:v>
      </x:c>
      <x:c r="Q14" s="83" t="str">
        <x:v>A - Direct</x:v>
      </x:c>
      <x:c r="R14" s="83" t="str">
        <x:v>Not a forecast; parameter for scenario evaluation.</x:v>
      </x:c>
    </x:row>
    <x:row r="15">
      <x:c r="A15" s="83" t="str">
        <x:v>PAR-011</x:v>
      </x:c>
      <x:c r="B15" s="83" t="str">
        <x:v>Commodity and carbon price</x:v>
      </x:c>
      <x:c r="C15" s="83" t="str">
        <x:v>Carbone</x:v>
      </x:c>
      <x:c r="D15" s="83" t="n">
        <x:v>2035</x:v>
      </x:c>
      <x:c r="E15" s="143" t="n">
        <x:v>13.7</x:v>
      </x:c>
      <x:c r="F15" s="83" t="str">
        <x:v>EUR/MWh</x:v>
      </x:c>
      <x:c r="G15" s="83" t="str">
        <x:v>Real 2023</x:v>
      </x:c>
      <x:c r="H15" s="83" t="str">
        <x:v>All DDS 2024 scenarios</x:v>
      </x:c>
      <x:c r="I15" s="83" t="str">
        <x:v>Scenario assumption</x:v>
      </x:c>
      <x:c r="J15" s="83" t="str">
        <x:v>Input to marginal-cost construction in Phase 3D; recorded now as scenario assumption.</x:v>
      </x:c>
      <x:c r="K15" s="83" t="str">
        <x:v>S09</x:v>
      </x:c>
      <x:c r="L15" s="83" t="str">
        <x:v>Documento_Descrizione_Scenari_2024_8dce2430d44d101.pdf</x:v>
      </x:c>
      <x:c r="M15" s="83" t="n">
        <x:v>28</x:v>
      </x:c>
      <x:c r="N15" s="83" t="n">
        <x:v>26</x:v>
      </x:c>
      <x:c r="O15" s="83" t="str">
        <x:v>Tabella 4</x:v>
      </x:c>
      <x:c r="P15" s="83" t="str">
        <x:v>Direct table extraction</x:v>
      </x:c>
      <x:c r="Q15" s="83" t="str">
        <x:v>A - Direct</x:v>
      </x:c>
      <x:c r="R15" s="83" t="str">
        <x:v>Not a forecast; parameter for scenario evaluation.</x:v>
      </x:c>
    </x:row>
    <x:row r="16">
      <x:c r="A16" s="83" t="str">
        <x:v>PAR-012</x:v>
      </x:c>
      <x:c r="B16" s="83" t="str">
        <x:v>Commodity and carbon price</x:v>
      </x:c>
      <x:c r="C16" s="83" t="str">
        <x:v>Carbone</x:v>
      </x:c>
      <x:c r="D16" s="83" t="n">
        <x:v>2040</x:v>
      </x:c>
      <x:c r="E16" s="143" t="n">
        <x:v>13.7</x:v>
      </x:c>
      <x:c r="F16" s="83" t="str">
        <x:v>EUR/MWh</x:v>
      </x:c>
      <x:c r="G16" s="83" t="str">
        <x:v>Real 2023</x:v>
      </x:c>
      <x:c r="H16" s="83" t="str">
        <x:v>All DDS 2024 scenarios</x:v>
      </x:c>
      <x:c r="I16" s="83" t="str">
        <x:v>Scenario assumption</x:v>
      </x:c>
      <x:c r="J16" s="83" t="str">
        <x:v>Input to marginal-cost construction in Phase 3D; recorded now as scenario assumption.</x:v>
      </x:c>
      <x:c r="K16" s="83" t="str">
        <x:v>S09</x:v>
      </x:c>
      <x:c r="L16" s="83" t="str">
        <x:v>Documento_Descrizione_Scenari_2024_8dce2430d44d101.pdf</x:v>
      </x:c>
      <x:c r="M16" s="83" t="n">
        <x:v>28</x:v>
      </x:c>
      <x:c r="N16" s="83" t="n">
        <x:v>26</x:v>
      </x:c>
      <x:c r="O16" s="83" t="str">
        <x:v>Tabella 4</x:v>
      </x:c>
      <x:c r="P16" s="83" t="str">
        <x:v>Direct table extraction</x:v>
      </x:c>
      <x:c r="Q16" s="83" t="str">
        <x:v>A - Direct</x:v>
      </x:c>
      <x:c r="R16" s="83" t="str">
        <x:v>Not a forecast; parameter for scenario evaluation.</x:v>
      </x:c>
    </x:row>
    <x:row r="17">
      <x:c r="A17" s="83" t="str">
        <x:v>PAR-013</x:v>
      </x:c>
      <x:c r="B17" s="83" t="str">
        <x:v>Commodity and carbon price</x:v>
      </x:c>
      <x:c r="C17" s="83" t="str">
        <x:v>CO2</x:v>
      </x:c>
      <x:c r="D17" s="83" t="n">
        <x:v>2023</x:v>
      </x:c>
      <x:c r="E17" s="143" t="n">
        <x:v>92</x:v>
      </x:c>
      <x:c r="F17" s="83" t="str">
        <x:v>EUR/tCO2</x:v>
      </x:c>
      <x:c r="G17" s="83" t="str">
        <x:v>Real 2023</x:v>
      </x:c>
      <x:c r="H17" s="83" t="str">
        <x:v>All DDS 2024 scenarios</x:v>
      </x:c>
      <x:c r="I17" s="83" t="str">
        <x:v>Observed annual average</x:v>
      </x:c>
      <x:c r="J17" s="83" t="str">
        <x:v>Input to marginal-cost construction in Phase 3D; recorded now as scenario assumption.</x:v>
      </x:c>
      <x:c r="K17" s="83" t="str">
        <x:v>S09</x:v>
      </x:c>
      <x:c r="L17" s="83" t="str">
        <x:v>Documento_Descrizione_Scenari_2024_8dce2430d44d101.pdf</x:v>
      </x:c>
      <x:c r="M17" s="83" t="n">
        <x:v>28</x:v>
      </x:c>
      <x:c r="N17" s="83" t="n">
        <x:v>26</x:v>
      </x:c>
      <x:c r="O17" s="83" t="str">
        <x:v>Tabella 4</x:v>
      </x:c>
      <x:c r="P17" s="83" t="str">
        <x:v>Direct table extraction</x:v>
      </x:c>
      <x:c r="Q17" s="83" t="str">
        <x:v>A - Direct</x:v>
      </x:c>
      <x:c r="R17" s="83" t="str">
        <x:v>Not a forecast; parameter for scenario evaluation.</x:v>
      </x:c>
    </x:row>
    <x:row r="18">
      <x:c r="A18" s="83" t="str">
        <x:v>PAR-014</x:v>
      </x:c>
      <x:c r="B18" s="83" t="str">
        <x:v>Commodity and carbon price</x:v>
      </x:c>
      <x:c r="C18" s="83" t="str">
        <x:v>CO2</x:v>
      </x:c>
      <x:c r="D18" s="83" t="n">
        <x:v>2030</x:v>
      </x:c>
      <x:c r="E18" s="143" t="n">
        <x:v>95</x:v>
      </x:c>
      <x:c r="F18" s="83" t="str">
        <x:v>EUR/tCO2</x:v>
      </x:c>
      <x:c r="G18" s="83" t="str">
        <x:v>Real 2023</x:v>
      </x:c>
      <x:c r="H18" s="83" t="str">
        <x:v>All DDS 2024 scenarios</x:v>
      </x:c>
      <x:c r="I18" s="83" t="str">
        <x:v>Scenario assumption</x:v>
      </x:c>
      <x:c r="J18" s="83" t="str">
        <x:v>Input to marginal-cost construction in Phase 3D; recorded now as scenario assumption.</x:v>
      </x:c>
      <x:c r="K18" s="83" t="str">
        <x:v>S09</x:v>
      </x:c>
      <x:c r="L18" s="83" t="str">
        <x:v>Documento_Descrizione_Scenari_2024_8dce2430d44d101.pdf</x:v>
      </x:c>
      <x:c r="M18" s="83" t="n">
        <x:v>28</x:v>
      </x:c>
      <x:c r="N18" s="83" t="n">
        <x:v>26</x:v>
      </x:c>
      <x:c r="O18" s="83" t="str">
        <x:v>Tabella 4</x:v>
      </x:c>
      <x:c r="P18" s="83" t="str">
        <x:v>Direct table extraction</x:v>
      </x:c>
      <x:c r="Q18" s="83" t="str">
        <x:v>A - Direct</x:v>
      </x:c>
      <x:c r="R18" s="83" t="str">
        <x:v>Not a forecast; parameter for scenario evaluation.</x:v>
      </x:c>
    </x:row>
    <x:row r="19">
      <x:c r="A19" s="83" t="str">
        <x:v>PAR-015</x:v>
      </x:c>
      <x:c r="B19" s="83" t="str">
        <x:v>Commodity and carbon price</x:v>
      </x:c>
      <x:c r="C19" s="83" t="str">
        <x:v>CO2</x:v>
      </x:c>
      <x:c r="D19" s="83" t="n">
        <x:v>2035</x:v>
      </x:c>
      <x:c r="E19" s="143" t="n">
        <x:v>100</x:v>
      </x:c>
      <x:c r="F19" s="83" t="str">
        <x:v>EUR/tCO2</x:v>
      </x:c>
      <x:c r="G19" s="83" t="str">
        <x:v>Real 2023</x:v>
      </x:c>
      <x:c r="H19" s="83" t="str">
        <x:v>All DDS 2024 scenarios</x:v>
      </x:c>
      <x:c r="I19" s="83" t="str">
        <x:v>Scenario assumption</x:v>
      </x:c>
      <x:c r="J19" s="83" t="str">
        <x:v>Input to marginal-cost construction in Phase 3D; recorded now as scenario assumption.</x:v>
      </x:c>
      <x:c r="K19" s="83" t="str">
        <x:v>S09</x:v>
      </x:c>
      <x:c r="L19" s="83" t="str">
        <x:v>Documento_Descrizione_Scenari_2024_8dce2430d44d101.pdf</x:v>
      </x:c>
      <x:c r="M19" s="83" t="n">
        <x:v>28</x:v>
      </x:c>
      <x:c r="N19" s="83" t="n">
        <x:v>26</x:v>
      </x:c>
      <x:c r="O19" s="83" t="str">
        <x:v>Tabella 4</x:v>
      </x:c>
      <x:c r="P19" s="83" t="str">
        <x:v>Direct table extraction</x:v>
      </x:c>
      <x:c r="Q19" s="83" t="str">
        <x:v>A - Direct</x:v>
      </x:c>
      <x:c r="R19" s="83" t="str">
        <x:v>Not a forecast; parameter for scenario evaluation.</x:v>
      </x:c>
    </x:row>
    <x:row r="20">
      <x:c r="A20" s="83" t="str">
        <x:v>PAR-016</x:v>
      </x:c>
      <x:c r="B20" s="83" t="str">
        <x:v>Commodity and carbon price</x:v>
      </x:c>
      <x:c r="C20" s="83" t="str">
        <x:v>CO2</x:v>
      </x:c>
      <x:c r="D20" s="83" t="n">
        <x:v>2040</x:v>
      </x:c>
      <x:c r="E20" s="143" t="n">
        <x:v>100</x:v>
      </x:c>
      <x:c r="F20" s="83" t="str">
        <x:v>EUR/tCO2</x:v>
      </x:c>
      <x:c r="G20" s="83" t="str">
        <x:v>Real 2023</x:v>
      </x:c>
      <x:c r="H20" s="83" t="str">
        <x:v>All DDS 2024 scenarios</x:v>
      </x:c>
      <x:c r="I20" s="83" t="str">
        <x:v>Scenario assumption</x:v>
      </x:c>
      <x:c r="J20" s="83" t="str">
        <x:v>Input to marginal-cost construction in Phase 3D; recorded now as scenario assumption.</x:v>
      </x:c>
      <x:c r="K20" s="83" t="str">
        <x:v>S09</x:v>
      </x:c>
      <x:c r="L20" s="83" t="str">
        <x:v>Documento_Descrizione_Scenari_2024_8dce2430d44d101.pdf</x:v>
      </x:c>
      <x:c r="M20" s="83" t="n">
        <x:v>28</x:v>
      </x:c>
      <x:c r="N20" s="83" t="n">
        <x:v>26</x:v>
      </x:c>
      <x:c r="O20" s="83" t="str">
        <x:v>Tabella 4</x:v>
      </x:c>
      <x:c r="P20" s="83" t="str">
        <x:v>Direct table extraction</x:v>
      </x:c>
      <x:c r="Q20" s="83" t="str">
        <x:v>A - Direct</x:v>
      </x:c>
      <x:c r="R20" s="83" t="str">
        <x:v>Not a forecast; parameter for scenario evaluation.</x:v>
      </x:c>
    </x:row>
  </x:sheetData>
  <x:mergeCells>
    <x:mergeCell ref="A1:R1"/>
    <x:mergeCell ref="A2:R2"/>
  </x:mergeCells>
  <x:conditionalFormatting sqref="Q5:Q20">
    <x:cfRule type="expression" dxfId="29" priority="1">
      <x:formula>LEFT(Q5,1)="A"</x:formula>
    </x:cfRule>
    <x:cfRule type="expression" dxfId="30" priority="2">
      <x:formula>OR(LEFT(Q5,1)="D",LEFT(Q5,1)="E")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a666b37c844f6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24" hidden="0" customWidth="1"/>
    <x:col min="6" max="6" width="30" hidden="0" customWidth="1"/>
    <x:col min="7" max="7" width="32" hidden="0" customWidth="1"/>
    <x:col min="8" max="8" width="12" hidden="0" customWidth="1"/>
    <x:col min="9" max="9" width="14" hidden="0" customWidth="1"/>
    <x:col min="10" max="10" width="12" hidden="0" customWidth="1"/>
    <x:col min="11" max="11" width="10" hidden="0" customWidth="1"/>
    <x:col min="12" max="12" width="14" hidden="0" customWidth="1"/>
    <x:col min="13" max="13" width="28" hidden="0" customWidth="1"/>
    <x:col min="14" max="14" width="32" hidden="0" customWidth="1"/>
    <x:col min="15" max="15" width="14" hidden="0" customWidth="1"/>
    <x:col min="16" max="16" width="44" hidden="0" customWidth="1"/>
    <x:col min="17" max="17" width="12" hidden="0" customWidth="1"/>
    <x:col min="18" max="18" width="16" hidden="0" customWidth="1"/>
    <x:col min="19" max="19" width="22" hidden="0" customWidth="1"/>
    <x:col min="20" max="20" width="38" hidden="0" customWidth="1"/>
    <x:col min="21" max="21" width="18" hidden="0" customWidth="1"/>
    <x:col min="22" max="22" width="48" hidden="0" customWidth="1"/>
    <x:col min="23" max="23" width="50" hidden="0" customWidth="1"/>
  </x:cols>
  <x:sheetData>
    <x:row r="1" ht="34" customHeight="1">
      <x:c r="A1" s="134" t="str">
        <x:v>Capacità nazionale di generazione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  <x:c r="U1" s="134"/>
      <x:c r="V1" s="134"/>
      <x:c r="W1" s="134"/>
    </x:row>
    <x:row r="2" ht="30" customHeight="1">
      <x:c r="A2" s="138" t="str">
        <x:v>88 righe; 2040 DDS e configurazioni/benchmark 2050 PNIEC–Terna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Gruppo tecnologia</x:v>
      </x:c>
      <x:c r="F4" s="142" t="str">
        <x:v>Tecnologia</x:v>
      </x:c>
      <x:c r="G4" s="142" t="str">
        <x:v>Sottotecnologia</x:v>
      </x:c>
      <x:c r="H4" s="142" t="str">
        <x:v>Min</x:v>
      </x:c>
      <x:c r="I4" s="142" t="str">
        <x:v>Valore</x:v>
      </x:c>
      <x:c r="J4" s="142" t="str">
        <x:v>Max</x:v>
      </x:c>
      <x:c r="K4" s="142" t="str">
        <x:v>Unità</x:v>
      </x:c>
      <x:c r="L4" s="142" t="str">
        <x:v>Geografia</x:v>
      </x:c>
      <x:c r="M4" s="142" t="str">
        <x:v>Perimetro</x:v>
      </x:c>
      <x:c r="N4" s="142" t="str">
        <x:v>Tipo evidenza</x:v>
      </x:c>
      <x:c r="O4" s="142" t="str">
        <x:v>Fonte</x:v>
      </x:c>
      <x:c r="P4" s="142" t="str">
        <x:v>File fonte</x:v>
      </x:c>
      <x:c r="Q4" s="142" t="str">
        <x:v>Pagina PDF</x:v>
      </x:c>
      <x:c r="R4" s="142" t="str">
        <x:v>Pagina stampata</x:v>
      </x:c>
      <x:c r="S4" s="142" t="str">
        <x:v>Tabella/Figura</x:v>
      </x:c>
      <x:c r="T4" s="142" t="str">
        <x:v>Metodo</x:v>
      </x:c>
      <x:c r="U4" s="142" t="str">
        <x:v>Affidabilità</x:v>
      </x:c>
      <x:c r="V4" s="142" t="str">
        <x:v>Uso modello</x:v>
      </x:c>
      <x:c r="W4" s="142" t="str">
        <x:v>Note</x:v>
      </x:c>
    </x:row>
    <x:row r="5">
      <x:c r="A5" s="83" t="str">
        <x:v>CAP-0001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Renewables</x:v>
      </x:c>
      <x:c r="F5" s="83" t="str">
        <x:v>Totale FER installata</x:v>
      </x:c>
      <x:c r="G5" s="83" t="str">
        <x:v>All renewable technologies</x:v>
      </x:c>
      <x:c r="H5" s="143"/>
      <x:c r="I5" s="143" t="n">
        <x:v>70</x:v>
      </x:c>
      <x:c r="J5" s="143"/>
      <x:c r="K5" s="83" t="str">
        <x:v>GW</x:v>
      </x:c>
      <x:c r="L5" s="83" t="str">
        <x:v>Italia</x:v>
      </x:c>
      <x:c r="M5" s="83" t="str">
        <x:v>Installed capacity</x:v>
      </x:c>
      <x:c r="N5" s="83" t="str">
        <x:v>Dato osservato storico</x:v>
      </x:c>
      <x:c r="O5" s="83" t="str">
        <x:v>S09</x:v>
      </x:c>
      <x:c r="P5" s="83" t="str">
        <x:v>Documento_Descrizione_Scenari_2024_8dce2430d44d101.pdf</x:v>
      </x:c>
      <x:c r="Q5" s="83" t="n">
        <x:v>14</x:v>
      </x:c>
      <x:c r="R5" s="83" t="str">
        <x:v>12-13</x:v>
      </x:c>
      <x:c r="S5" s="83" t="str">
        <x:v>Tabella 1</x:v>
      </x:c>
      <x:c r="T5" s="83" t="str">
        <x:v>Direct table extraction</x:v>
      </x:c>
      <x:c r="U5" s="83" t="str">
        <x:v>A - Direct</x:v>
      </x:c>
      <x:c r="V5" s="83" t="str">
        <x:v>Capacity-fixed input after technology/geography reconciliation.</x:v>
      </x:c>
      <x:c r="W5" s="83" t="str">
        <x:v>Includes hydro and other renewable capacity; rounded to whole GW.</x:v>
      </x:c>
    </x:row>
    <x:row r="6">
      <x:c r="A6" s="83" t="str">
        <x:v>CAP-0002</x:v>
      </x:c>
      <x:c r="B6" s="83" t="str">
        <x:v>HIST_2023</x:v>
      </x:c>
      <x:c r="C6" s="83" t="n">
        <x:v>2023</x:v>
      </x:c>
      <x:c r="D6" s="83" t="str">
        <x:v>Storico 2023</x:v>
      </x:c>
      <x:c r="E6" s="83" t="str">
        <x:v>Solar</x:v>
      </x:c>
      <x:c r="F6" s="83" t="str">
        <x:v>Solare</x:v>
      </x:c>
      <x:c r="G6" s="83" t="str">
        <x:v>Total solar</x:v>
      </x:c>
      <x:c r="H6" s="143"/>
      <x:c r="I6" s="143" t="n">
        <x:v>30.3</x:v>
      </x:c>
      <x:c r="J6" s="143"/>
      <x:c r="K6" s="83" t="str">
        <x:v>GW</x:v>
      </x:c>
      <x:c r="L6" s="83" t="str">
        <x:v>Italia</x:v>
      </x:c>
      <x:c r="M6" s="83" t="str">
        <x:v>Installed capacity</x:v>
      </x:c>
      <x:c r="N6" s="83" t="str">
        <x:v>Dato osservato storico</x:v>
      </x:c>
      <x:c r="O6" s="83" t="str">
        <x:v>S09</x:v>
      </x:c>
      <x:c r="P6" s="83" t="str">
        <x:v>Documento_Descrizione_Scenari_2024_8dce2430d44d101.pdf</x:v>
      </x:c>
      <x:c r="Q6" s="83" t="n">
        <x:v>59</x:v>
      </x:c>
      <x:c r="R6" s="83" t="str">
        <x:v>56-57</x:v>
      </x:c>
      <x:c r="S6" s="83" t="str">
        <x:v>Tabella 13</x:v>
      </x:c>
      <x:c r="T6" s="83" t="str">
        <x:v>Direct table extraction</x:v>
      </x:c>
      <x:c r="U6" s="83" t="str">
        <x:v>A - Direct</x:v>
      </x:c>
      <x:c r="V6" s="83" t="str">
        <x:v>Capacity-fixed input after technology/geography reconciliation.</x:v>
      </x:c>
      <x:c r="W6" s="83" t="str"/>
    </x:row>
    <x:row r="7">
      <x:c r="A7" s="83" t="str">
        <x:v>CAP-0003</x:v>
      </x:c>
      <x:c r="B7" s="83" t="str">
        <x:v>HIST_2023</x:v>
      </x:c>
      <x:c r="C7" s="83" t="n">
        <x:v>2023</x:v>
      </x:c>
      <x:c r="D7" s="83" t="str">
        <x:v>Storico 2023</x:v>
      </x:c>
      <x:c r="E7" s="83" t="str">
        <x:v>Wind</x:v>
      </x:c>
      <x:c r="F7" s="83" t="str">
        <x:v>Eolico onshore</x:v>
      </x:c>
      <x:c r="G7" s="83" t="str">
        <x:v>Onshore</x:v>
      </x:c>
      <x:c r="H7" s="143"/>
      <x:c r="I7" s="143" t="n">
        <x:v>12.3</x:v>
      </x:c>
      <x:c r="J7" s="143"/>
      <x:c r="K7" s="83" t="str">
        <x:v>GW</x:v>
      </x:c>
      <x:c r="L7" s="83" t="str">
        <x:v>Italia</x:v>
      </x:c>
      <x:c r="M7" s="83" t="str">
        <x:v>Installed capacity</x:v>
      </x:c>
      <x:c r="N7" s="83" t="str">
        <x:v>Dato osservato storico</x:v>
      </x:c>
      <x:c r="O7" s="83" t="str">
        <x:v>S09</x:v>
      </x:c>
      <x:c r="P7" s="83" t="str">
        <x:v>Documento_Descrizione_Scenari_2024_8dce2430d44d101.pdf</x:v>
      </x:c>
      <x:c r="Q7" s="83" t="n">
        <x:v>59</x:v>
      </x:c>
      <x:c r="R7" s="83" t="str">
        <x:v>56-57</x:v>
      </x:c>
      <x:c r="S7" s="83" t="str">
        <x:v>Tabella 13</x:v>
      </x:c>
      <x:c r="T7" s="83" t="str">
        <x:v>Direct table extraction</x:v>
      </x:c>
      <x:c r="U7" s="83" t="str">
        <x:v>A - Direct</x:v>
      </x:c>
      <x:c r="V7" s="83" t="str">
        <x:v>Capacity-fixed input after technology/geography reconciliation.</x:v>
      </x:c>
      <x:c r="W7" s="83" t="str"/>
    </x:row>
    <x:row r="8">
      <x:c r="A8" s="83" t="str">
        <x:v>CAP-0004</x:v>
      </x:c>
      <x:c r="B8" s="83" t="str">
        <x:v>HIST_2023</x:v>
      </x:c>
      <x:c r="C8" s="83" t="n">
        <x:v>2023</x:v>
      </x:c>
      <x:c r="D8" s="83" t="str">
        <x:v>Storico 2023</x:v>
      </x:c>
      <x:c r="E8" s="83" t="str">
        <x:v>Wind</x:v>
      </x:c>
      <x:c r="F8" s="83" t="str">
        <x:v>Eolico offshore</x:v>
      </x:c>
      <x:c r="G8" s="83" t="str">
        <x:v>Offshore</x:v>
      </x:c>
      <x:c r="H8" s="143"/>
      <x:c r="I8" s="143" t="n">
        <x:v>0</x:v>
      </x:c>
      <x:c r="J8" s="143"/>
      <x:c r="K8" s="83" t="str">
        <x:v>GW</x:v>
      </x:c>
      <x:c r="L8" s="83" t="str">
        <x:v>Italia</x:v>
      </x:c>
      <x:c r="M8" s="83" t="str">
        <x:v>Installed capacity</x:v>
      </x:c>
      <x:c r="N8" s="83" t="str">
        <x:v>Dato osservato storico</x:v>
      </x:c>
      <x:c r="O8" s="83" t="str">
        <x:v>S09</x:v>
      </x:c>
      <x:c r="P8" s="83" t="str">
        <x:v>Documento_Descrizione_Scenari_2024_8dce2430d44d101.pdf</x:v>
      </x:c>
      <x:c r="Q8" s="83" t="n">
        <x:v>59</x:v>
      </x:c>
      <x:c r="R8" s="83" t="str">
        <x:v>56-57</x:v>
      </x:c>
      <x:c r="S8" s="83" t="str">
        <x:v>Tabella 13</x:v>
      </x:c>
      <x:c r="T8" s="83" t="str">
        <x:v>Direct table extraction</x:v>
      </x:c>
      <x:c r="U8" s="83" t="str">
        <x:v>A - Direct</x:v>
      </x:c>
      <x:c r="V8" s="83" t="str">
        <x:v>Capacity-fixed input after technology/geography reconciliation.</x:v>
      </x:c>
      <x:c r="W8" s="83" t="str">
        <x:v>2023 is zero/not present.</x:v>
      </x:c>
    </x:row>
    <x:row r="9">
      <x:c r="A9" s="83" t="str">
        <x:v>CAP-0005</x:v>
      </x:c>
      <x:c r="B9" s="83" t="str">
        <x:v>HIST_2023</x:v>
      </x:c>
      <x:c r="C9" s="83" t="n">
        <x:v>2023</x:v>
      </x:c>
      <x:c r="D9" s="83" t="str">
        <x:v>Storico 2023</x:v>
      </x:c>
      <x:c r="E9" s="83" t="str">
        <x:v>Variable renewables</x:v>
      </x:c>
      <x:c r="F9" s="83" t="str">
        <x:v>Solare + eolico</x:v>
      </x:c>
      <x:c r="G9" s="83" t="str">
        <x:v>Solar + onshore + offshore</x:v>
      </x:c>
      <x:c r="H9" s="143"/>
      <x:c r="I9" s="143" t="n">
        <x:v>42.6</x:v>
      </x:c>
      <x:c r="J9" s="143"/>
      <x:c r="K9" s="83" t="str">
        <x:v>GW</x:v>
      </x:c>
      <x:c r="L9" s="83" t="str">
        <x:v>Italia</x:v>
      </x:c>
      <x:c r="M9" s="83" t="str">
        <x:v>Installed capacity</x:v>
      </x:c>
      <x:c r="N9" s="83" t="str">
        <x:v>Dato osservato storico</x:v>
      </x:c>
      <x:c r="O9" s="83" t="str">
        <x:v>S09</x:v>
      </x:c>
      <x:c r="P9" s="83" t="str">
        <x:v>Documento_Descrizione_Scenari_2024_8dce2430d44d101.pdf</x:v>
      </x:c>
      <x:c r="Q9" s="83" t="n">
        <x:v>59</x:v>
      </x:c>
      <x:c r="R9" s="83" t="str">
        <x:v>56-57</x:v>
      </x:c>
      <x:c r="S9" s="83" t="str">
        <x:v>Tabella 13</x:v>
      </x:c>
      <x:c r="T9" s="83" t="str">
        <x:v>Direct table extraction</x:v>
      </x:c>
      <x:c r="U9" s="83" t="str">
        <x:v>A - Direct</x:v>
      </x:c>
      <x:c r="V9" s="83" t="str">
        <x:v>Capacity-fixed input after technology/geography reconciliation.</x:v>
      </x:c>
      <x:c r="W9" s="83" t="str">
        <x:v>Despite table title 'Capacità FER', the listed total covers solar and wind only.</x:v>
      </x:c>
    </x:row>
    <x:row r="10">
      <x:c r="A10" s="83" t="str">
        <x:v>CAP-0006</x:v>
      </x:c>
      <x:c r="B10" s="83" t="str">
        <x:v>PNIEC_POLICY_2030</x:v>
      </x:c>
      <x:c r="C10" s="83" t="n">
        <x:v>2030</x:v>
      </x:c>
      <x:c r="D10" s="83" t="str">
        <x:v>PNIEC Policy 2030</x:v>
      </x:c>
      <x:c r="E10" s="83" t="str">
        <x:v>Renewables</x:v>
      </x:c>
      <x:c r="F10" s="83" t="str">
        <x:v>Totale FER installata</x:v>
      </x:c>
      <x:c r="G10" s="83" t="str">
        <x:v>All renewable technologies</x:v>
      </x:c>
      <x:c r="H10" s="143"/>
      <x:c r="I10" s="143" t="n">
        <x:v>130</x:v>
      </x:c>
      <x:c r="J10" s="143"/>
      <x:c r="K10" s="83" t="str">
        <x:v>GW</x:v>
      </x:c>
      <x:c r="L10" s="83" t="str">
        <x:v>Italia</x:v>
      </x:c>
      <x:c r="M10" s="83" t="str">
        <x:v>Installed capacity</x:v>
      </x:c>
      <x:c r="N10" s="83" t="str">
        <x:v>Assunzione di scenario</x:v>
      </x:c>
      <x:c r="O10" s="83" t="str">
        <x:v>S09</x:v>
      </x:c>
      <x:c r="P10" s="83" t="str">
        <x:v>Documento_Descrizione_Scenari_2024_8dce2430d44d101.pdf</x:v>
      </x:c>
      <x:c r="Q10" s="83" t="n">
        <x:v>14</x:v>
      </x:c>
      <x:c r="R10" s="83" t="str">
        <x:v>12-13</x:v>
      </x:c>
      <x:c r="S10" s="83" t="str">
        <x:v>Tabella 1</x:v>
      </x:c>
      <x:c r="T10" s="83" t="str">
        <x:v>Direct table extraction</x:v>
      </x:c>
      <x:c r="U10" s="83" t="str">
        <x:v>A - Direct</x:v>
      </x:c>
      <x:c r="V10" s="83" t="str">
        <x:v>Capacity-fixed input after technology/geography reconciliation.</x:v>
      </x:c>
      <x:c r="W10" s="83" t="str">
        <x:v>Includes hydro and other renewable capacity; rounded to whole GW.</x:v>
      </x:c>
    </x:row>
    <x:row r="11">
      <x:c r="A11" s="83" t="str">
        <x:v>CAP-0007</x:v>
      </x:c>
      <x:c r="B11" s="83" t="str">
        <x:v>PNIEC_POLICY_2030</x:v>
      </x:c>
      <x:c r="C11" s="83" t="n">
        <x:v>2030</x:v>
      </x:c>
      <x:c r="D11" s="83" t="str">
        <x:v>PNIEC Policy 2030</x:v>
      </x:c>
      <x:c r="E11" s="83" t="str">
        <x:v>Solar</x:v>
      </x:c>
      <x:c r="F11" s="83" t="str">
        <x:v>Solare</x:v>
      </x:c>
      <x:c r="G11" s="83" t="str">
        <x:v>Total solar</x:v>
      </x:c>
      <x:c r="H11" s="143"/>
      <x:c r="I11" s="143" t="n">
        <x:v>79.3</x:v>
      </x:c>
      <x:c r="J11" s="143"/>
      <x:c r="K11" s="83" t="str">
        <x:v>GW</x:v>
      </x:c>
      <x:c r="L11" s="83" t="str">
        <x:v>Italia</x:v>
      </x:c>
      <x:c r="M11" s="83" t="str">
        <x:v>Installed capacity</x:v>
      </x:c>
      <x:c r="N11" s="83" t="str">
        <x:v>Assunzione di scenario</x:v>
      </x:c>
      <x:c r="O11" s="83" t="str">
        <x:v>S09</x:v>
      </x:c>
      <x:c r="P11" s="83" t="str">
        <x:v>Documento_Descrizione_Scenari_2024_8dce2430d44d101.pdf</x:v>
      </x:c>
      <x:c r="Q11" s="83" t="n">
        <x:v>59</x:v>
      </x:c>
      <x:c r="R11" s="83" t="str">
        <x:v>56-57</x:v>
      </x:c>
      <x:c r="S11" s="83" t="str">
        <x:v>Tabella 13</x:v>
      </x:c>
      <x:c r="T11" s="83" t="str">
        <x:v>Direct table extraction</x:v>
      </x:c>
      <x:c r="U11" s="83" t="str">
        <x:v>A - Direct</x:v>
      </x:c>
      <x:c r="V11" s="83" t="str">
        <x:v>Capacity-fixed input after technology/geography reconciliation.</x:v>
      </x:c>
      <x:c r="W11" s="83" t="str"/>
    </x:row>
    <x:row r="12">
      <x:c r="A12" s="83" t="str">
        <x:v>CAP-0008</x:v>
      </x:c>
      <x:c r="B12" s="83" t="str">
        <x:v>PNIEC_POLICY_2030</x:v>
      </x:c>
      <x:c r="C12" s="83" t="n">
        <x:v>2030</x:v>
      </x:c>
      <x:c r="D12" s="83" t="str">
        <x:v>PNIEC Policy 2030</x:v>
      </x:c>
      <x:c r="E12" s="83" t="str">
        <x:v>Wind</x:v>
      </x:c>
      <x:c r="F12" s="83" t="str">
        <x:v>Eolico onshore</x:v>
      </x:c>
      <x:c r="G12" s="83" t="str">
        <x:v>Onshore</x:v>
      </x:c>
      <x:c r="H12" s="143"/>
      <x:c r="I12" s="143" t="n">
        <x:v>26</x:v>
      </x:c>
      <x:c r="J12" s="143"/>
      <x:c r="K12" s="83" t="str">
        <x:v>GW</x:v>
      </x:c>
      <x:c r="L12" s="83" t="str">
        <x:v>Italia</x:v>
      </x:c>
      <x:c r="M12" s="83" t="str">
        <x:v>Installed capacity</x:v>
      </x:c>
      <x:c r="N12" s="83" t="str">
        <x:v>Assunzione di scenario</x:v>
      </x:c>
      <x:c r="O12" s="83" t="str">
        <x:v>S09</x:v>
      </x:c>
      <x:c r="P12" s="83" t="str">
        <x:v>Documento_Descrizione_Scenari_2024_8dce2430d44d101.pdf</x:v>
      </x:c>
      <x:c r="Q12" s="83" t="n">
        <x:v>59</x:v>
      </x:c>
      <x:c r="R12" s="83" t="str">
        <x:v>56-57</x:v>
      </x:c>
      <x:c r="S12" s="83" t="str">
        <x:v>Tabella 13</x:v>
      </x:c>
      <x:c r="T12" s="83" t="str">
        <x:v>Direct table extraction</x:v>
      </x:c>
      <x:c r="U12" s="83" t="str">
        <x:v>A - Direct</x:v>
      </x:c>
      <x:c r="V12" s="83" t="str">
        <x:v>Capacity-fixed input after technology/geography reconciliation.</x:v>
      </x:c>
      <x:c r="W12" s="83" t="str"/>
    </x:row>
    <x:row r="13">
      <x:c r="A13" s="83" t="str">
        <x:v>CAP-0009</x:v>
      </x:c>
      <x:c r="B13" s="83" t="str">
        <x:v>PNIEC_POLICY_2030</x:v>
      </x:c>
      <x:c r="C13" s="83" t="n">
        <x:v>2030</x:v>
      </x:c>
      <x:c r="D13" s="83" t="str">
        <x:v>PNIEC Policy 2030</x:v>
      </x:c>
      <x:c r="E13" s="83" t="str">
        <x:v>Wind</x:v>
      </x:c>
      <x:c r="F13" s="83" t="str">
        <x:v>Eolico offshore</x:v>
      </x:c>
      <x:c r="G13" s="83" t="str">
        <x:v>Offshore</x:v>
      </x:c>
      <x:c r="H13" s="143"/>
      <x:c r="I13" s="143" t="n">
        <x:v>2.1</x:v>
      </x:c>
      <x:c r="J13" s="143"/>
      <x:c r="K13" s="83" t="str">
        <x:v>GW</x:v>
      </x:c>
      <x:c r="L13" s="83" t="str">
        <x:v>Italia</x:v>
      </x:c>
      <x:c r="M13" s="83" t="str">
        <x:v>Installed capacity</x:v>
      </x:c>
      <x:c r="N13" s="83" t="str">
        <x:v>Assunzione di scenario</x:v>
      </x:c>
      <x:c r="O13" s="83" t="str">
        <x:v>S09</x:v>
      </x:c>
      <x:c r="P13" s="83" t="str">
        <x:v>Documento_Descrizione_Scenari_2024_8dce2430d44d101.pdf</x:v>
      </x:c>
      <x:c r="Q13" s="83" t="n">
        <x:v>59</x:v>
      </x:c>
      <x:c r="R13" s="83" t="str">
        <x:v>56-57</x:v>
      </x:c>
      <x:c r="S13" s="83" t="str">
        <x:v>Tabella 13</x:v>
      </x:c>
      <x:c r="T13" s="83" t="str">
        <x:v>Direct table extraction</x:v>
      </x:c>
      <x:c r="U13" s="83" t="str">
        <x:v>A - Direct</x:v>
      </x:c>
      <x:c r="V13" s="83" t="str">
        <x:v>Capacity-fixed input after technology/geography reconciliation.</x:v>
      </x:c>
      <x:c r="W13" s="83" t="str">
        <x:v>2023 is zero/not present.</x:v>
      </x:c>
    </x:row>
    <x:row r="14">
      <x:c r="A14" s="83" t="str">
        <x:v>CAP-0010</x:v>
      </x:c>
      <x:c r="B14" s="83" t="str">
        <x:v>PNIEC_POLICY_2030</x:v>
      </x:c>
      <x:c r="C14" s="83" t="n">
        <x:v>2030</x:v>
      </x:c>
      <x:c r="D14" s="83" t="str">
        <x:v>PNIEC Policy 2030</x:v>
      </x:c>
      <x:c r="E14" s="83" t="str">
        <x:v>Variable renewables</x:v>
      </x:c>
      <x:c r="F14" s="83" t="str">
        <x:v>Solare + eolico</x:v>
      </x:c>
      <x:c r="G14" s="83" t="str">
        <x:v>Solar + onshore + offshore</x:v>
      </x:c>
      <x:c r="H14" s="143"/>
      <x:c r="I14" s="143" t="n">
        <x:v>107.4</x:v>
      </x:c>
      <x:c r="J14" s="143"/>
      <x:c r="K14" s="83" t="str">
        <x:v>GW</x:v>
      </x:c>
      <x:c r="L14" s="83" t="str">
        <x:v>Italia</x:v>
      </x:c>
      <x:c r="M14" s="83" t="str">
        <x:v>Installed capacity</x:v>
      </x:c>
      <x:c r="N14" s="83" t="str">
        <x:v>Assunzione di scenario</x:v>
      </x:c>
      <x:c r="O14" s="83" t="str">
        <x:v>S09</x:v>
      </x:c>
      <x:c r="P14" s="83" t="str">
        <x:v>Documento_Descrizione_Scenari_2024_8dce2430d44d101.pdf</x:v>
      </x:c>
      <x:c r="Q14" s="83" t="n">
        <x:v>59</x:v>
      </x:c>
      <x:c r="R14" s="83" t="str">
        <x:v>56-57</x:v>
      </x:c>
      <x:c r="S14" s="83" t="str">
        <x:v>Tabella 13</x:v>
      </x:c>
      <x:c r="T14" s="83" t="str">
        <x:v>Direct table extraction</x:v>
      </x:c>
      <x:c r="U14" s="83" t="str">
        <x:v>A - Direct</x:v>
      </x:c>
      <x:c r="V14" s="83" t="str">
        <x:v>Capacity-fixed input after technology/geography reconciliation.</x:v>
      </x:c>
      <x:c r="W14" s="83" t="str">
        <x:v>Despite table title 'Capacità FER', the listed total covers solar and wind only.</x:v>
      </x:c>
    </x:row>
    <x:row r="15">
      <x:c r="A15" s="83" t="str">
        <x:v>CAP-0011</x:v>
      </x:c>
      <x:c r="B15" s="83" t="str">
        <x:v>PNIEC_SLOW_2030</x:v>
      </x:c>
      <x:c r="C15" s="83" t="n">
        <x:v>2030</x:v>
      </x:c>
      <x:c r="D15" s="83" t="str">
        <x:v>PNIEC Slow 2030</x:v>
      </x:c>
      <x:c r="E15" s="83" t="str">
        <x:v>Renewables</x:v>
      </x:c>
      <x:c r="F15" s="83" t="str">
        <x:v>Totale FER installata</x:v>
      </x:c>
      <x:c r="G15" s="83" t="str">
        <x:v>All renewable technologies</x:v>
      </x:c>
      <x:c r="H15" s="143"/>
      <x:c r="I15" s="143" t="n">
        <x:v>115</x:v>
      </x:c>
      <x:c r="J15" s="143"/>
      <x:c r="K15" s="83" t="str">
        <x:v>GW</x:v>
      </x:c>
      <x:c r="L15" s="83" t="str">
        <x:v>Italia</x:v>
      </x:c>
      <x:c r="M15" s="83" t="str">
        <x:v>Installed capacity</x:v>
      </x:c>
      <x:c r="N15" s="83" t="str">
        <x:v>Assunzione di scenario</x:v>
      </x:c>
      <x:c r="O15" s="83" t="str">
        <x:v>S09</x:v>
      </x:c>
      <x:c r="P15" s="83" t="str">
        <x:v>Documento_Descrizione_Scenari_2024_8dce2430d44d101.pdf</x:v>
      </x:c>
      <x:c r="Q15" s="83" t="n">
        <x:v>14</x:v>
      </x:c>
      <x:c r="R15" s="83" t="str">
        <x:v>12-13</x:v>
      </x:c>
      <x:c r="S15" s="83" t="str">
        <x:v>Tabella 1</x:v>
      </x:c>
      <x:c r="T15" s="83" t="str">
        <x:v>Direct table extraction</x:v>
      </x:c>
      <x:c r="U15" s="83" t="str">
        <x:v>A - Direct</x:v>
      </x:c>
      <x:c r="V15" s="83" t="str">
        <x:v>Capacity-fixed input after technology/geography reconciliation.</x:v>
      </x:c>
      <x:c r="W15" s="83" t="str">
        <x:v>Includes hydro and other renewable capacity; rounded to whole GW.</x:v>
      </x:c>
    </x:row>
    <x:row r="16">
      <x:c r="A16" s="83" t="str">
        <x:v>CAP-0012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Solar</x:v>
      </x:c>
      <x:c r="F16" s="83" t="str">
        <x:v>Solare</x:v>
      </x:c>
      <x:c r="G16" s="83" t="str">
        <x:v>Total solar</x:v>
      </x:c>
      <x:c r="H16" s="143"/>
      <x:c r="I16" s="143" t="n">
        <x:v>70.6</x:v>
      </x:c>
      <x:c r="J16" s="143"/>
      <x:c r="K16" s="83" t="str">
        <x:v>GW</x:v>
      </x:c>
      <x:c r="L16" s="83" t="str">
        <x:v>Italia</x:v>
      </x:c>
      <x:c r="M16" s="83" t="str">
        <x:v>Installed capacity</x:v>
      </x:c>
      <x:c r="N16" s="83" t="str">
        <x:v>Assunzione di scenario</x:v>
      </x:c>
      <x:c r="O16" s="83" t="str">
        <x:v>S09</x:v>
      </x:c>
      <x:c r="P16" s="83" t="str">
        <x:v>Documento_Descrizione_Scenari_2024_8dce2430d44d101.pdf</x:v>
      </x:c>
      <x:c r="Q16" s="83" t="n">
        <x:v>59</x:v>
      </x:c>
      <x:c r="R16" s="83" t="str">
        <x:v>56-57</x:v>
      </x:c>
      <x:c r="S16" s="83" t="str">
        <x:v>Tabella 13</x:v>
      </x:c>
      <x:c r="T16" s="83" t="str">
        <x:v>Direct table extraction</x:v>
      </x:c>
      <x:c r="U16" s="83" t="str">
        <x:v>A - Direct</x:v>
      </x:c>
      <x:c r="V16" s="83" t="str">
        <x:v>Capacity-fixed input after technology/geography reconciliation.</x:v>
      </x:c>
      <x:c r="W16" s="83" t="str"/>
    </x:row>
    <x:row r="17">
      <x:c r="A17" s="83" t="str">
        <x:v>CAP-0013</x:v>
      </x:c>
      <x:c r="B17" s="83" t="str">
        <x:v>PNIEC_SLOW_2030</x:v>
      </x:c>
      <x:c r="C17" s="83" t="n">
        <x:v>2030</x:v>
      </x:c>
      <x:c r="D17" s="83" t="str">
        <x:v>PNIEC Slow 2030</x:v>
      </x:c>
      <x:c r="E17" s="83" t="str">
        <x:v>Wind</x:v>
      </x:c>
      <x:c r="F17" s="83" t="str">
        <x:v>Eolico onshore</x:v>
      </x:c>
      <x:c r="G17" s="83" t="str">
        <x:v>Onshore</x:v>
      </x:c>
      <x:c r="H17" s="143"/>
      <x:c r="I17" s="143" t="n">
        <x:v>20.7</x:v>
      </x:c>
      <x:c r="J17" s="143"/>
      <x:c r="K17" s="83" t="str">
        <x:v>GW</x:v>
      </x:c>
      <x:c r="L17" s="83" t="str">
        <x:v>Italia</x:v>
      </x:c>
      <x:c r="M17" s="83" t="str">
        <x:v>Installed capacity</x:v>
      </x:c>
      <x:c r="N17" s="83" t="str">
        <x:v>Assunzione di scenario</x:v>
      </x:c>
      <x:c r="O17" s="83" t="str">
        <x:v>S09</x:v>
      </x:c>
      <x:c r="P17" s="83" t="str">
        <x:v>Documento_Descrizione_Scenari_2024_8dce2430d44d101.pdf</x:v>
      </x:c>
      <x:c r="Q17" s="83" t="n">
        <x:v>59</x:v>
      </x:c>
      <x:c r="R17" s="83" t="str">
        <x:v>56-57</x:v>
      </x:c>
      <x:c r="S17" s="83" t="str">
        <x:v>Tabella 13</x:v>
      </x:c>
      <x:c r="T17" s="83" t="str">
        <x:v>Direct table extraction</x:v>
      </x:c>
      <x:c r="U17" s="83" t="str">
        <x:v>A - Direct</x:v>
      </x:c>
      <x:c r="V17" s="83" t="str">
        <x:v>Capacity-fixed input after technology/geography reconciliation.</x:v>
      </x:c>
      <x:c r="W17" s="83" t="str"/>
    </x:row>
    <x:row r="18">
      <x:c r="A18" s="83" t="str">
        <x:v>CAP-0014</x:v>
      </x:c>
      <x:c r="B18" s="83" t="str">
        <x:v>PNIEC_SLOW_2030</x:v>
      </x:c>
      <x:c r="C18" s="83" t="n">
        <x:v>2030</x:v>
      </x:c>
      <x:c r="D18" s="83" t="str">
        <x:v>PNIEC Slow 2030</x:v>
      </x:c>
      <x:c r="E18" s="83" t="str">
        <x:v>Wind</x:v>
      </x:c>
      <x:c r="F18" s="83" t="str">
        <x:v>Eolico offshore</x:v>
      </x:c>
      <x:c r="G18" s="83" t="str">
        <x:v>Offshore</x:v>
      </x:c>
      <x:c r="H18" s="143"/>
      <x:c r="I18" s="143" t="n">
        <x:v>1.2</x:v>
      </x:c>
      <x:c r="J18" s="143"/>
      <x:c r="K18" s="83" t="str">
        <x:v>GW</x:v>
      </x:c>
      <x:c r="L18" s="83" t="str">
        <x:v>Italia</x:v>
      </x:c>
      <x:c r="M18" s="83" t="str">
        <x:v>Installed capacity</x:v>
      </x:c>
      <x:c r="N18" s="83" t="str">
        <x:v>Assunzione di scenario</x:v>
      </x:c>
      <x:c r="O18" s="83" t="str">
        <x:v>S09</x:v>
      </x:c>
      <x:c r="P18" s="83" t="str">
        <x:v>Documento_Descrizione_Scenari_2024_8dce2430d44d101.pdf</x:v>
      </x:c>
      <x:c r="Q18" s="83" t="n">
        <x:v>59</x:v>
      </x:c>
      <x:c r="R18" s="83" t="str">
        <x:v>56-57</x:v>
      </x:c>
      <x:c r="S18" s="83" t="str">
        <x:v>Tabella 13</x:v>
      </x:c>
      <x:c r="T18" s="83" t="str">
        <x:v>Direct table extraction</x:v>
      </x:c>
      <x:c r="U18" s="83" t="str">
        <x:v>A - Direct</x:v>
      </x:c>
      <x:c r="V18" s="83" t="str">
        <x:v>Capacity-fixed input after technology/geography reconciliation.</x:v>
      </x:c>
      <x:c r="W18" s="83" t="str">
        <x:v>2023 is zero/not present.</x:v>
      </x:c>
    </x:row>
    <x:row r="19">
      <x:c r="A19" s="83" t="str">
        <x:v>CAP-0015</x:v>
      </x:c>
      <x:c r="B19" s="83" t="str">
        <x:v>PNIEC_SLOW_2030</x:v>
      </x:c>
      <x:c r="C19" s="83" t="n">
        <x:v>2030</x:v>
      </x:c>
      <x:c r="D19" s="83" t="str">
        <x:v>PNIEC Slow 2030</x:v>
      </x:c>
      <x:c r="E19" s="83" t="str">
        <x:v>Variable renewables</x:v>
      </x:c>
      <x:c r="F19" s="83" t="str">
        <x:v>Solare + eolico</x:v>
      </x:c>
      <x:c r="G19" s="83" t="str">
        <x:v>Solar + onshore + offshore</x:v>
      </x:c>
      <x:c r="H19" s="143"/>
      <x:c r="I19" s="143" t="n">
        <x:v>92.5</x:v>
      </x:c>
      <x:c r="J19" s="143"/>
      <x:c r="K19" s="83" t="str">
        <x:v>GW</x:v>
      </x:c>
      <x:c r="L19" s="83" t="str">
        <x:v>Italia</x:v>
      </x:c>
      <x:c r="M19" s="83" t="str">
        <x:v>Installed capacity</x:v>
      </x:c>
      <x:c r="N19" s="83" t="str">
        <x:v>Assunzione di scenario</x:v>
      </x:c>
      <x:c r="O19" s="83" t="str">
        <x:v>S09</x:v>
      </x:c>
      <x:c r="P19" s="83" t="str">
        <x:v>Documento_Descrizione_Scenari_2024_8dce2430d44d101.pdf</x:v>
      </x:c>
      <x:c r="Q19" s="83" t="n">
        <x:v>59</x:v>
      </x:c>
      <x:c r="R19" s="83" t="str">
        <x:v>56-57</x:v>
      </x:c>
      <x:c r="S19" s="83" t="str">
        <x:v>Tabella 13</x:v>
      </x:c>
      <x:c r="T19" s="83" t="str">
        <x:v>Direct table extraction</x:v>
      </x:c>
      <x:c r="U19" s="83" t="str">
        <x:v>A - Direct</x:v>
      </x:c>
      <x:c r="V19" s="83" t="str">
        <x:v>Capacity-fixed input after technology/geography reconciliation.</x:v>
      </x:c>
      <x:c r="W19" s="83" t="str">
        <x:v>Despite table title 'Capacità FER', the listed total covers solar and wind only.</x:v>
      </x:c>
    </x:row>
    <x:row r="20">
      <x:c r="A20" s="83" t="str">
        <x:v>CAP-0016</x:v>
      </x:c>
      <x:c r="B20" s="83" t="str">
        <x:v>DE_IT_2035</x:v>
      </x:c>
      <x:c r="C20" s="83" t="n">
        <x:v>2035</x:v>
      </x:c>
      <x:c r="D20" s="83" t="str">
        <x:v>DE-IT 2035</x:v>
      </x:c>
      <x:c r="E20" s="83" t="str">
        <x:v>Renewables</x:v>
      </x:c>
      <x:c r="F20" s="83" t="str">
        <x:v>Totale FER installata</x:v>
      </x:c>
      <x:c r="G20" s="83" t="str">
        <x:v>All renewable technologies</x:v>
      </x:c>
      <x:c r="H20" s="143"/>
      <x:c r="I20" s="143" t="n">
        <x:v>159</x:v>
      </x:c>
      <x:c r="J20" s="143"/>
      <x:c r="K20" s="83" t="str">
        <x:v>GW</x:v>
      </x:c>
      <x:c r="L20" s="83" t="str">
        <x:v>Italia</x:v>
      </x:c>
      <x:c r="M20" s="83" t="str">
        <x:v>Installed capacity</x:v>
      </x:c>
      <x:c r="N20" s="83" t="str">
        <x:v>Assunzione di scenario</x:v>
      </x:c>
      <x:c r="O20" s="83" t="str">
        <x:v>S09</x:v>
      </x:c>
      <x:c r="P20" s="83" t="str">
        <x:v>Documento_Descrizione_Scenari_2024_8dce2430d44d101.pdf</x:v>
      </x:c>
      <x:c r="Q20" s="83" t="n">
        <x:v>14</x:v>
      </x:c>
      <x:c r="R20" s="83" t="str">
        <x:v>12-13</x:v>
      </x:c>
      <x:c r="S20" s="83" t="str">
        <x:v>Tabella 1</x:v>
      </x:c>
      <x:c r="T20" s="83" t="str">
        <x:v>Direct table extraction</x:v>
      </x:c>
      <x:c r="U20" s="83" t="str">
        <x:v>A - Direct</x:v>
      </x:c>
      <x:c r="V20" s="83" t="str">
        <x:v>Capacity-fixed input after technology/geography reconciliation.</x:v>
      </x:c>
      <x:c r="W20" s="83" t="str">
        <x:v>Includes hydro and other renewable capacity; rounded to whole GW.</x:v>
      </x:c>
    </x:row>
    <x:row r="21">
      <x:c r="A21" s="83" t="str">
        <x:v>CAP-0017</x:v>
      </x:c>
      <x:c r="B21" s="83" t="str">
        <x:v>DE_IT_2035</x:v>
      </x:c>
      <x:c r="C21" s="83" t="n">
        <x:v>2035</x:v>
      </x:c>
      <x:c r="D21" s="83" t="str">
        <x:v>DE-IT 2035</x:v>
      </x:c>
      <x:c r="E21" s="83" t="str">
        <x:v>Solar</x:v>
      </x:c>
      <x:c r="F21" s="83" t="str">
        <x:v>Solare</x:v>
      </x:c>
      <x:c r="G21" s="83" t="str">
        <x:v>Total solar</x:v>
      </x:c>
      <x:c r="H21" s="143"/>
      <x:c r="I21" s="143" t="n">
        <x:v>100</x:v>
      </x:c>
      <x:c r="J21" s="143"/>
      <x:c r="K21" s="83" t="str">
        <x:v>GW</x:v>
      </x:c>
      <x:c r="L21" s="83" t="str">
        <x:v>Italia</x:v>
      </x:c>
      <x:c r="M21" s="83" t="str">
        <x:v>Installed capacity</x:v>
      </x:c>
      <x:c r="N21" s="83" t="str">
        <x:v>Assunzione di scenario</x:v>
      </x:c>
      <x:c r="O21" s="83" t="str">
        <x:v>S09</x:v>
      </x:c>
      <x:c r="P21" s="83" t="str">
        <x:v>Documento_Descrizione_Scenari_2024_8dce2430d44d101.pdf</x:v>
      </x:c>
      <x:c r="Q21" s="83" t="n">
        <x:v>59</x:v>
      </x:c>
      <x:c r="R21" s="83" t="str">
        <x:v>56-57</x:v>
      </x:c>
      <x:c r="S21" s="83" t="str">
        <x:v>Tabella 13</x:v>
      </x:c>
      <x:c r="T21" s="83" t="str">
        <x:v>Direct table extraction</x:v>
      </x:c>
      <x:c r="U21" s="83" t="str">
        <x:v>A - Direct</x:v>
      </x:c>
      <x:c r="V21" s="83" t="str">
        <x:v>Capacity-fixed input after technology/geography reconciliation.</x:v>
      </x:c>
      <x:c r="W21" s="83" t="str"/>
    </x:row>
    <x:row r="22">
      <x:c r="A22" s="83" t="str">
        <x:v>CAP-0018</x:v>
      </x:c>
      <x:c r="B22" s="83" t="str">
        <x:v>DE_IT_2035</x:v>
      </x:c>
      <x:c r="C22" s="83" t="n">
        <x:v>2035</x:v>
      </x:c>
      <x:c r="D22" s="83" t="str">
        <x:v>DE-IT 2035</x:v>
      </x:c>
      <x:c r="E22" s="83" t="str">
        <x:v>Wind</x:v>
      </x:c>
      <x:c r="F22" s="83" t="str">
        <x:v>Eolico onshore</x:v>
      </x:c>
      <x:c r="G22" s="83" t="str">
        <x:v>Onshore</x:v>
      </x:c>
      <x:c r="H22" s="143"/>
      <x:c r="I22" s="143" t="n">
        <x:v>30</x:v>
      </x:c>
      <x:c r="J22" s="143"/>
      <x:c r="K22" s="83" t="str">
        <x:v>GW</x:v>
      </x:c>
      <x:c r="L22" s="83" t="str">
        <x:v>Italia</x:v>
      </x:c>
      <x:c r="M22" s="83" t="str">
        <x:v>Installed capacity</x:v>
      </x:c>
      <x:c r="N22" s="83" t="str">
        <x:v>Assunzione di scenario</x:v>
      </x:c>
      <x:c r="O22" s="83" t="str">
        <x:v>S09</x:v>
      </x:c>
      <x:c r="P22" s="83" t="str">
        <x:v>Documento_Descrizione_Scenari_2024_8dce2430d44d101.pdf</x:v>
      </x:c>
      <x:c r="Q22" s="83" t="n">
        <x:v>59</x:v>
      </x:c>
      <x:c r="R22" s="83" t="str">
        <x:v>56-57</x:v>
      </x:c>
      <x:c r="S22" s="83" t="str">
        <x:v>Tabella 13</x:v>
      </x:c>
      <x:c r="T22" s="83" t="str">
        <x:v>Direct table extraction</x:v>
      </x:c>
      <x:c r="U22" s="83" t="str">
        <x:v>A - Direct</x:v>
      </x:c>
      <x:c r="V22" s="83" t="str">
        <x:v>Capacity-fixed input after technology/geography reconciliation.</x:v>
      </x:c>
      <x:c r="W22" s="83" t="str"/>
    </x:row>
    <x:row r="23">
      <x:c r="A23" s="83" t="str">
        <x:v>CAP-0019</x:v>
      </x:c>
      <x:c r="B23" s="83" t="str">
        <x:v>DE_IT_2035</x:v>
      </x:c>
      <x:c r="C23" s="83" t="n">
        <x:v>2035</x:v>
      </x:c>
      <x:c r="D23" s="83" t="str">
        <x:v>DE-IT 2035</x:v>
      </x:c>
      <x:c r="E23" s="83" t="str">
        <x:v>Wind</x:v>
      </x:c>
      <x:c r="F23" s="83" t="str">
        <x:v>Eolico offshore</x:v>
      </x:c>
      <x:c r="G23" s="83" t="str">
        <x:v>Offshore</x:v>
      </x:c>
      <x:c r="H23" s="143"/>
      <x:c r="I23" s="143" t="n">
        <x:v>7.1</x:v>
      </x:c>
      <x:c r="J23" s="143"/>
      <x:c r="K23" s="83" t="str">
        <x:v>GW</x:v>
      </x:c>
      <x:c r="L23" s="83" t="str">
        <x:v>Italia</x:v>
      </x:c>
      <x:c r="M23" s="83" t="str">
        <x:v>Installed capacity</x:v>
      </x:c>
      <x:c r="N23" s="83" t="str">
        <x:v>Assunzione di scenario</x:v>
      </x:c>
      <x:c r="O23" s="83" t="str">
        <x:v>S09</x:v>
      </x:c>
      <x:c r="P23" s="83" t="str">
        <x:v>Documento_Descrizione_Scenari_2024_8dce2430d44d101.pdf</x:v>
      </x:c>
      <x:c r="Q23" s="83" t="n">
        <x:v>59</x:v>
      </x:c>
      <x:c r="R23" s="83" t="str">
        <x:v>56-57</x:v>
      </x:c>
      <x:c r="S23" s="83" t="str">
        <x:v>Tabella 13</x:v>
      </x:c>
      <x:c r="T23" s="83" t="str">
        <x:v>Direct table extraction</x:v>
      </x:c>
      <x:c r="U23" s="83" t="str">
        <x:v>A - Direct</x:v>
      </x:c>
      <x:c r="V23" s="83" t="str">
        <x:v>Capacity-fixed input after technology/geography reconciliation.</x:v>
      </x:c>
      <x:c r="W23" s="83" t="str">
        <x:v>2023 is zero/not present.</x:v>
      </x:c>
    </x:row>
    <x:row r="24">
      <x:c r="A24" s="83" t="str">
        <x:v>CAP-0020</x:v>
      </x:c>
      <x:c r="B24" s="83" t="str">
        <x:v>DE_IT_2035</x:v>
      </x:c>
      <x:c r="C24" s="83" t="n">
        <x:v>2035</x:v>
      </x:c>
      <x:c r="D24" s="83" t="str">
        <x:v>DE-IT 2035</x:v>
      </x:c>
      <x:c r="E24" s="83" t="str">
        <x:v>Variable renewables</x:v>
      </x:c>
      <x:c r="F24" s="83" t="str">
        <x:v>Solare + eolico</x:v>
      </x:c>
      <x:c r="G24" s="83" t="str">
        <x:v>Solar + onshore + offshore</x:v>
      </x:c>
      <x:c r="H24" s="143"/>
      <x:c r="I24" s="143" t="n">
        <x:v>137.1</x:v>
      </x:c>
      <x:c r="J24" s="143"/>
      <x:c r="K24" s="83" t="str">
        <x:v>GW</x:v>
      </x:c>
      <x:c r="L24" s="83" t="str">
        <x:v>Italia</x:v>
      </x:c>
      <x:c r="M24" s="83" t="str">
        <x:v>Installed capacity</x:v>
      </x:c>
      <x:c r="N24" s="83" t="str">
        <x:v>Assunzione di scenario</x:v>
      </x:c>
      <x:c r="O24" s="83" t="str">
        <x:v>S09</x:v>
      </x:c>
      <x:c r="P24" s="83" t="str">
        <x:v>Documento_Descrizione_Scenari_2024_8dce2430d44d101.pdf</x:v>
      </x:c>
      <x:c r="Q24" s="83" t="n">
        <x:v>59</x:v>
      </x:c>
      <x:c r="R24" s="83" t="str">
        <x:v>56-57</x:v>
      </x:c>
      <x:c r="S24" s="83" t="str">
        <x:v>Tabella 13</x:v>
      </x:c>
      <x:c r="T24" s="83" t="str">
        <x:v>Direct table extraction</x:v>
      </x:c>
      <x:c r="U24" s="83" t="str">
        <x:v>A - Direct</x:v>
      </x:c>
      <x:c r="V24" s="83" t="str">
        <x:v>Capacity-fixed input after technology/geography reconciliation.</x:v>
      </x:c>
      <x:c r="W24" s="83" t="str">
        <x:v>Despite table title 'Capacità FER', the listed total covers solar and wind only.</x:v>
      </x:c>
    </x:row>
    <x:row r="25">
      <x:c r="A25" s="83" t="str">
        <x:v>CAP-0021</x:v>
      </x:c>
      <x:c r="B25" s="83" t="str">
        <x:v>GA_IT_2035</x:v>
      </x:c>
      <x:c r="C25" s="83" t="n">
        <x:v>2035</x:v>
      </x:c>
      <x:c r="D25" s="83" t="str">
        <x:v>GA-IT 2035</x:v>
      </x:c>
      <x:c r="E25" s="83" t="str">
        <x:v>Renewables</x:v>
      </x:c>
      <x:c r="F25" s="83" t="str">
        <x:v>Totale FER installata</x:v>
      </x:c>
      <x:c r="G25" s="83" t="str">
        <x:v>All renewable technologies</x:v>
      </x:c>
      <x:c r="H25" s="143"/>
      <x:c r="I25" s="143" t="n">
        <x:v>151</x:v>
      </x:c>
      <x:c r="J25" s="143"/>
      <x:c r="K25" s="83" t="str">
        <x:v>GW</x:v>
      </x:c>
      <x:c r="L25" s="83" t="str">
        <x:v>Italia</x:v>
      </x:c>
      <x:c r="M25" s="83" t="str">
        <x:v>Installed capacity</x:v>
      </x:c>
      <x:c r="N25" s="83" t="str">
        <x:v>Assunzione di scenario</x:v>
      </x:c>
      <x:c r="O25" s="83" t="str">
        <x:v>S09</x:v>
      </x:c>
      <x:c r="P25" s="83" t="str">
        <x:v>Documento_Descrizione_Scenari_2024_8dce2430d44d101.pdf</x:v>
      </x:c>
      <x:c r="Q25" s="83" t="n">
        <x:v>14</x:v>
      </x:c>
      <x:c r="R25" s="83" t="str">
        <x:v>12-13</x:v>
      </x:c>
      <x:c r="S25" s="83" t="str">
        <x:v>Tabella 1</x:v>
      </x:c>
      <x:c r="T25" s="83" t="str">
        <x:v>Direct table extraction</x:v>
      </x:c>
      <x:c r="U25" s="83" t="str">
        <x:v>A - Direct</x:v>
      </x:c>
      <x:c r="V25" s="83" t="str">
        <x:v>Capacity-fixed input after technology/geography reconciliation.</x:v>
      </x:c>
      <x:c r="W25" s="83" t="str">
        <x:v>Includes hydro and other renewable capacity; rounded to whole GW.</x:v>
      </x:c>
    </x:row>
    <x:row r="26">
      <x:c r="A26" s="83" t="str">
        <x:v>CAP-0022</x:v>
      </x:c>
      <x:c r="B26" s="83" t="str">
        <x:v>GA_IT_2035</x:v>
      </x:c>
      <x:c r="C26" s="83" t="n">
        <x:v>2035</x:v>
      </x:c>
      <x:c r="D26" s="83" t="str">
        <x:v>GA-IT 2035</x:v>
      </x:c>
      <x:c r="E26" s="83" t="str">
        <x:v>Solar</x:v>
      </x:c>
      <x:c r="F26" s="83" t="str">
        <x:v>Solare</x:v>
      </x:c>
      <x:c r="G26" s="83" t="str">
        <x:v>Total solar</x:v>
      </x:c>
      <x:c r="H26" s="143"/>
      <x:c r="I26" s="143" t="n">
        <x:v>95</x:v>
      </x:c>
      <x:c r="J26" s="143"/>
      <x:c r="K26" s="83" t="str">
        <x:v>GW</x:v>
      </x:c>
      <x:c r="L26" s="83" t="str">
        <x:v>Italia</x:v>
      </x:c>
      <x:c r="M26" s="83" t="str">
        <x:v>Installed capacity</x:v>
      </x:c>
      <x:c r="N26" s="83" t="str">
        <x:v>Assunzione di scenario</x:v>
      </x:c>
      <x:c r="O26" s="83" t="str">
        <x:v>S09</x:v>
      </x:c>
      <x:c r="P26" s="83" t="str">
        <x:v>Documento_Descrizione_Scenari_2024_8dce2430d44d101.pdf</x:v>
      </x:c>
      <x:c r="Q26" s="83" t="n">
        <x:v>59</x:v>
      </x:c>
      <x:c r="R26" s="83" t="str">
        <x:v>56-57</x:v>
      </x:c>
      <x:c r="S26" s="83" t="str">
        <x:v>Tabella 13</x:v>
      </x:c>
      <x:c r="T26" s="83" t="str">
        <x:v>Direct table extraction</x:v>
      </x:c>
      <x:c r="U26" s="83" t="str">
        <x:v>A - Direct</x:v>
      </x:c>
      <x:c r="V26" s="83" t="str">
        <x:v>Capacity-fixed input after technology/geography reconciliation.</x:v>
      </x:c>
      <x:c r="W26" s="83" t="str"/>
    </x:row>
    <x:row r="27">
      <x:c r="A27" s="83" t="str">
        <x:v>CAP-0023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Wind</x:v>
      </x:c>
      <x:c r="F27" s="83" t="str">
        <x:v>Eolico onshore</x:v>
      </x:c>
      <x:c r="G27" s="83" t="str">
        <x:v>Onshore</x:v>
      </x:c>
      <x:c r="H27" s="143"/>
      <x:c r="I27" s="143" t="n">
        <x:v>28</x:v>
      </x:c>
      <x:c r="J27" s="143"/>
      <x:c r="K27" s="83" t="str">
        <x:v>GW</x:v>
      </x:c>
      <x:c r="L27" s="83" t="str">
        <x:v>Italia</x:v>
      </x:c>
      <x:c r="M27" s="83" t="str">
        <x:v>Installed capacity</x:v>
      </x:c>
      <x:c r="N27" s="83" t="str">
        <x:v>Assunzione di scenario</x:v>
      </x:c>
      <x:c r="O27" s="83" t="str">
        <x:v>S09</x:v>
      </x:c>
      <x:c r="P27" s="83" t="str">
        <x:v>Documento_Descrizione_Scenari_2024_8dce2430d44d101.pdf</x:v>
      </x:c>
      <x:c r="Q27" s="83" t="n">
        <x:v>59</x:v>
      </x:c>
      <x:c r="R27" s="83" t="str">
        <x:v>56-57</x:v>
      </x:c>
      <x:c r="S27" s="83" t="str">
        <x:v>Tabella 13</x:v>
      </x:c>
      <x:c r="T27" s="83" t="str">
        <x:v>Direct table extraction</x:v>
      </x:c>
      <x:c r="U27" s="83" t="str">
        <x:v>A - Direct</x:v>
      </x:c>
      <x:c r="V27" s="83" t="str">
        <x:v>Capacity-fixed input after technology/geography reconciliation.</x:v>
      </x:c>
      <x:c r="W27" s="83" t="str"/>
    </x:row>
    <x:row r="28">
      <x:c r="A28" s="83" t="str">
        <x:v>CAP-0024</x:v>
      </x:c>
      <x:c r="B28" s="83" t="str">
        <x:v>GA_IT_2035</x:v>
      </x:c>
      <x:c r="C28" s="83" t="n">
        <x:v>2035</x:v>
      </x:c>
      <x:c r="D28" s="83" t="str">
        <x:v>GA-IT 2035</x:v>
      </x:c>
      <x:c r="E28" s="83" t="str">
        <x:v>Wind</x:v>
      </x:c>
      <x:c r="F28" s="83" t="str">
        <x:v>Eolico offshore</x:v>
      </x:c>
      <x:c r="G28" s="83" t="str">
        <x:v>Offshore</x:v>
      </x:c>
      <x:c r="H28" s="143"/>
      <x:c r="I28" s="143" t="n">
        <x:v>5.8</x:v>
      </x:c>
      <x:c r="J28" s="143"/>
      <x:c r="K28" s="83" t="str">
        <x:v>GW</x:v>
      </x:c>
      <x:c r="L28" s="83" t="str">
        <x:v>Italia</x:v>
      </x:c>
      <x:c r="M28" s="83" t="str">
        <x:v>Installed capacity</x:v>
      </x:c>
      <x:c r="N28" s="83" t="str">
        <x:v>Assunzione di scenario</x:v>
      </x:c>
      <x:c r="O28" s="83" t="str">
        <x:v>S09</x:v>
      </x:c>
      <x:c r="P28" s="83" t="str">
        <x:v>Documento_Descrizione_Scenari_2024_8dce2430d44d101.pdf</x:v>
      </x:c>
      <x:c r="Q28" s="83" t="n">
        <x:v>59</x:v>
      </x:c>
      <x:c r="R28" s="83" t="str">
        <x:v>56-57</x:v>
      </x:c>
      <x:c r="S28" s="83" t="str">
        <x:v>Tabella 13</x:v>
      </x:c>
      <x:c r="T28" s="83" t="str">
        <x:v>Direct table extraction</x:v>
      </x:c>
      <x:c r="U28" s="83" t="str">
        <x:v>A - Direct</x:v>
      </x:c>
      <x:c r="V28" s="83" t="str">
        <x:v>Capacity-fixed input after technology/geography reconciliation.</x:v>
      </x:c>
      <x:c r="W28" s="83" t="str">
        <x:v>2023 is zero/not present.</x:v>
      </x:c>
    </x:row>
    <x:row r="29">
      <x:c r="A29" s="83" t="str">
        <x:v>CAP-0025</x:v>
      </x:c>
      <x:c r="B29" s="83" t="str">
        <x:v>GA_IT_2035</x:v>
      </x:c>
      <x:c r="C29" s="83" t="n">
        <x:v>2035</x:v>
      </x:c>
      <x:c r="D29" s="83" t="str">
        <x:v>GA-IT 2035</x:v>
      </x:c>
      <x:c r="E29" s="83" t="str">
        <x:v>Variable renewables</x:v>
      </x:c>
      <x:c r="F29" s="83" t="str">
        <x:v>Solare + eolico</x:v>
      </x:c>
      <x:c r="G29" s="83" t="str">
        <x:v>Solar + onshore + offshore</x:v>
      </x:c>
      <x:c r="H29" s="143"/>
      <x:c r="I29" s="143" t="n">
        <x:v>128.8</x:v>
      </x:c>
      <x:c r="J29" s="143"/>
      <x:c r="K29" s="83" t="str">
        <x:v>GW</x:v>
      </x:c>
      <x:c r="L29" s="83" t="str">
        <x:v>Italia</x:v>
      </x:c>
      <x:c r="M29" s="83" t="str">
        <x:v>Installed capacity</x:v>
      </x:c>
      <x:c r="N29" s="83" t="str">
        <x:v>Assunzione di scenario</x:v>
      </x:c>
      <x:c r="O29" s="83" t="str">
        <x:v>S09</x:v>
      </x:c>
      <x:c r="P29" s="83" t="str">
        <x:v>Documento_Descrizione_Scenari_2024_8dce2430d44d101.pdf</x:v>
      </x:c>
      <x:c r="Q29" s="83" t="n">
        <x:v>59</x:v>
      </x:c>
      <x:c r="R29" s="83" t="str">
        <x:v>56-57</x:v>
      </x:c>
      <x:c r="S29" s="83" t="str">
        <x:v>Tabella 13</x:v>
      </x:c>
      <x:c r="T29" s="83" t="str">
        <x:v>Direct table extraction</x:v>
      </x:c>
      <x:c r="U29" s="83" t="str">
        <x:v>A - Direct</x:v>
      </x:c>
      <x:c r="V29" s="83" t="str">
        <x:v>Capacity-fixed input after technology/geography reconciliation.</x:v>
      </x:c>
      <x:c r="W29" s="83" t="str">
        <x:v>Despite table title 'Capacità FER', the listed total covers solar and wind only.</x:v>
      </x:c>
    </x:row>
    <x:row r="30">
      <x:c r="A30" s="83" t="str">
        <x:v>CAP-0026</x:v>
      </x:c>
      <x:c r="B30" s="83" t="str">
        <x:v>PNIEC_SLOW_2035</x:v>
      </x:c>
      <x:c r="C30" s="83" t="n">
        <x:v>2035</x:v>
      </x:c>
      <x:c r="D30" s="83" t="str">
        <x:v>PNIEC Slow 2035</x:v>
      </x:c>
      <x:c r="E30" s="83" t="str">
        <x:v>Renewables</x:v>
      </x:c>
      <x:c r="F30" s="83" t="str">
        <x:v>Totale FER installata</x:v>
      </x:c>
      <x:c r="G30" s="83" t="str">
        <x:v>All renewable technologies</x:v>
      </x:c>
      <x:c r="H30" s="143"/>
      <x:c r="I30" s="143" t="n">
        <x:v>139</x:v>
      </x:c>
      <x:c r="J30" s="143"/>
      <x:c r="K30" s="83" t="str">
        <x:v>GW</x:v>
      </x:c>
      <x:c r="L30" s="83" t="str">
        <x:v>Italia</x:v>
      </x:c>
      <x:c r="M30" s="83" t="str">
        <x:v>Installed capacity</x:v>
      </x:c>
      <x:c r="N30" s="83" t="str">
        <x:v>Assunzione di scenario</x:v>
      </x:c>
      <x:c r="O30" s="83" t="str">
        <x:v>S09</x:v>
      </x:c>
      <x:c r="P30" s="83" t="str">
        <x:v>Documento_Descrizione_Scenari_2024_8dce2430d44d101.pdf</x:v>
      </x:c>
      <x:c r="Q30" s="83" t="n">
        <x:v>14</x:v>
      </x:c>
      <x:c r="R30" s="83" t="str">
        <x:v>12-13</x:v>
      </x:c>
      <x:c r="S30" s="83" t="str">
        <x:v>Tabella 1</x:v>
      </x:c>
      <x:c r="T30" s="83" t="str">
        <x:v>Direct table extraction</x:v>
      </x:c>
      <x:c r="U30" s="83" t="str">
        <x:v>A - Direct</x:v>
      </x:c>
      <x:c r="V30" s="83" t="str">
        <x:v>Capacity-fixed input after technology/geography reconciliation.</x:v>
      </x:c>
      <x:c r="W30" s="83" t="str">
        <x:v>Includes hydro and other renewable capacity; rounded to whole GW.</x:v>
      </x:c>
    </x:row>
    <x:row r="31">
      <x:c r="A31" s="83" t="str">
        <x:v>CAP-0027</x:v>
      </x:c>
      <x:c r="B31" s="83" t="str">
        <x:v>PNIEC_SLOW_2035</x:v>
      </x:c>
      <x:c r="C31" s="83" t="n">
        <x:v>2035</x:v>
      </x:c>
      <x:c r="D31" s="83" t="str">
        <x:v>PNIEC Slow 2035</x:v>
      </x:c>
      <x:c r="E31" s="83" t="str">
        <x:v>Solar</x:v>
      </x:c>
      <x:c r="F31" s="83" t="str">
        <x:v>Solare</x:v>
      </x:c>
      <x:c r="G31" s="83" t="str">
        <x:v>Total solar</x:v>
      </x:c>
      <x:c r="H31" s="143"/>
      <x:c r="I31" s="143" t="n">
        <x:v>87</x:v>
      </x:c>
      <x:c r="J31" s="143"/>
      <x:c r="K31" s="83" t="str">
        <x:v>GW</x:v>
      </x:c>
      <x:c r="L31" s="83" t="str">
        <x:v>Italia</x:v>
      </x:c>
      <x:c r="M31" s="83" t="str">
        <x:v>Installed capacity</x:v>
      </x:c>
      <x:c r="N31" s="83" t="str">
        <x:v>Assunzione di scenario</x:v>
      </x:c>
      <x:c r="O31" s="83" t="str">
        <x:v>S09</x:v>
      </x:c>
      <x:c r="P31" s="83" t="str">
        <x:v>Documento_Descrizione_Scenari_2024_8dce2430d44d101.pdf</x:v>
      </x:c>
      <x:c r="Q31" s="83" t="n">
        <x:v>59</x:v>
      </x:c>
      <x:c r="R31" s="83" t="str">
        <x:v>56-57</x:v>
      </x:c>
      <x:c r="S31" s="83" t="str">
        <x:v>Tabella 13</x:v>
      </x:c>
      <x:c r="T31" s="83" t="str">
        <x:v>Direct table extraction</x:v>
      </x:c>
      <x:c r="U31" s="83" t="str">
        <x:v>A - Direct</x:v>
      </x:c>
      <x:c r="V31" s="83" t="str">
        <x:v>Capacity-fixed input after technology/geography reconciliation.</x:v>
      </x:c>
      <x:c r="W31" s="83" t="str"/>
    </x:row>
    <x:row r="32">
      <x:c r="A32" s="83" t="str">
        <x:v>CAP-0028</x:v>
      </x:c>
      <x:c r="B32" s="83" t="str">
        <x:v>PNIEC_SLOW_2035</x:v>
      </x:c>
      <x:c r="C32" s="83" t="n">
        <x:v>2035</x:v>
      </x:c>
      <x:c r="D32" s="83" t="str">
        <x:v>PNIEC Slow 2035</x:v>
      </x:c>
      <x:c r="E32" s="83" t="str">
        <x:v>Wind</x:v>
      </x:c>
      <x:c r="F32" s="83" t="str">
        <x:v>Eolico onshore</x:v>
      </x:c>
      <x:c r="G32" s="83" t="str">
        <x:v>Onshore</x:v>
      </x:c>
      <x:c r="H32" s="143"/>
      <x:c r="I32" s="143" t="n">
        <x:v>25</x:v>
      </x:c>
      <x:c r="J32" s="143"/>
      <x:c r="K32" s="83" t="str">
        <x:v>GW</x:v>
      </x:c>
      <x:c r="L32" s="83" t="str">
        <x:v>Italia</x:v>
      </x:c>
      <x:c r="M32" s="83" t="str">
        <x:v>Installed capacity</x:v>
      </x:c>
      <x:c r="N32" s="83" t="str">
        <x:v>Assunzione di scenario</x:v>
      </x:c>
      <x:c r="O32" s="83" t="str">
        <x:v>S09</x:v>
      </x:c>
      <x:c r="P32" s="83" t="str">
        <x:v>Documento_Descrizione_Scenari_2024_8dce2430d44d101.pdf</x:v>
      </x:c>
      <x:c r="Q32" s="83" t="n">
        <x:v>59</x:v>
      </x:c>
      <x:c r="R32" s="83" t="str">
        <x:v>56-57</x:v>
      </x:c>
      <x:c r="S32" s="83" t="str">
        <x:v>Tabella 13</x:v>
      </x:c>
      <x:c r="T32" s="83" t="str">
        <x:v>Direct table extraction</x:v>
      </x:c>
      <x:c r="U32" s="83" t="str">
        <x:v>A - Direct</x:v>
      </x:c>
      <x:c r="V32" s="83" t="str">
        <x:v>Capacity-fixed input after technology/geography reconciliation.</x:v>
      </x:c>
      <x:c r="W32" s="83" t="str"/>
    </x:row>
    <x:row r="33">
      <x:c r="A33" s="83" t="str">
        <x:v>CAP-0029</x:v>
      </x:c>
      <x:c r="B33" s="83" t="str">
        <x:v>PNIEC_SLOW_2035</x:v>
      </x:c>
      <x:c r="C33" s="83" t="n">
        <x:v>2035</x:v>
      </x:c>
      <x:c r="D33" s="83" t="str">
        <x:v>PNIEC Slow 2035</x:v>
      </x:c>
      <x:c r="E33" s="83" t="str">
        <x:v>Wind</x:v>
      </x:c>
      <x:c r="F33" s="83" t="str">
        <x:v>Eolico offshore</x:v>
      </x:c>
      <x:c r="G33" s="83" t="str">
        <x:v>Offshore</x:v>
      </x:c>
      <x:c r="H33" s="143"/>
      <x:c r="I33" s="143" t="n">
        <x:v>4.3</x:v>
      </x:c>
      <x:c r="J33" s="143"/>
      <x:c r="K33" s="83" t="str">
        <x:v>GW</x:v>
      </x:c>
      <x:c r="L33" s="83" t="str">
        <x:v>Italia</x:v>
      </x:c>
      <x:c r="M33" s="83" t="str">
        <x:v>Installed capacity</x:v>
      </x:c>
      <x:c r="N33" s="83" t="str">
        <x:v>Assunzione di scenario</x:v>
      </x:c>
      <x:c r="O33" s="83" t="str">
        <x:v>S09</x:v>
      </x:c>
      <x:c r="P33" s="83" t="str">
        <x:v>Documento_Descrizione_Scenari_2024_8dce2430d44d101.pdf</x:v>
      </x:c>
      <x:c r="Q33" s="83" t="n">
        <x:v>59</x:v>
      </x:c>
      <x:c r="R33" s="83" t="str">
        <x:v>56-57</x:v>
      </x:c>
      <x:c r="S33" s="83" t="str">
        <x:v>Tabella 13</x:v>
      </x:c>
      <x:c r="T33" s="83" t="str">
        <x:v>Direct table extraction</x:v>
      </x:c>
      <x:c r="U33" s="83" t="str">
        <x:v>A - Direct</x:v>
      </x:c>
      <x:c r="V33" s="83" t="str">
        <x:v>Capacity-fixed input after technology/geography reconciliation.</x:v>
      </x:c>
      <x:c r="W33" s="83" t="str">
        <x:v>2023 is zero/not present.</x:v>
      </x:c>
    </x:row>
    <x:row r="34">
      <x:c r="A34" s="83" t="str">
        <x:v>CAP-0030</x:v>
      </x:c>
      <x:c r="B34" s="83" t="str">
        <x:v>PNIEC_SLOW_2035</x:v>
      </x:c>
      <x:c r="C34" s="83" t="n">
        <x:v>2035</x:v>
      </x:c>
      <x:c r="D34" s="83" t="str">
        <x:v>PNIEC Slow 2035</x:v>
      </x:c>
      <x:c r="E34" s="83" t="str">
        <x:v>Variable renewables</x:v>
      </x:c>
      <x:c r="F34" s="83" t="str">
        <x:v>Solare + eolico</x:v>
      </x:c>
      <x:c r="G34" s="83" t="str">
        <x:v>Solar + onshore + offshore</x:v>
      </x:c>
      <x:c r="H34" s="143"/>
      <x:c r="I34" s="143" t="n">
        <x:v>116.3</x:v>
      </x:c>
      <x:c r="J34" s="143"/>
      <x:c r="K34" s="83" t="str">
        <x:v>GW</x:v>
      </x:c>
      <x:c r="L34" s="83" t="str">
        <x:v>Italia</x:v>
      </x:c>
      <x:c r="M34" s="83" t="str">
        <x:v>Installed capacity</x:v>
      </x:c>
      <x:c r="N34" s="83" t="str">
        <x:v>Assunzione di scenario</x:v>
      </x:c>
      <x:c r="O34" s="83" t="str">
        <x:v>S09</x:v>
      </x:c>
      <x:c r="P34" s="83" t="str">
        <x:v>Documento_Descrizione_Scenari_2024_8dce2430d44d101.pdf</x:v>
      </x:c>
      <x:c r="Q34" s="83" t="n">
        <x:v>59</x:v>
      </x:c>
      <x:c r="R34" s="83" t="str">
        <x:v>56-57</x:v>
      </x:c>
      <x:c r="S34" s="83" t="str">
        <x:v>Tabella 13</x:v>
      </x:c>
      <x:c r="T34" s="83" t="str">
        <x:v>Direct table extraction</x:v>
      </x:c>
      <x:c r="U34" s="83" t="str">
        <x:v>A - Direct</x:v>
      </x:c>
      <x:c r="V34" s="83" t="str">
        <x:v>Capacity-fixed input after technology/geography reconciliation.</x:v>
      </x:c>
      <x:c r="W34" s="83" t="str">
        <x:v>Despite table title 'Capacità FER', the listed total covers solar and wind only.</x:v>
      </x:c>
    </x:row>
    <x:row r="35">
      <x:c r="A35" s="83" t="str">
        <x:v>CAP-0031</x:v>
      </x:c>
      <x:c r="B35" s="83" t="str">
        <x:v>DE_IT_2040</x:v>
      </x:c>
      <x:c r="C35" s="83" t="n">
        <x:v>2040</x:v>
      </x:c>
      <x:c r="D35" s="83" t="str">
        <x:v>DE-IT 2040</x:v>
      </x:c>
      <x:c r="E35" s="83" t="str">
        <x:v>Renewables</x:v>
      </x:c>
      <x:c r="F35" s="83" t="str">
        <x:v>Totale FER installata</x:v>
      </x:c>
      <x:c r="G35" s="83" t="str">
        <x:v>All renewable technologies</x:v>
      </x:c>
      <x:c r="H35" s="143"/>
      <x:c r="I35" s="143" t="n">
        <x:v>192</x:v>
      </x:c>
      <x:c r="J35" s="143"/>
      <x:c r="K35" s="83" t="str">
        <x:v>GW</x:v>
      </x:c>
      <x:c r="L35" s="83" t="str">
        <x:v>Italia</x:v>
      </x:c>
      <x:c r="M35" s="83" t="str">
        <x:v>Installed capacity</x:v>
      </x:c>
      <x:c r="N35" s="83" t="str">
        <x:v>Assunzione di scenario</x:v>
      </x:c>
      <x:c r="O35" s="83" t="str">
        <x:v>S09</x:v>
      </x:c>
      <x:c r="P35" s="83" t="str">
        <x:v>Documento_Descrizione_Scenari_2024_8dce2430d44d101.pdf</x:v>
      </x:c>
      <x:c r="Q35" s="83" t="n">
        <x:v>14</x:v>
      </x:c>
      <x:c r="R35" s="83" t="str">
        <x:v>12-13</x:v>
      </x:c>
      <x:c r="S35" s="83" t="str">
        <x:v>Tabella 1</x:v>
      </x:c>
      <x:c r="T35" s="83" t="str">
        <x:v>Direct table extraction</x:v>
      </x:c>
      <x:c r="U35" s="83" t="str">
        <x:v>A - Direct</x:v>
      </x:c>
      <x:c r="V35" s="83" t="str">
        <x:v>Capacity-fixed input after technology/geography reconciliation.</x:v>
      </x:c>
      <x:c r="W35" s="83" t="str">
        <x:v>Includes hydro and other renewable capacity; rounded to whole GW.</x:v>
      </x:c>
    </x:row>
    <x:row r="36">
      <x:c r="A36" s="83" t="str">
        <x:v>CAP-0032</x:v>
      </x:c>
      <x:c r="B36" s="83" t="str">
        <x:v>DE_IT_2040</x:v>
      </x:c>
      <x:c r="C36" s="83" t="n">
        <x:v>2040</x:v>
      </x:c>
      <x:c r="D36" s="83" t="str">
        <x:v>DE-IT 2040</x:v>
      </x:c>
      <x:c r="E36" s="83" t="str">
        <x:v>Solar</x:v>
      </x:c>
      <x:c r="F36" s="83" t="str">
        <x:v>Solare</x:v>
      </x:c>
      <x:c r="G36" s="83" t="str">
        <x:v>Total solar</x:v>
      </x:c>
      <x:c r="H36" s="143"/>
      <x:c r="I36" s="143" t="n">
        <x:v>121</x:v>
      </x:c>
      <x:c r="J36" s="143"/>
      <x:c r="K36" s="83" t="str">
        <x:v>GW</x:v>
      </x:c>
      <x:c r="L36" s="83" t="str">
        <x:v>Italia</x:v>
      </x:c>
      <x:c r="M36" s="83" t="str">
        <x:v>Installed capacity</x:v>
      </x:c>
      <x:c r="N36" s="83" t="str">
        <x:v>Assunzione di scenario</x:v>
      </x:c>
      <x:c r="O36" s="83" t="str">
        <x:v>S09</x:v>
      </x:c>
      <x:c r="P36" s="83" t="str">
        <x:v>Documento_Descrizione_Scenari_2024_8dce2430d44d101.pdf</x:v>
      </x:c>
      <x:c r="Q36" s="83" t="n">
        <x:v>59</x:v>
      </x:c>
      <x:c r="R36" s="83" t="str">
        <x:v>56-57</x:v>
      </x:c>
      <x:c r="S36" s="83" t="str">
        <x:v>Tabella 13</x:v>
      </x:c>
      <x:c r="T36" s="83" t="str">
        <x:v>Direct table extraction</x:v>
      </x:c>
      <x:c r="U36" s="83" t="str">
        <x:v>A - Direct</x:v>
      </x:c>
      <x:c r="V36" s="83" t="str">
        <x:v>Capacity-fixed input after technology/geography reconciliation.</x:v>
      </x:c>
      <x:c r="W36" s="83" t="str"/>
    </x:row>
    <x:row r="37">
      <x:c r="A37" s="83" t="str">
        <x:v>CAP-0033</x:v>
      </x:c>
      <x:c r="B37" s="83" t="str">
        <x:v>DE_IT_2040</x:v>
      </x:c>
      <x:c r="C37" s="83" t="n">
        <x:v>2040</x:v>
      </x:c>
      <x:c r="D37" s="83" t="str">
        <x:v>DE-IT 2040</x:v>
      </x:c>
      <x:c r="E37" s="83" t="str">
        <x:v>Wind</x:v>
      </x:c>
      <x:c r="F37" s="83" t="str">
        <x:v>Eolico onshore</x:v>
      </x:c>
      <x:c r="G37" s="83" t="str">
        <x:v>Onshore</x:v>
      </x:c>
      <x:c r="H37" s="143"/>
      <x:c r="I37" s="143" t="n">
        <x:v>34</x:v>
      </x:c>
      <x:c r="J37" s="143"/>
      <x:c r="K37" s="83" t="str">
        <x:v>GW</x:v>
      </x:c>
      <x:c r="L37" s="83" t="str">
        <x:v>Italia</x:v>
      </x:c>
      <x:c r="M37" s="83" t="str">
        <x:v>Installed capacity</x:v>
      </x:c>
      <x:c r="N37" s="83" t="str">
        <x:v>Assunzione di scenario</x:v>
      </x:c>
      <x:c r="O37" s="83" t="str">
        <x:v>S09</x:v>
      </x:c>
      <x:c r="P37" s="83" t="str">
        <x:v>Documento_Descrizione_Scenari_2024_8dce2430d44d101.pdf</x:v>
      </x:c>
      <x:c r="Q37" s="83" t="n">
        <x:v>59</x:v>
      </x:c>
      <x:c r="R37" s="83" t="str">
        <x:v>56-57</x:v>
      </x:c>
      <x:c r="S37" s="83" t="str">
        <x:v>Tabella 13</x:v>
      </x:c>
      <x:c r="T37" s="83" t="str">
        <x:v>Direct table extraction</x:v>
      </x:c>
      <x:c r="U37" s="83" t="str">
        <x:v>A - Direct</x:v>
      </x:c>
      <x:c r="V37" s="83" t="str">
        <x:v>Capacity-fixed input after technology/geography reconciliation.</x:v>
      </x:c>
      <x:c r="W37" s="83" t="str"/>
    </x:row>
    <x:row r="38">
      <x:c r="A38" s="83" t="str">
        <x:v>CAP-0034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Wind</x:v>
      </x:c>
      <x:c r="F38" s="83" t="str">
        <x:v>Eolico offshore</x:v>
      </x:c>
      <x:c r="G38" s="83" t="str">
        <x:v>Offshore</x:v>
      </x:c>
      <x:c r="H38" s="143"/>
      <x:c r="I38" s="143" t="n">
        <x:v>15.1</x:v>
      </x:c>
      <x:c r="J38" s="143"/>
      <x:c r="K38" s="83" t="str">
        <x:v>GW</x:v>
      </x:c>
      <x:c r="L38" s="83" t="str">
        <x:v>Italia</x:v>
      </x:c>
      <x:c r="M38" s="83" t="str">
        <x:v>Installed capacity</x:v>
      </x:c>
      <x:c r="N38" s="83" t="str">
        <x:v>Assunzione di scenario</x:v>
      </x:c>
      <x:c r="O38" s="83" t="str">
        <x:v>S09</x:v>
      </x:c>
      <x:c r="P38" s="83" t="str">
        <x:v>Documento_Descrizione_Scenari_2024_8dce2430d44d101.pdf</x:v>
      </x:c>
      <x:c r="Q38" s="83" t="n">
        <x:v>59</x:v>
      </x:c>
      <x:c r="R38" s="83" t="str">
        <x:v>56-57</x:v>
      </x:c>
      <x:c r="S38" s="83" t="str">
        <x:v>Tabella 13</x:v>
      </x:c>
      <x:c r="T38" s="83" t="str">
        <x:v>Direct table extraction</x:v>
      </x:c>
      <x:c r="U38" s="83" t="str">
        <x:v>A - Direct</x:v>
      </x:c>
      <x:c r="V38" s="83" t="str">
        <x:v>Capacity-fixed input after technology/geography reconciliation.</x:v>
      </x:c>
      <x:c r="W38" s="83" t="str">
        <x:v>2023 is zero/not present.</x:v>
      </x:c>
    </x:row>
    <x:row r="39">
      <x:c r="A39" s="83" t="str">
        <x:v>CAP-0035</x:v>
      </x:c>
      <x:c r="B39" s="83" t="str">
        <x:v>DE_IT_2040</x:v>
      </x:c>
      <x:c r="C39" s="83" t="n">
        <x:v>2040</x:v>
      </x:c>
      <x:c r="D39" s="83" t="str">
        <x:v>DE-IT 2040</x:v>
      </x:c>
      <x:c r="E39" s="83" t="str">
        <x:v>Variable renewables</x:v>
      </x:c>
      <x:c r="F39" s="83" t="str">
        <x:v>Solare + eolico</x:v>
      </x:c>
      <x:c r="G39" s="83" t="str">
        <x:v>Solar + onshore + offshore</x:v>
      </x:c>
      <x:c r="H39" s="143"/>
      <x:c r="I39" s="143" t="n">
        <x:v>170.1</x:v>
      </x:c>
      <x:c r="J39" s="143"/>
      <x:c r="K39" s="83" t="str">
        <x:v>GW</x:v>
      </x:c>
      <x:c r="L39" s="83" t="str">
        <x:v>Italia</x:v>
      </x:c>
      <x:c r="M39" s="83" t="str">
        <x:v>Installed capacity</x:v>
      </x:c>
      <x:c r="N39" s="83" t="str">
        <x:v>Assunzione di scenario</x:v>
      </x:c>
      <x:c r="O39" s="83" t="str">
        <x:v>S09</x:v>
      </x:c>
      <x:c r="P39" s="83" t="str">
        <x:v>Documento_Descrizione_Scenari_2024_8dce2430d44d101.pdf</x:v>
      </x:c>
      <x:c r="Q39" s="83" t="n">
        <x:v>59</x:v>
      </x:c>
      <x:c r="R39" s="83" t="str">
        <x:v>56-57</x:v>
      </x:c>
      <x:c r="S39" s="83" t="str">
        <x:v>Tabella 13</x:v>
      </x:c>
      <x:c r="T39" s="83" t="str">
        <x:v>Direct table extraction</x:v>
      </x:c>
      <x:c r="U39" s="83" t="str">
        <x:v>A - Direct</x:v>
      </x:c>
      <x:c r="V39" s="83" t="str">
        <x:v>Capacity-fixed input after technology/geography reconciliation.</x:v>
      </x:c>
      <x:c r="W39" s="83" t="str">
        <x:v>Despite table title 'Capacità FER', the listed total covers solar and wind only.</x:v>
      </x:c>
    </x:row>
    <x:row r="40">
      <x:c r="A40" s="83" t="str">
        <x:v>CAP-0036</x:v>
      </x:c>
      <x:c r="B40" s="83" t="str">
        <x:v>GA_IT_2040</x:v>
      </x:c>
      <x:c r="C40" s="83" t="n">
        <x:v>2040</x:v>
      </x:c>
      <x:c r="D40" s="83" t="str">
        <x:v>GA-IT 2040</x:v>
      </x:c>
      <x:c r="E40" s="83" t="str">
        <x:v>Renewables</x:v>
      </x:c>
      <x:c r="F40" s="83" t="str">
        <x:v>Totale FER installata</x:v>
      </x:c>
      <x:c r="G40" s="83" t="str">
        <x:v>All renewable technologies</x:v>
      </x:c>
      <x:c r="H40" s="143"/>
      <x:c r="I40" s="143" t="n">
        <x:v>176</x:v>
      </x:c>
      <x:c r="J40" s="143"/>
      <x:c r="K40" s="83" t="str">
        <x:v>GW</x:v>
      </x:c>
      <x:c r="L40" s="83" t="str">
        <x:v>Italia</x:v>
      </x:c>
      <x:c r="M40" s="83" t="str">
        <x:v>Installed capacity</x:v>
      </x:c>
      <x:c r="N40" s="83" t="str">
        <x:v>Assunzione di scenario</x:v>
      </x:c>
      <x:c r="O40" s="83" t="str">
        <x:v>S09</x:v>
      </x:c>
      <x:c r="P40" s="83" t="str">
        <x:v>Documento_Descrizione_Scenari_2024_8dce2430d44d101.pdf</x:v>
      </x:c>
      <x:c r="Q40" s="83" t="n">
        <x:v>14</x:v>
      </x:c>
      <x:c r="R40" s="83" t="str">
        <x:v>12-13</x:v>
      </x:c>
      <x:c r="S40" s="83" t="str">
        <x:v>Tabella 1</x:v>
      </x:c>
      <x:c r="T40" s="83" t="str">
        <x:v>Direct table extraction</x:v>
      </x:c>
      <x:c r="U40" s="83" t="str">
        <x:v>A - Direct</x:v>
      </x:c>
      <x:c r="V40" s="83" t="str">
        <x:v>Capacity-fixed input after technology/geography reconciliation.</x:v>
      </x:c>
      <x:c r="W40" s="83" t="str">
        <x:v>Includes hydro and other renewable capacity; rounded to whole GW.</x:v>
      </x:c>
    </x:row>
    <x:row r="41">
      <x:c r="A41" s="83" t="str">
        <x:v>CAP-0037</x:v>
      </x:c>
      <x:c r="B41" s="83" t="str">
        <x:v>GA_IT_2040</x:v>
      </x:c>
      <x:c r="C41" s="83" t="n">
        <x:v>2040</x:v>
      </x:c>
      <x:c r="D41" s="83" t="str">
        <x:v>GA-IT 2040</x:v>
      </x:c>
      <x:c r="E41" s="83" t="str">
        <x:v>Solar</x:v>
      </x:c>
      <x:c r="F41" s="83" t="str">
        <x:v>Solare</x:v>
      </x:c>
      <x:c r="G41" s="83" t="str">
        <x:v>Total solar</x:v>
      </x:c>
      <x:c r="H41" s="143"/>
      <x:c r="I41" s="143" t="n">
        <x:v>111</x:v>
      </x:c>
      <x:c r="J41" s="143"/>
      <x:c r="K41" s="83" t="str">
        <x:v>GW</x:v>
      </x:c>
      <x:c r="L41" s="83" t="str">
        <x:v>Italia</x:v>
      </x:c>
      <x:c r="M41" s="83" t="str">
        <x:v>Installed capacity</x:v>
      </x:c>
      <x:c r="N41" s="83" t="str">
        <x:v>Assunzione di scenario</x:v>
      </x:c>
      <x:c r="O41" s="83" t="str">
        <x:v>S09</x:v>
      </x:c>
      <x:c r="P41" s="83" t="str">
        <x:v>Documento_Descrizione_Scenari_2024_8dce2430d44d101.pdf</x:v>
      </x:c>
      <x:c r="Q41" s="83" t="n">
        <x:v>59</x:v>
      </x:c>
      <x:c r="R41" s="83" t="str">
        <x:v>56-57</x:v>
      </x:c>
      <x:c r="S41" s="83" t="str">
        <x:v>Tabella 13</x:v>
      </x:c>
      <x:c r="T41" s="83" t="str">
        <x:v>Direct table extraction</x:v>
      </x:c>
      <x:c r="U41" s="83" t="str">
        <x:v>A - Direct</x:v>
      </x:c>
      <x:c r="V41" s="83" t="str">
        <x:v>Capacity-fixed input after technology/geography reconciliation.</x:v>
      </x:c>
      <x:c r="W41" s="83" t="str"/>
    </x:row>
    <x:row r="42">
      <x:c r="A42" s="83" t="str">
        <x:v>CAP-0038</x:v>
      </x:c>
      <x:c r="B42" s="83" t="str">
        <x:v>GA_IT_2040</x:v>
      </x:c>
      <x:c r="C42" s="83" t="n">
        <x:v>2040</x:v>
      </x:c>
      <x:c r="D42" s="83" t="str">
        <x:v>GA-IT 2040</x:v>
      </x:c>
      <x:c r="E42" s="83" t="str">
        <x:v>Wind</x:v>
      </x:c>
      <x:c r="F42" s="83" t="str">
        <x:v>Eolico onshore</x:v>
      </x:c>
      <x:c r="G42" s="83" t="str">
        <x:v>Onshore</x:v>
      </x:c>
      <x:c r="H42" s="143"/>
      <x:c r="I42" s="143" t="n">
        <x:v>31</x:v>
      </x:c>
      <x:c r="J42" s="143"/>
      <x:c r="K42" s="83" t="str">
        <x:v>GW</x:v>
      </x:c>
      <x:c r="L42" s="83" t="str">
        <x:v>Italia</x:v>
      </x:c>
      <x:c r="M42" s="83" t="str">
        <x:v>Installed capacity</x:v>
      </x:c>
      <x:c r="N42" s="83" t="str">
        <x:v>Assunzione di scenario</x:v>
      </x:c>
      <x:c r="O42" s="83" t="str">
        <x:v>S09</x:v>
      </x:c>
      <x:c r="P42" s="83" t="str">
        <x:v>Documento_Descrizione_Scenari_2024_8dce2430d44d101.pdf</x:v>
      </x:c>
      <x:c r="Q42" s="83" t="n">
        <x:v>59</x:v>
      </x:c>
      <x:c r="R42" s="83" t="str">
        <x:v>56-57</x:v>
      </x:c>
      <x:c r="S42" s="83" t="str">
        <x:v>Tabella 13</x:v>
      </x:c>
      <x:c r="T42" s="83" t="str">
        <x:v>Direct table extraction</x:v>
      </x:c>
      <x:c r="U42" s="83" t="str">
        <x:v>A - Direct</x:v>
      </x:c>
      <x:c r="V42" s="83" t="str">
        <x:v>Capacity-fixed input after technology/geography reconciliation.</x:v>
      </x:c>
      <x:c r="W42" s="83" t="str"/>
    </x:row>
    <x:row r="43">
      <x:c r="A43" s="83" t="str">
        <x:v>CAP-0039</x:v>
      </x:c>
      <x:c r="B43" s="83" t="str">
        <x:v>GA_IT_2040</x:v>
      </x:c>
      <x:c r="C43" s="83" t="n">
        <x:v>2040</x:v>
      </x:c>
      <x:c r="D43" s="83" t="str">
        <x:v>GA-IT 2040</x:v>
      </x:c>
      <x:c r="E43" s="83" t="str">
        <x:v>Wind</x:v>
      </x:c>
      <x:c r="F43" s="83" t="str">
        <x:v>Eolico offshore</x:v>
      </x:c>
      <x:c r="G43" s="83" t="str">
        <x:v>Offshore</x:v>
      </x:c>
      <x:c r="H43" s="143"/>
      <x:c r="I43" s="143" t="n">
        <x:v>12.1</x:v>
      </x:c>
      <x:c r="J43" s="143"/>
      <x:c r="K43" s="83" t="str">
        <x:v>GW</x:v>
      </x:c>
      <x:c r="L43" s="83" t="str">
        <x:v>Italia</x:v>
      </x:c>
      <x:c r="M43" s="83" t="str">
        <x:v>Installed capacity</x:v>
      </x:c>
      <x:c r="N43" s="83" t="str">
        <x:v>Assunzione di scenario</x:v>
      </x:c>
      <x:c r="O43" s="83" t="str">
        <x:v>S09</x:v>
      </x:c>
      <x:c r="P43" s="83" t="str">
        <x:v>Documento_Descrizione_Scenari_2024_8dce2430d44d101.pdf</x:v>
      </x:c>
      <x:c r="Q43" s="83" t="n">
        <x:v>59</x:v>
      </x:c>
      <x:c r="R43" s="83" t="str">
        <x:v>56-57</x:v>
      </x:c>
      <x:c r="S43" s="83" t="str">
        <x:v>Tabella 13</x:v>
      </x:c>
      <x:c r="T43" s="83" t="str">
        <x:v>Direct table extraction</x:v>
      </x:c>
      <x:c r="U43" s="83" t="str">
        <x:v>A - Direct</x:v>
      </x:c>
      <x:c r="V43" s="83" t="str">
        <x:v>Capacity-fixed input after technology/geography reconciliation.</x:v>
      </x:c>
      <x:c r="W43" s="83" t="str">
        <x:v>2023 is zero/not present.</x:v>
      </x:c>
    </x:row>
    <x:row r="44">
      <x:c r="A44" s="83" t="str">
        <x:v>CAP-0040</x:v>
      </x:c>
      <x:c r="B44" s="83" t="str">
        <x:v>GA_IT_2040</x:v>
      </x:c>
      <x:c r="C44" s="83" t="n">
        <x:v>2040</x:v>
      </x:c>
      <x:c r="D44" s="83" t="str">
        <x:v>GA-IT 2040</x:v>
      </x:c>
      <x:c r="E44" s="83" t="str">
        <x:v>Variable renewables</x:v>
      </x:c>
      <x:c r="F44" s="83" t="str">
        <x:v>Solare + eolico</x:v>
      </x:c>
      <x:c r="G44" s="83" t="str">
        <x:v>Solar + onshore + offshore</x:v>
      </x:c>
      <x:c r="H44" s="143"/>
      <x:c r="I44" s="143" t="n">
        <x:v>154.1</x:v>
      </x:c>
      <x:c r="J44" s="143"/>
      <x:c r="K44" s="83" t="str">
        <x:v>GW</x:v>
      </x:c>
      <x:c r="L44" s="83" t="str">
        <x:v>Italia</x:v>
      </x:c>
      <x:c r="M44" s="83" t="str">
        <x:v>Installed capacity</x:v>
      </x:c>
      <x:c r="N44" s="83" t="str">
        <x:v>Assunzione di scenario</x:v>
      </x:c>
      <x:c r="O44" s="83" t="str">
        <x:v>S09</x:v>
      </x:c>
      <x:c r="P44" s="83" t="str">
        <x:v>Documento_Descrizione_Scenari_2024_8dce2430d44d101.pdf</x:v>
      </x:c>
      <x:c r="Q44" s="83" t="n">
        <x:v>59</x:v>
      </x:c>
      <x:c r="R44" s="83" t="str">
        <x:v>56-57</x:v>
      </x:c>
      <x:c r="S44" s="83" t="str">
        <x:v>Tabella 13</x:v>
      </x:c>
      <x:c r="T44" s="83" t="str">
        <x:v>Direct table extraction</x:v>
      </x:c>
      <x:c r="U44" s="83" t="str">
        <x:v>A - Direct</x:v>
      </x:c>
      <x:c r="V44" s="83" t="str">
        <x:v>Capacity-fixed input after technology/geography reconciliation.</x:v>
      </x:c>
      <x:c r="W44" s="83" t="str">
        <x:v>Despite table title 'Capacità FER', the listed total covers solar and wind only.</x:v>
      </x:c>
    </x:row>
    <x:row r="45">
      <x:c r="A45" s="83" t="str">
        <x:v>CAP-0041</x:v>
      </x:c>
      <x:c r="B45" s="83" t="str">
        <x:v>PNIEC_SLOW_2040</x:v>
      </x:c>
      <x:c r="C45" s="83" t="n">
        <x:v>2040</x:v>
      </x:c>
      <x:c r="D45" s="83" t="str">
        <x:v>PNIEC Slow 2040</x:v>
      </x:c>
      <x:c r="E45" s="83" t="str">
        <x:v>Renewables</x:v>
      </x:c>
      <x:c r="F45" s="83" t="str">
        <x:v>Totale FER installata</x:v>
      </x:c>
      <x:c r="G45" s="83" t="str">
        <x:v>All renewable technologies</x:v>
      </x:c>
      <x:c r="H45" s="143"/>
      <x:c r="I45" s="143" t="n">
        <x:v>166</x:v>
      </x:c>
      <x:c r="J45" s="143"/>
      <x:c r="K45" s="83" t="str">
        <x:v>GW</x:v>
      </x:c>
      <x:c r="L45" s="83" t="str">
        <x:v>Italia</x:v>
      </x:c>
      <x:c r="M45" s="83" t="str">
        <x:v>Installed capacity</x:v>
      </x:c>
      <x:c r="N45" s="83" t="str">
        <x:v>Assunzione di scenario</x:v>
      </x:c>
      <x:c r="O45" s="83" t="str">
        <x:v>S09</x:v>
      </x:c>
      <x:c r="P45" s="83" t="str">
        <x:v>Documento_Descrizione_Scenari_2024_8dce2430d44d101.pdf</x:v>
      </x:c>
      <x:c r="Q45" s="83" t="n">
        <x:v>14</x:v>
      </x:c>
      <x:c r="R45" s="83" t="str">
        <x:v>12-13</x:v>
      </x:c>
      <x:c r="S45" s="83" t="str">
        <x:v>Tabella 1</x:v>
      </x:c>
      <x:c r="T45" s="83" t="str">
        <x:v>Direct table extraction</x:v>
      </x:c>
      <x:c r="U45" s="83" t="str">
        <x:v>A - Direct</x:v>
      </x:c>
      <x:c r="V45" s="83" t="str">
        <x:v>Capacity-fixed input after technology/geography reconciliation.</x:v>
      </x:c>
      <x:c r="W45" s="83" t="str">
        <x:v>Includes hydro and other renewable capacity; rounded to whole GW.</x:v>
      </x:c>
    </x:row>
    <x:row r="46">
      <x:c r="A46" s="83" t="str">
        <x:v>CAP-0042</x:v>
      </x:c>
      <x:c r="B46" s="83" t="str">
        <x:v>PNIEC_SLOW_2040</x:v>
      </x:c>
      <x:c r="C46" s="83" t="n">
        <x:v>2040</x:v>
      </x:c>
      <x:c r="D46" s="83" t="str">
        <x:v>PNIEC Slow 2040</x:v>
      </x:c>
      <x:c r="E46" s="83" t="str">
        <x:v>Solar</x:v>
      </x:c>
      <x:c r="F46" s="83" t="str">
        <x:v>Solare</x:v>
      </x:c>
      <x:c r="G46" s="83" t="str">
        <x:v>Total solar</x:v>
      </x:c>
      <x:c r="H46" s="143"/>
      <x:c r="I46" s="143" t="n">
        <x:v>105.1</x:v>
      </x:c>
      <x:c r="J46" s="143"/>
      <x:c r="K46" s="83" t="str">
        <x:v>GW</x:v>
      </x:c>
      <x:c r="L46" s="83" t="str">
        <x:v>Italia</x:v>
      </x:c>
      <x:c r="M46" s="83" t="str">
        <x:v>Installed capacity</x:v>
      </x:c>
      <x:c r="N46" s="83" t="str">
        <x:v>Assunzione di scenario</x:v>
      </x:c>
      <x:c r="O46" s="83" t="str">
        <x:v>S09</x:v>
      </x:c>
      <x:c r="P46" s="83" t="str">
        <x:v>Documento_Descrizione_Scenari_2024_8dce2430d44d101.pdf</x:v>
      </x:c>
      <x:c r="Q46" s="83" t="n">
        <x:v>59</x:v>
      </x:c>
      <x:c r="R46" s="83" t="str">
        <x:v>56-57</x:v>
      </x:c>
      <x:c r="S46" s="83" t="str">
        <x:v>Tabella 13</x:v>
      </x:c>
      <x:c r="T46" s="83" t="str">
        <x:v>Direct table extraction</x:v>
      </x:c>
      <x:c r="U46" s="83" t="str">
        <x:v>A - Direct</x:v>
      </x:c>
      <x:c r="V46" s="83" t="str">
        <x:v>Capacity-fixed input after technology/geography reconciliation.</x:v>
      </x:c>
      <x:c r="W46" s="83" t="str"/>
    </x:row>
    <x:row r="47">
      <x:c r="A47" s="83" t="str">
        <x:v>CAP-0043</x:v>
      </x:c>
      <x:c r="B47" s="83" t="str">
        <x:v>PNIEC_SLOW_2040</x:v>
      </x:c>
      <x:c r="C47" s="83" t="n">
        <x:v>2040</x:v>
      </x:c>
      <x:c r="D47" s="83" t="str">
        <x:v>PNIEC Slow 2040</x:v>
      </x:c>
      <x:c r="E47" s="83" t="str">
        <x:v>Wind</x:v>
      </x:c>
      <x:c r="F47" s="83" t="str">
        <x:v>Eolico onshore</x:v>
      </x:c>
      <x:c r="G47" s="83" t="str">
        <x:v>Onshore</x:v>
      </x:c>
      <x:c r="H47" s="143"/>
      <x:c r="I47" s="143" t="n">
        <x:v>29</x:v>
      </x:c>
      <x:c r="J47" s="143"/>
      <x:c r="K47" s="83" t="str">
        <x:v>GW</x:v>
      </x:c>
      <x:c r="L47" s="83" t="str">
        <x:v>Italia</x:v>
      </x:c>
      <x:c r="M47" s="83" t="str">
        <x:v>Installed capacity</x:v>
      </x:c>
      <x:c r="N47" s="83" t="str">
        <x:v>Assunzione di scenario</x:v>
      </x:c>
      <x:c r="O47" s="83" t="str">
        <x:v>S09</x:v>
      </x:c>
      <x:c r="P47" s="83" t="str">
        <x:v>Documento_Descrizione_Scenari_2024_8dce2430d44d101.pdf</x:v>
      </x:c>
      <x:c r="Q47" s="83" t="n">
        <x:v>59</x:v>
      </x:c>
      <x:c r="R47" s="83" t="str">
        <x:v>56-57</x:v>
      </x:c>
      <x:c r="S47" s="83" t="str">
        <x:v>Tabella 13</x:v>
      </x:c>
      <x:c r="T47" s="83" t="str">
        <x:v>Direct table extraction</x:v>
      </x:c>
      <x:c r="U47" s="83" t="str">
        <x:v>A - Direct</x:v>
      </x:c>
      <x:c r="V47" s="83" t="str">
        <x:v>Capacity-fixed input after technology/geography reconciliation.</x:v>
      </x:c>
      <x:c r="W47" s="83" t="str"/>
    </x:row>
    <x:row r="48">
      <x:c r="A48" s="83" t="str">
        <x:v>CAP-0044</x:v>
      </x:c>
      <x:c r="B48" s="83" t="str">
        <x:v>PNIEC_SLOW_2040</x:v>
      </x:c>
      <x:c r="C48" s="83" t="n">
        <x:v>2040</x:v>
      </x:c>
      <x:c r="D48" s="83" t="str">
        <x:v>PNIEC Slow 2040</x:v>
      </x:c>
      <x:c r="E48" s="83" t="str">
        <x:v>Wind</x:v>
      </x:c>
      <x:c r="F48" s="83" t="str">
        <x:v>Eolico offshore</x:v>
      </x:c>
      <x:c r="G48" s="83" t="str">
        <x:v>Offshore</x:v>
      </x:c>
      <x:c r="H48" s="143"/>
      <x:c r="I48" s="143" t="n">
        <x:v>10</x:v>
      </x:c>
      <x:c r="J48" s="143"/>
      <x:c r="K48" s="83" t="str">
        <x:v>GW</x:v>
      </x:c>
      <x:c r="L48" s="83" t="str">
        <x:v>Italia</x:v>
      </x:c>
      <x:c r="M48" s="83" t="str">
        <x:v>Installed capacity</x:v>
      </x:c>
      <x:c r="N48" s="83" t="str">
        <x:v>Assunzione di scenario</x:v>
      </x:c>
      <x:c r="O48" s="83" t="str">
        <x:v>S09</x:v>
      </x:c>
      <x:c r="P48" s="83" t="str">
        <x:v>Documento_Descrizione_Scenari_2024_8dce2430d44d101.pdf</x:v>
      </x:c>
      <x:c r="Q48" s="83" t="n">
        <x:v>59</x:v>
      </x:c>
      <x:c r="R48" s="83" t="str">
        <x:v>56-57</x:v>
      </x:c>
      <x:c r="S48" s="83" t="str">
        <x:v>Tabella 13</x:v>
      </x:c>
      <x:c r="T48" s="83" t="str">
        <x:v>Direct table extraction</x:v>
      </x:c>
      <x:c r="U48" s="83" t="str">
        <x:v>A - Direct</x:v>
      </x:c>
      <x:c r="V48" s="83" t="str">
        <x:v>Capacity-fixed input after technology/geography reconciliation.</x:v>
      </x:c>
      <x:c r="W48" s="83" t="str">
        <x:v>2023 is zero/not present.</x:v>
      </x:c>
    </x:row>
    <x:row r="49">
      <x:c r="A49" s="83" t="str">
        <x:v>CAP-0045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Variable renewables</x:v>
      </x:c>
      <x:c r="F49" s="83" t="str">
        <x:v>Solare + eolico</x:v>
      </x:c>
      <x:c r="G49" s="83" t="str">
        <x:v>Solar + onshore + offshore</x:v>
      </x:c>
      <x:c r="H49" s="143"/>
      <x:c r="I49" s="143" t="n">
        <x:v>144.1</x:v>
      </x:c>
      <x:c r="J49" s="143"/>
      <x:c r="K49" s="83" t="str">
        <x:v>GW</x:v>
      </x:c>
      <x:c r="L49" s="83" t="str">
        <x:v>Italia</x:v>
      </x:c>
      <x:c r="M49" s="83" t="str">
        <x:v>Installed capacity</x:v>
      </x:c>
      <x:c r="N49" s="83" t="str">
        <x:v>Assunzione di scenario</x:v>
      </x:c>
      <x:c r="O49" s="83" t="str">
        <x:v>S09</x:v>
      </x:c>
      <x:c r="P49" s="83" t="str">
        <x:v>Documento_Descrizione_Scenari_2024_8dce2430d44d101.pdf</x:v>
      </x:c>
      <x:c r="Q49" s="83" t="n">
        <x:v>59</x:v>
      </x:c>
      <x:c r="R49" s="83" t="str">
        <x:v>56-57</x:v>
      </x:c>
      <x:c r="S49" s="83" t="str">
        <x:v>Tabella 13</x:v>
      </x:c>
      <x:c r="T49" s="83" t="str">
        <x:v>Direct table extraction</x:v>
      </x:c>
      <x:c r="U49" s="83" t="str">
        <x:v>A - Direct</x:v>
      </x:c>
      <x:c r="V49" s="83" t="str">
        <x:v>Capacity-fixed input after technology/geography reconciliation.</x:v>
      </x:c>
      <x:c r="W49" s="83" t="str">
        <x:v>Despite table title 'Capacità FER', the listed total covers solar and wind only.</x:v>
      </x:c>
    </x:row>
    <x:row r="50">
      <x:c r="A50" s="83" t="str">
        <x:v>CAP-0046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Programmable/thermal</x:v>
      </x:c>
      <x:c r="F50" s="83" t="str">
        <x:v>Parco termoelettrico aggregato</x:v>
      </x:c>
      <x:c r="G50" s="83" t="str">
        <x:v>Potenza efficiente netta; include biomasse e geotermico</x:v>
      </x:c>
      <x:c r="H50" s="143"/>
      <x:c r="I50" s="143" t="n">
        <x:v>62</x:v>
      </x:c>
      <x:c r="J50" s="143"/>
      <x:c r="K50" s="83" t="str">
        <x:v>GW</x:v>
      </x:c>
      <x:c r="L50" s="83" t="str">
        <x:v>Italia</x:v>
      </x:c>
      <x:c r="M50" s="83" t="str">
        <x:v>Approximate aggregate fleet</x:v>
      </x:c>
      <x:c r="N50" s="83" t="str">
        <x:v>Dato osservato storico</x:v>
      </x:c>
      <x:c r="O50" s="83" t="str">
        <x:v>S01</x:v>
      </x:c>
      <x:c r="P50" s="83" t="str">
        <x:v>Terna_Piano_Sviluppo_2025_Stato_sistema_elettrico_scenari_energetici_8dd62ec4bbb9f75.pdf</x:v>
      </x:c>
      <x:c r="Q50" s="83" t="n">
        <x:v>96</x:v>
      </x:c>
      <x:c r="R50" s="83" t="str">
        <x:v>94</x:v>
      </x:c>
      <x:c r="S50" s="83" t="str">
        <x:v>Narrative after Figura 55</x:v>
      </x:c>
      <x:c r="T50" s="83" t="str">
        <x:v>Direct narrative extraction; approximate value</x:v>
      </x:c>
      <x:c r="U50" s="83" t="str">
        <x:v>A - Direct approximate</x:v>
      </x:c>
      <x:c r="V50" s="83" t="str">
        <x:v>Context only until split by fuel/technology; not directly usable in dispatch.</x:v>
      </x:c>
      <x:c r="W50" s="83" t="str">
        <x:v>Coal phase-out; gas capacity otherwise held constant except expected retirements. Footnote says includes biomass and geothermal.</x:v>
      </x:c>
    </x:row>
    <x:row r="51">
      <x:c r="A51" s="83" t="str">
        <x:v>CAP-0047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Programmable/thermal</x:v>
      </x:c>
      <x:c r="F51" s="83" t="str">
        <x:v>Parco termoelettrico aggregato</x:v>
      </x:c>
      <x:c r="G51" s="83" t="str">
        <x:v>Potenza efficiente netta; include biomasse e geotermico</x:v>
      </x:c>
      <x:c r="H51" s="143"/>
      <x:c r="I51" s="143" t="n">
        <x:v>55</x:v>
      </x:c>
      <x:c r="J51" s="143"/>
      <x:c r="K51" s="83" t="str">
        <x:v>GW</x:v>
      </x:c>
      <x:c r="L51" s="83" t="str">
        <x:v>Italia</x:v>
      </x:c>
      <x:c r="M51" s="83" t="str">
        <x:v>Approximate aggregate fleet</x:v>
      </x:c>
      <x:c r="N51" s="83" t="str">
        <x:v>Assunzione di scenario</x:v>
      </x:c>
      <x:c r="O51" s="83" t="str">
        <x:v>S01</x:v>
      </x:c>
      <x:c r="P51" s="83" t="str">
        <x:v>Terna_Piano_Sviluppo_2025_Stato_sistema_elettrico_scenari_energetici_8dd62ec4bbb9f75.pdf</x:v>
      </x:c>
      <x:c r="Q51" s="83" t="n">
        <x:v>96</x:v>
      </x:c>
      <x:c r="R51" s="83" t="str">
        <x:v>94</x:v>
      </x:c>
      <x:c r="S51" s="83" t="str">
        <x:v>Narrative after Figura 55</x:v>
      </x:c>
      <x:c r="T51" s="83" t="str">
        <x:v>Direct narrative extraction; approximate value</x:v>
      </x:c>
      <x:c r="U51" s="83" t="str">
        <x:v>A - Direct approximate</x:v>
      </x:c>
      <x:c r="V51" s="83" t="str">
        <x:v>Context only until split by fuel/technology; not directly usable in dispatch.</x:v>
      </x:c>
      <x:c r="W51" s="83" t="str">
        <x:v>Coal phase-out; gas capacity otherwise held constant except expected retirements. Footnote says includes biomass and geothermal.</x:v>
      </x:c>
    </x:row>
    <x:row r="52">
      <x:c r="A52" s="83" t="str">
        <x:v>CAP-0048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Programmable/thermal</x:v>
      </x:c>
      <x:c r="F52" s="83" t="str">
        <x:v>Parco termoelettrico aggregato</x:v>
      </x:c>
      <x:c r="G52" s="83" t="str">
        <x:v>Potenza efficiente netta; include biomasse e geotermico</x:v>
      </x:c>
      <x:c r="H52" s="143"/>
      <x:c r="I52" s="143" t="n">
        <x:v>55</x:v>
      </x:c>
      <x:c r="J52" s="143"/>
      <x:c r="K52" s="83" t="str">
        <x:v>GW</x:v>
      </x:c>
      <x:c r="L52" s="83" t="str">
        <x:v>Italia</x:v>
      </x:c>
      <x:c r="M52" s="83" t="str">
        <x:v>Approximate aggregate fleet</x:v>
      </x:c>
      <x:c r="N52" s="83" t="str">
        <x:v>Assunzione di scenario</x:v>
      </x:c>
      <x:c r="O52" s="83" t="str">
        <x:v>S01</x:v>
      </x:c>
      <x:c r="P52" s="83" t="str">
        <x:v>Terna_Piano_Sviluppo_2025_Stato_sistema_elettrico_scenari_energetici_8dd62ec4bbb9f75.pdf</x:v>
      </x:c>
      <x:c r="Q52" s="83" t="n">
        <x:v>96</x:v>
      </x:c>
      <x:c r="R52" s="83" t="str">
        <x:v>94</x:v>
      </x:c>
      <x:c r="S52" s="83" t="str">
        <x:v>Narrative after Figura 55</x:v>
      </x:c>
      <x:c r="T52" s="83" t="str">
        <x:v>Direct narrative extraction; approximate value</x:v>
      </x:c>
      <x:c r="U52" s="83" t="str">
        <x:v>A - Direct approximate</x:v>
      </x:c>
      <x:c r="V52" s="83" t="str">
        <x:v>Context only until split by fuel/technology; not directly usable in dispatch.</x:v>
      </x:c>
      <x:c r="W52" s="83" t="str">
        <x:v>Coal phase-out; gas capacity otherwise held constant except expected retirements. Footnote says includes biomass and geothermal.</x:v>
      </x:c>
    </x:row>
    <x:row r="53">
      <x:c r="A53" s="83" t="str">
        <x:v>CAP-0049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Programmable/thermal</x:v>
      </x:c>
      <x:c r="F53" s="83" t="str">
        <x:v>Parco termoelettrico aggregato</x:v>
      </x:c>
      <x:c r="G53" s="83" t="str">
        <x:v>Potenza efficiente netta; include biomasse e geotermico</x:v>
      </x:c>
      <x:c r="H53" s="143"/>
      <x:c r="I53" s="143" t="n">
        <x:v>55</x:v>
      </x:c>
      <x:c r="J53" s="143"/>
      <x:c r="K53" s="83" t="str">
        <x:v>GW</x:v>
      </x:c>
      <x:c r="L53" s="83" t="str">
        <x:v>Italia</x:v>
      </x:c>
      <x:c r="M53" s="83" t="str">
        <x:v>Approximate aggregate fleet</x:v>
      </x:c>
      <x:c r="N53" s="83" t="str">
        <x:v>Assunzione di scenario</x:v>
      </x:c>
      <x:c r="O53" s="83" t="str">
        <x:v>S01</x:v>
      </x:c>
      <x:c r="P53" s="83" t="str">
        <x:v>Terna_Piano_Sviluppo_2025_Stato_sistema_elettrico_scenari_energetici_8dd62ec4bbb9f75.pdf</x:v>
      </x:c>
      <x:c r="Q53" s="83" t="n">
        <x:v>96</x:v>
      </x:c>
      <x:c r="R53" s="83" t="str">
        <x:v>94</x:v>
      </x:c>
      <x:c r="S53" s="83" t="str">
        <x:v>Narrative after Figura 55</x:v>
      </x:c>
      <x:c r="T53" s="83" t="str">
        <x:v>Direct narrative extraction; approximate value</x:v>
      </x:c>
      <x:c r="U53" s="83" t="str">
        <x:v>A - Direct approximate</x:v>
      </x:c>
      <x:c r="V53" s="83" t="str">
        <x:v>Context only until split by fuel/technology; not directly usable in dispatch.</x:v>
      </x:c>
      <x:c r="W53" s="83" t="str">
        <x:v>Coal phase-out; gas capacity otherwise held constant except expected retirements. Footnote says includes biomass and geothermal.</x:v>
      </x:c>
    </x:row>
    <x:row r="54">
      <x:c r="A54" s="83" t="str">
        <x:v>CAP-0050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Programmable/thermal</x:v>
      </x:c>
      <x:c r="F54" s="83" t="str">
        <x:v>Parco termoelettrico aggregato</x:v>
      </x:c>
      <x:c r="G54" s="83" t="str">
        <x:v>Potenza efficiente netta; include biomasse e geotermico</x:v>
      </x:c>
      <x:c r="H54" s="143"/>
      <x:c r="I54" s="143" t="n">
        <x:v>55</x:v>
      </x:c>
      <x:c r="J54" s="143"/>
      <x:c r="K54" s="83" t="str">
        <x:v>GW</x:v>
      </x:c>
      <x:c r="L54" s="83" t="str">
        <x:v>Italia</x:v>
      </x:c>
      <x:c r="M54" s="83" t="str">
        <x:v>Approximate aggregate fleet</x:v>
      </x:c>
      <x:c r="N54" s="83" t="str">
        <x:v>Assunzione di scenario</x:v>
      </x:c>
      <x:c r="O54" s="83" t="str">
        <x:v>S01</x:v>
      </x:c>
      <x:c r="P54" s="83" t="str">
        <x:v>Terna_Piano_Sviluppo_2025_Stato_sistema_elettrico_scenari_energetici_8dd62ec4bbb9f75.pdf</x:v>
      </x:c>
      <x:c r="Q54" s="83" t="n">
        <x:v>96</x:v>
      </x:c>
      <x:c r="R54" s="83" t="str">
        <x:v>94</x:v>
      </x:c>
      <x:c r="S54" s="83" t="str">
        <x:v>Narrative after Figura 55</x:v>
      </x:c>
      <x:c r="T54" s="83" t="str">
        <x:v>Direct narrative extraction; approximate value</x:v>
      </x:c>
      <x:c r="U54" s="83" t="str">
        <x:v>A - Direct approximate</x:v>
      </x:c>
      <x:c r="V54" s="83" t="str">
        <x:v>Context only until split by fuel/technology; not directly usable in dispatch.</x:v>
      </x:c>
      <x:c r="W54" s="83" t="str">
        <x:v>Coal phase-out; gas capacity otherwise held constant except expected retirements. Footnote says includes biomass and geothermal.</x:v>
      </x:c>
    </x:row>
    <x:row r="55">
      <x:c r="A55" s="83" t="str">
        <x:v>CAP-0051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Programmable/thermal</x:v>
      </x:c>
      <x:c r="F55" s="83" t="str">
        <x:v>Parco termoelettrico aggregato</x:v>
      </x:c>
      <x:c r="G55" s="83" t="str">
        <x:v>Potenza efficiente netta; include biomasse e geotermico</x:v>
      </x:c>
      <x:c r="H55" s="143"/>
      <x:c r="I55" s="143" t="n">
        <x:v>55</x:v>
      </x:c>
      <x:c r="J55" s="143"/>
      <x:c r="K55" s="83" t="str">
        <x:v>GW</x:v>
      </x:c>
      <x:c r="L55" s="83" t="str">
        <x:v>Italia</x:v>
      </x:c>
      <x:c r="M55" s="83" t="str">
        <x:v>Approximate aggregate fleet</x:v>
      </x:c>
      <x:c r="N55" s="83" t="str">
        <x:v>Assunzione di scenario</x:v>
      </x:c>
      <x:c r="O55" s="83" t="str">
        <x:v>S01</x:v>
      </x:c>
      <x:c r="P55" s="83" t="str">
        <x:v>Terna_Piano_Sviluppo_2025_Stato_sistema_elettrico_scenari_energetici_8dd62ec4bbb9f75.pdf</x:v>
      </x:c>
      <x:c r="Q55" s="83" t="n">
        <x:v>96</x:v>
      </x:c>
      <x:c r="R55" s="83" t="str">
        <x:v>94</x:v>
      </x:c>
      <x:c r="S55" s="83" t="str">
        <x:v>Narrative after Figura 55</x:v>
      </x:c>
      <x:c r="T55" s="83" t="str">
        <x:v>Direct narrative extraction; approximate value</x:v>
      </x:c>
      <x:c r="U55" s="83" t="str">
        <x:v>A - Direct approximate</x:v>
      </x:c>
      <x:c r="V55" s="83" t="str">
        <x:v>Context only until split by fuel/technology; not directly usable in dispatch.</x:v>
      </x:c>
      <x:c r="W55" s="83" t="str">
        <x:v>Coal phase-out; gas capacity otherwise held constant except expected retirements. Footnote says includes biomass and geothermal.</x:v>
      </x:c>
    </x:row>
    <x:row r="56">
      <x:c r="A56" s="83" t="str">
        <x:v>CAP-0052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Programmable/thermal</x:v>
      </x:c>
      <x:c r="F56" s="83" t="str">
        <x:v>Parco termoelettrico aggregato</x:v>
      </x:c>
      <x:c r="G56" s="83" t="str">
        <x:v>Potenza efficiente netta; include biomasse e geotermico</x:v>
      </x:c>
      <x:c r="H56" s="143"/>
      <x:c r="I56" s="143" t="n">
        <x:v>55</x:v>
      </x:c>
      <x:c r="J56" s="143"/>
      <x:c r="K56" s="83" t="str">
        <x:v>GW</x:v>
      </x:c>
      <x:c r="L56" s="83" t="str">
        <x:v>Italia</x:v>
      </x:c>
      <x:c r="M56" s="83" t="str">
        <x:v>Approximate aggregate fleet</x:v>
      </x:c>
      <x:c r="N56" s="83" t="str">
        <x:v>Assunzione di scenario</x:v>
      </x:c>
      <x:c r="O56" s="83" t="str">
        <x:v>S01</x:v>
      </x:c>
      <x:c r="P56" s="83" t="str">
        <x:v>Terna_Piano_Sviluppo_2025_Stato_sistema_elettrico_scenari_energetici_8dd62ec4bbb9f75.pdf</x:v>
      </x:c>
      <x:c r="Q56" s="83" t="n">
        <x:v>96</x:v>
      </x:c>
      <x:c r="R56" s="83" t="str">
        <x:v>94</x:v>
      </x:c>
      <x:c r="S56" s="83" t="str">
        <x:v>Narrative after Figura 55</x:v>
      </x:c>
      <x:c r="T56" s="83" t="str">
        <x:v>Direct narrative extraction; approximate value</x:v>
      </x:c>
      <x:c r="U56" s="83" t="str">
        <x:v>A - Direct approximate</x:v>
      </x:c>
      <x:c r="V56" s="83" t="str">
        <x:v>Context only until split by fuel/technology; not directly usable in dispatch.</x:v>
      </x:c>
      <x:c r="W56" s="83" t="str">
        <x:v>Coal phase-out; gas capacity otherwise held constant except expected retirements. Footnote says includes biomass and geothermal.</x:v>
      </x:c>
    </x:row>
    <x:row r="57">
      <x:c r="A57" s="83" t="str">
        <x:v>CAP-0053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Programmable/thermal</x:v>
      </x:c>
      <x:c r="F57" s="83" t="str">
        <x:v>Parco termoelettrico aggregato</x:v>
      </x:c>
      <x:c r="G57" s="83" t="str">
        <x:v>Potenza efficiente netta; include biomasse e geotermico</x:v>
      </x:c>
      <x:c r="H57" s="143"/>
      <x:c r="I57" s="143" t="n">
        <x:v>55</x:v>
      </x:c>
      <x:c r="J57" s="143"/>
      <x:c r="K57" s="83" t="str">
        <x:v>GW</x:v>
      </x:c>
      <x:c r="L57" s="83" t="str">
        <x:v>Italia</x:v>
      </x:c>
      <x:c r="M57" s="83" t="str">
        <x:v>Approximate aggregate fleet</x:v>
      </x:c>
      <x:c r="N57" s="83" t="str">
        <x:v>Assunzione di scenario</x:v>
      </x:c>
      <x:c r="O57" s="83" t="str">
        <x:v>S01</x:v>
      </x:c>
      <x:c r="P57" s="83" t="str">
        <x:v>Terna_Piano_Sviluppo_2025_Stato_sistema_elettrico_scenari_energetici_8dd62ec4bbb9f75.pdf</x:v>
      </x:c>
      <x:c r="Q57" s="83" t="n">
        <x:v>96</x:v>
      </x:c>
      <x:c r="R57" s="83" t="str">
        <x:v>94</x:v>
      </x:c>
      <x:c r="S57" s="83" t="str">
        <x:v>Narrative after Figura 55</x:v>
      </x:c>
      <x:c r="T57" s="83" t="str">
        <x:v>Direct narrative extraction; approximate value</x:v>
      </x:c>
      <x:c r="U57" s="83" t="str">
        <x:v>A - Direct approximate</x:v>
      </x:c>
      <x:c r="V57" s="83" t="str">
        <x:v>Context only until split by fuel/technology; not directly usable in dispatch.</x:v>
      </x:c>
      <x:c r="W57" s="83" t="str">
        <x:v>Coal phase-out; gas capacity otherwise held constant except expected retirements. Footnote says includes biomass and geothermal.</x:v>
      </x:c>
    </x:row>
    <x:row r="58">
      <x:c r="A58" s="83" t="str">
        <x:v>CAP-0054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Programmable/thermal</x:v>
      </x:c>
      <x:c r="F58" s="83" t="str">
        <x:v>Parco termoelettrico aggregato</x:v>
      </x:c>
      <x:c r="G58" s="83" t="str">
        <x:v>Potenza efficiente netta; include biomasse e geotermico</x:v>
      </x:c>
      <x:c r="H58" s="143"/>
      <x:c r="I58" s="143" t="n">
        <x:v>55</x:v>
      </x:c>
      <x:c r="J58" s="143"/>
      <x:c r="K58" s="83" t="str">
        <x:v>GW</x:v>
      </x:c>
      <x:c r="L58" s="83" t="str">
        <x:v>Italia</x:v>
      </x:c>
      <x:c r="M58" s="83" t="str">
        <x:v>Approximate aggregate fleet</x:v>
      </x:c>
      <x:c r="N58" s="83" t="str">
        <x:v>Assunzione di scenario</x:v>
      </x:c>
      <x:c r="O58" s="83" t="str">
        <x:v>S01</x:v>
      </x:c>
      <x:c r="P58" s="83" t="str">
        <x:v>Terna_Piano_Sviluppo_2025_Stato_sistema_elettrico_scenari_energetici_8dd62ec4bbb9f75.pdf</x:v>
      </x:c>
      <x:c r="Q58" s="83" t="n">
        <x:v>96</x:v>
      </x:c>
      <x:c r="R58" s="83" t="str">
        <x:v>94</x:v>
      </x:c>
      <x:c r="S58" s="83" t="str">
        <x:v>Narrative after Figura 55</x:v>
      </x:c>
      <x:c r="T58" s="83" t="str">
        <x:v>Direct narrative extraction; approximate value</x:v>
      </x:c>
      <x:c r="U58" s="83" t="str">
        <x:v>A - Direct approximate</x:v>
      </x:c>
      <x:c r="V58" s="83" t="str">
        <x:v>Context only until split by fuel/technology; not directly usable in dispatch.</x:v>
      </x:c>
      <x:c r="W58" s="83" t="str">
        <x:v>Coal phase-out; gas capacity otherwise held constant except expected retirements. Footnote says includes biomass and geothermal.</x:v>
      </x:c>
    </x:row>
    <x:row r="59">
      <x:c r="A59" s="83" t="str">
        <x:v>CAP-0055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Hydro</x:v>
      </x:c>
      <x:c r="F59" s="83" t="str">
        <x:v>Idrico e pompaggi</x:v>
      </x:c>
      <x:c r="G59" s="83" t="str">
        <x:v>Aggregate power</x:v>
      </x:c>
      <x:c r="H59" s="143"/>
      <x:c r="I59" s="143" t="n">
        <x:v>23</x:v>
      </x:c>
      <x:c r="J59" s="143"/>
      <x:c r="K59" s="83" t="str">
        <x:v>GW</x:v>
      </x:c>
      <x:c r="L59" s="83" t="str">
        <x:v>Italia</x:v>
      </x:c>
      <x:c r="M59" s="83" t="str">
        <x:v>Installed capacity; provisional</x:v>
      </x:c>
      <x:c r="N59" s="83" t="str">
        <x:v>Inferenza da più fonti</x:v>
      </x:c>
      <x:c r="O59" s="83" t="str">
        <x:v>S09 + S07</x:v>
      </x:c>
      <x:c r="P59" s="83" t="str">
        <x:v>DDS 2024 + Terna Prospettive 2050</x:v>
      </x:c>
      <x:c r="Q59" s="83" t="str">
        <x:v>S09 55; S07 64</x:v>
      </x:c>
      <x:c r="R59" s="83" t="str">
        <x:v>S09 53; S07 62</x:v>
      </x:c>
      <x:c r="S59" s="83" t="str">
        <x:v>DDS narrative + S07 Figura 54</x:v>
      </x:c>
      <x:c r="T59" s="83" t="str">
        <x:v>Figure 54 labels 23 GW historically/2030/2050; DDS states hydro capacity held constant</x:v>
      </x:c>
      <x:c r="U59" s="83" t="str">
        <x:v>D - Inferred</x:v>
      </x:c>
      <x:c r="V59" s="83" t="str">
        <x:v>Provisional aggregate only; Phase 3B must split run-of-river, reservoir and pumping power/energy.</x:v>
      </x:c>
      <x:c r="W59" s="83" t="str">
        <x:v>Do not use directly before hydro decomposition.</x:v>
      </x:c>
    </x:row>
    <x:row r="60">
      <x:c r="A60" s="83" t="str">
        <x:v>CAP-0056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Hydro</x:v>
      </x:c>
      <x:c r="F60" s="83" t="str">
        <x:v>Idrico e pompaggi</x:v>
      </x:c>
      <x:c r="G60" s="83" t="str">
        <x:v>Aggregate power</x:v>
      </x:c>
      <x:c r="H60" s="143"/>
      <x:c r="I60" s="143" t="n">
        <x:v>23</x:v>
      </x:c>
      <x:c r="J60" s="143"/>
      <x:c r="K60" s="83" t="str">
        <x:v>GW</x:v>
      </x:c>
      <x:c r="L60" s="83" t="str">
        <x:v>Italia</x:v>
      </x:c>
      <x:c r="M60" s="83" t="str">
        <x:v>Installed capacity; provisional</x:v>
      </x:c>
      <x:c r="N60" s="83" t="str">
        <x:v>Inferenza da più fonti</x:v>
      </x:c>
      <x:c r="O60" s="83" t="str">
        <x:v>S09 + S07</x:v>
      </x:c>
      <x:c r="P60" s="83" t="str">
        <x:v>DDS 2024 + Terna Prospettive 2050</x:v>
      </x:c>
      <x:c r="Q60" s="83" t="str">
        <x:v>S09 55; S07 64</x:v>
      </x:c>
      <x:c r="R60" s="83" t="str">
        <x:v>S09 53; S07 62</x:v>
      </x:c>
      <x:c r="S60" s="83" t="str">
        <x:v>DDS narrative + S07 Figura 54</x:v>
      </x:c>
      <x:c r="T60" s="83" t="str">
        <x:v>Figure 54 labels 23 GW historically/2030/2050; DDS states hydro capacity held constant</x:v>
      </x:c>
      <x:c r="U60" s="83" t="str">
        <x:v>D - Inferred</x:v>
      </x:c>
      <x:c r="V60" s="83" t="str">
        <x:v>Provisional aggregate only; Phase 3B must split run-of-river, reservoir and pumping power/energy.</x:v>
      </x:c>
      <x:c r="W60" s="83" t="str">
        <x:v>Do not use directly before hydro decomposition.</x:v>
      </x:c>
    </x:row>
    <x:row r="61">
      <x:c r="A61" s="83" t="str">
        <x:v>CAP-0057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Hydro</x:v>
      </x:c>
      <x:c r="F61" s="83" t="str">
        <x:v>Idrico e pompaggi</x:v>
      </x:c>
      <x:c r="G61" s="83" t="str">
        <x:v>Aggregate power</x:v>
      </x:c>
      <x:c r="H61" s="143"/>
      <x:c r="I61" s="143" t="n">
        <x:v>23</x:v>
      </x:c>
      <x:c r="J61" s="143"/>
      <x:c r="K61" s="83" t="str">
        <x:v>GW</x:v>
      </x:c>
      <x:c r="L61" s="83" t="str">
        <x:v>Italia</x:v>
      </x:c>
      <x:c r="M61" s="83" t="str">
        <x:v>Installed capacity; provisional</x:v>
      </x:c>
      <x:c r="N61" s="83" t="str">
        <x:v>Inferenza da più fonti</x:v>
      </x:c>
      <x:c r="O61" s="83" t="str">
        <x:v>S09 + S07</x:v>
      </x:c>
      <x:c r="P61" s="83" t="str">
        <x:v>DDS 2024 + Terna Prospettive 2050</x:v>
      </x:c>
      <x:c r="Q61" s="83" t="str">
        <x:v>S09 55; S07 64</x:v>
      </x:c>
      <x:c r="R61" s="83" t="str">
        <x:v>S09 53; S07 62</x:v>
      </x:c>
      <x:c r="S61" s="83" t="str">
        <x:v>DDS narrative + S07 Figura 54</x:v>
      </x:c>
      <x:c r="T61" s="83" t="str">
        <x:v>Figure 54 labels 23 GW historically/2030/2050; DDS states hydro capacity held constant</x:v>
      </x:c>
      <x:c r="U61" s="83" t="str">
        <x:v>D - Inferred</x:v>
      </x:c>
      <x:c r="V61" s="83" t="str">
        <x:v>Provisional aggregate only; Phase 3B must split run-of-river, reservoir and pumping power/energy.</x:v>
      </x:c>
      <x:c r="W61" s="83" t="str">
        <x:v>Do not use directly before hydro decomposition.</x:v>
      </x:c>
    </x:row>
    <x:row r="62">
      <x:c r="A62" s="83" t="str">
        <x:v>CAP-0058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Hydro</x:v>
      </x:c>
      <x:c r="F62" s="83" t="str">
        <x:v>Idrico e pompaggi</x:v>
      </x:c>
      <x:c r="G62" s="83" t="str">
        <x:v>Aggregate power</x:v>
      </x:c>
      <x:c r="H62" s="143"/>
      <x:c r="I62" s="143" t="n">
        <x:v>23</x:v>
      </x:c>
      <x:c r="J62" s="143"/>
      <x:c r="K62" s="83" t="str">
        <x:v>GW</x:v>
      </x:c>
      <x:c r="L62" s="83" t="str">
        <x:v>Italia</x:v>
      </x:c>
      <x:c r="M62" s="83" t="str">
        <x:v>Installed capacity; provisional</x:v>
      </x:c>
      <x:c r="N62" s="83" t="str">
        <x:v>Inferenza da più fonti</x:v>
      </x:c>
      <x:c r="O62" s="83" t="str">
        <x:v>S09 + S07</x:v>
      </x:c>
      <x:c r="P62" s="83" t="str">
        <x:v>DDS 2024 + Terna Prospettive 2050</x:v>
      </x:c>
      <x:c r="Q62" s="83" t="str">
        <x:v>S09 55; S07 64</x:v>
      </x:c>
      <x:c r="R62" s="83" t="str">
        <x:v>S09 53; S07 62</x:v>
      </x:c>
      <x:c r="S62" s="83" t="str">
        <x:v>DDS narrative + S07 Figura 54</x:v>
      </x:c>
      <x:c r="T62" s="83" t="str">
        <x:v>Figure 54 labels 23 GW historically/2030/2050; DDS states hydro capacity held constant</x:v>
      </x:c>
      <x:c r="U62" s="83" t="str">
        <x:v>D - Inferred</x:v>
      </x:c>
      <x:c r="V62" s="83" t="str">
        <x:v>Provisional aggregate only; Phase 3B must split run-of-river, reservoir and pumping power/energy.</x:v>
      </x:c>
      <x:c r="W62" s="83" t="str">
        <x:v>Do not use directly before hydro decomposition.</x:v>
      </x:c>
    </x:row>
    <x:row r="63">
      <x:c r="A63" s="83" t="str">
        <x:v>CAP-0059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Hydro</x:v>
      </x:c>
      <x:c r="F63" s="83" t="str">
        <x:v>Idrico e pompaggi</x:v>
      </x:c>
      <x:c r="G63" s="83" t="str">
        <x:v>Aggregate power</x:v>
      </x:c>
      <x:c r="H63" s="143"/>
      <x:c r="I63" s="143" t="n">
        <x:v>23</x:v>
      </x:c>
      <x:c r="J63" s="143"/>
      <x:c r="K63" s="83" t="str">
        <x:v>GW</x:v>
      </x:c>
      <x:c r="L63" s="83" t="str">
        <x:v>Italia</x:v>
      </x:c>
      <x:c r="M63" s="83" t="str">
        <x:v>Installed capacity; provisional</x:v>
      </x:c>
      <x:c r="N63" s="83" t="str">
        <x:v>Inferenza da più fonti</x:v>
      </x:c>
      <x:c r="O63" s="83" t="str">
        <x:v>S09 + S07</x:v>
      </x:c>
      <x:c r="P63" s="83" t="str">
        <x:v>DDS 2024 + Terna Prospettive 2050</x:v>
      </x:c>
      <x:c r="Q63" s="83" t="str">
        <x:v>S09 55; S07 64</x:v>
      </x:c>
      <x:c r="R63" s="83" t="str">
        <x:v>S09 53; S07 62</x:v>
      </x:c>
      <x:c r="S63" s="83" t="str">
        <x:v>DDS narrative + S07 Figura 54</x:v>
      </x:c>
      <x:c r="T63" s="83" t="str">
        <x:v>Figure 54 labels 23 GW historically/2030/2050; DDS states hydro capacity held constant</x:v>
      </x:c>
      <x:c r="U63" s="83" t="str">
        <x:v>D - Inferred</x:v>
      </x:c>
      <x:c r="V63" s="83" t="str">
        <x:v>Provisional aggregate only; Phase 3B must split run-of-river, reservoir and pumping power/energy.</x:v>
      </x:c>
      <x:c r="W63" s="83" t="str">
        <x:v>Do not use directly before hydro decomposition.</x:v>
      </x:c>
    </x:row>
    <x:row r="64">
      <x:c r="A64" s="83" t="str">
        <x:v>CAP-0060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Hydro</x:v>
      </x:c>
      <x:c r="F64" s="83" t="str">
        <x:v>Idrico e pompaggi</x:v>
      </x:c>
      <x:c r="G64" s="83" t="str">
        <x:v>Aggregate power</x:v>
      </x:c>
      <x:c r="H64" s="143"/>
      <x:c r="I64" s="143" t="n">
        <x:v>23</x:v>
      </x:c>
      <x:c r="J64" s="143"/>
      <x:c r="K64" s="83" t="str">
        <x:v>GW</x:v>
      </x:c>
      <x:c r="L64" s="83" t="str">
        <x:v>Italia</x:v>
      </x:c>
      <x:c r="M64" s="83" t="str">
        <x:v>Installed capacity; provisional</x:v>
      </x:c>
      <x:c r="N64" s="83" t="str">
        <x:v>Inferenza da più fonti</x:v>
      </x:c>
      <x:c r="O64" s="83" t="str">
        <x:v>S09 + S07</x:v>
      </x:c>
      <x:c r="P64" s="83" t="str">
        <x:v>DDS 2024 + Terna Prospettive 2050</x:v>
      </x:c>
      <x:c r="Q64" s="83" t="str">
        <x:v>S09 55; S07 64</x:v>
      </x:c>
      <x:c r="R64" s="83" t="str">
        <x:v>S09 53; S07 62</x:v>
      </x:c>
      <x:c r="S64" s="83" t="str">
        <x:v>DDS narrative + S07 Figura 54</x:v>
      </x:c>
      <x:c r="T64" s="83" t="str">
        <x:v>Figure 54 labels 23 GW historically/2030/2050; DDS states hydro capacity held constant</x:v>
      </x:c>
      <x:c r="U64" s="83" t="str">
        <x:v>D - Inferred</x:v>
      </x:c>
      <x:c r="V64" s="83" t="str">
        <x:v>Provisional aggregate only; Phase 3B must split run-of-river, reservoir and pumping power/energy.</x:v>
      </x:c>
      <x:c r="W64" s="83" t="str">
        <x:v>Do not use directly before hydro decomposition.</x:v>
      </x:c>
    </x:row>
    <x:row r="65">
      <x:c r="A65" s="83" t="str">
        <x:v>CAP-0061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Hydro</x:v>
      </x:c>
      <x:c r="F65" s="83" t="str">
        <x:v>Idrico e pompaggi</x:v>
      </x:c>
      <x:c r="G65" s="83" t="str">
        <x:v>Aggregate power</x:v>
      </x:c>
      <x:c r="H65" s="143"/>
      <x:c r="I65" s="143" t="n">
        <x:v>23</x:v>
      </x:c>
      <x:c r="J65" s="143"/>
      <x:c r="K65" s="83" t="str">
        <x:v>GW</x:v>
      </x:c>
      <x:c r="L65" s="83" t="str">
        <x:v>Italia</x:v>
      </x:c>
      <x:c r="M65" s="83" t="str">
        <x:v>Installed capacity; provisional</x:v>
      </x:c>
      <x:c r="N65" s="83" t="str">
        <x:v>Inferenza da più fonti</x:v>
      </x:c>
      <x:c r="O65" s="83" t="str">
        <x:v>S09 + S07</x:v>
      </x:c>
      <x:c r="P65" s="83" t="str">
        <x:v>DDS 2024 + Terna Prospettive 2050</x:v>
      </x:c>
      <x:c r="Q65" s="83" t="str">
        <x:v>S09 55; S07 64</x:v>
      </x:c>
      <x:c r="R65" s="83" t="str">
        <x:v>S09 53; S07 62</x:v>
      </x:c>
      <x:c r="S65" s="83" t="str">
        <x:v>DDS narrative + S07 Figura 54</x:v>
      </x:c>
      <x:c r="T65" s="83" t="str">
        <x:v>Figure 54 labels 23 GW historically/2030/2050; DDS states hydro capacity held constant</x:v>
      </x:c>
      <x:c r="U65" s="83" t="str">
        <x:v>D - Inferred</x:v>
      </x:c>
      <x:c r="V65" s="83" t="str">
        <x:v>Provisional aggregate only; Phase 3B must split run-of-river, reservoir and pumping power/energy.</x:v>
      </x:c>
      <x:c r="W65" s="83" t="str">
        <x:v>Do not use directly before hydro decomposition.</x:v>
      </x:c>
    </x:row>
    <x:row r="66">
      <x:c r="A66" s="83" t="str">
        <x:v>CAP-0062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Hydro</x:v>
      </x:c>
      <x:c r="F66" s="83" t="str">
        <x:v>Idrico e pompaggi</x:v>
      </x:c>
      <x:c r="G66" s="83" t="str">
        <x:v>Aggregate power</x:v>
      </x:c>
      <x:c r="H66" s="143"/>
      <x:c r="I66" s="143" t="n">
        <x:v>23</x:v>
      </x:c>
      <x:c r="J66" s="143"/>
      <x:c r="K66" s="83" t="str">
        <x:v>GW</x:v>
      </x:c>
      <x:c r="L66" s="83" t="str">
        <x:v>Italia</x:v>
      </x:c>
      <x:c r="M66" s="83" t="str">
        <x:v>Installed capacity; provisional</x:v>
      </x:c>
      <x:c r="N66" s="83" t="str">
        <x:v>Inferenza da più fonti</x:v>
      </x:c>
      <x:c r="O66" s="83" t="str">
        <x:v>S09 + S07</x:v>
      </x:c>
      <x:c r="P66" s="83" t="str">
        <x:v>DDS 2024 + Terna Prospettive 2050</x:v>
      </x:c>
      <x:c r="Q66" s="83" t="str">
        <x:v>S09 55; S07 64</x:v>
      </x:c>
      <x:c r="R66" s="83" t="str">
        <x:v>S09 53; S07 62</x:v>
      </x:c>
      <x:c r="S66" s="83" t="str">
        <x:v>DDS narrative + S07 Figura 54</x:v>
      </x:c>
      <x:c r="T66" s="83" t="str">
        <x:v>Figure 54 labels 23 GW historically/2030/2050; DDS states hydro capacity held constant</x:v>
      </x:c>
      <x:c r="U66" s="83" t="str">
        <x:v>D - Inferred</x:v>
      </x:c>
      <x:c r="V66" s="83" t="str">
        <x:v>Provisional aggregate only; Phase 3B must split run-of-river, reservoir and pumping power/energy.</x:v>
      </x:c>
      <x:c r="W66" s="83" t="str">
        <x:v>Do not use directly before hydro decomposition.</x:v>
      </x:c>
    </x:row>
    <x:row r="67">
      <x:c r="A67" s="83" t="str">
        <x:v>CAP-0063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Hydro</x:v>
      </x:c>
      <x:c r="F67" s="83" t="str">
        <x:v>Idrico e pompaggi</x:v>
      </x:c>
      <x:c r="G67" s="83" t="str">
        <x:v>Aggregate power</x:v>
      </x:c>
      <x:c r="H67" s="143"/>
      <x:c r="I67" s="143" t="n">
        <x:v>23</x:v>
      </x:c>
      <x:c r="J67" s="143"/>
      <x:c r="K67" s="83" t="str">
        <x:v>GW</x:v>
      </x:c>
      <x:c r="L67" s="83" t="str">
        <x:v>Italia</x:v>
      </x:c>
      <x:c r="M67" s="83" t="str">
        <x:v>Installed capacity; provisional</x:v>
      </x:c>
      <x:c r="N67" s="83" t="str">
        <x:v>Inferenza da più fonti</x:v>
      </x:c>
      <x:c r="O67" s="83" t="str">
        <x:v>S09 + S07</x:v>
      </x:c>
      <x:c r="P67" s="83" t="str">
        <x:v>DDS 2024 + Terna Prospettive 2050</x:v>
      </x:c>
      <x:c r="Q67" s="83" t="str">
        <x:v>S09 55; S07 64</x:v>
      </x:c>
      <x:c r="R67" s="83" t="str">
        <x:v>S09 53; S07 62</x:v>
      </x:c>
      <x:c r="S67" s="83" t="str">
        <x:v>DDS narrative + S07 Figura 54</x:v>
      </x:c>
      <x:c r="T67" s="83" t="str">
        <x:v>Figure 54 labels 23 GW historically/2030/2050; DDS states hydro capacity held constant</x:v>
      </x:c>
      <x:c r="U67" s="83" t="str">
        <x:v>D - Inferred</x:v>
      </x:c>
      <x:c r="V67" s="83" t="str">
        <x:v>Provisional aggregate only; Phase 3B must split run-of-river, reservoir and pumping power/energy.</x:v>
      </x:c>
      <x:c r="W67" s="83" t="str">
        <x:v>Do not use directly before hydro decomposition.</x:v>
      </x:c>
    </x:row>
    <x:row r="68">
      <x:c r="A68" s="83" t="str">
        <x:v>CAP-0064</x:v>
      </x:c>
      <x:c r="B68" s="83" t="str">
        <x:v>PNIEC_2050_NUCLEAR</x:v>
      </x:c>
      <x:c r="C68" s="83" t="n">
        <x:v>2050</x:v>
      </x:c>
      <x:c r="D68" s="83" t="str">
        <x:v>PNIEC 2050 con nucleare</x:v>
      </x:c>
      <x:c r="E68" s="83" t="str">
        <x:v>Variable renewables</x:v>
      </x:c>
      <x:c r="F68" s="83" t="str">
        <x:v>Totale FRNP</x:v>
      </x:c>
      <x:c r="G68" s="83" t="str">
        <x:v>Solar + wind</x:v>
      </x:c>
      <x:c r="H68" s="143"/>
      <x:c r="I68" s="143" t="n">
        <x:v>296</x:v>
      </x:c>
      <x:c r="J68" s="143"/>
      <x:c r="K68" s="83" t="str">
        <x:v>GW</x:v>
      </x:c>
      <x:c r="L68" s="83" t="str">
        <x:v>Italia</x:v>
      </x:c>
      <x:c r="M68" s="83" t="str">
        <x:v>Installed capacity</x:v>
      </x:c>
      <x:c r="N68" s="83" t="str">
        <x:v>Risultato di modello della fonte</x:v>
      </x:c>
      <x:c r="O68" s="83" t="str">
        <x:v>S07 (riproduce S08)</x:v>
      </x:c>
      <x:c r="P68" s="83" t="str">
        <x:v>Terna Prospettive Sviluppo Sistema Energetico 2050.pdf</x:v>
      </x:c>
      <x:c r="Q68" s="83" t="n">
        <x:v>58</x:v>
      </x:c>
      <x:c r="R68" s="83" t="n">
        <x:v>56</x:v>
      </x:c>
      <x:c r="S68" s="83" t="str">
        <x:v>Tabella 4 - colonna PNIEC</x:v>
      </x:c>
      <x:c r="T68" s="83" t="str">
        <x:v>Direct table extraction; cross-check PNIEC p.93</x:v>
      </x:c>
      <x:c r="U68" s="83" t="str">
        <x:v>A - Direct</x:v>
      </x:c>
      <x:c r="V68" s="83" t="str">
        <x:v>Policy benchmark; not automatic Terna technical input.</x:v>
      </x:c>
      <x:c r="W68" s="83" t="str">
        <x:v>PNIEC column applies to the PNIEC exploratory configuration; 245+36+15=296.</x:v>
      </x:c>
    </x:row>
    <x:row r="69">
      <x:c r="A69" s="83" t="str">
        <x:v>CAP-0065</x:v>
      </x:c>
      <x:c r="B69" s="83" t="str">
        <x:v>PNIEC_2050_NUCLEAR</x:v>
      </x:c>
      <x:c r="C69" s="83" t="n">
        <x:v>2050</x:v>
      </x:c>
      <x:c r="D69" s="83" t="str">
        <x:v>PNIEC 2050 con nucleare</x:v>
      </x:c>
      <x:c r="E69" s="83" t="str">
        <x:v>Solar</x:v>
      </x:c>
      <x:c r="F69" s="83" t="str">
        <x:v>Solare</x:v>
      </x:c>
      <x:c r="G69" s="83" t="str">
        <x:v>Photovoltaic</x:v>
      </x:c>
      <x:c r="H69" s="143"/>
      <x:c r="I69" s="143" t="n">
        <x:v>245</x:v>
      </x:c>
      <x:c r="J69" s="143"/>
      <x:c r="K69" s="83" t="str">
        <x:v>GW</x:v>
      </x:c>
      <x:c r="L69" s="83" t="str">
        <x:v>Italia</x:v>
      </x:c>
      <x:c r="M69" s="83" t="str">
        <x:v>Installed capacity</x:v>
      </x:c>
      <x:c r="N69" s="83" t="str">
        <x:v>Risultato di modello della fonte</x:v>
      </x:c>
      <x:c r="O69" s="83" t="str">
        <x:v>S07 (riproduce S08)</x:v>
      </x:c>
      <x:c r="P69" s="83" t="str">
        <x:v>Terna Prospettive Sviluppo Sistema Energetico 2050.pdf</x:v>
      </x:c>
      <x:c r="Q69" s="83" t="n">
        <x:v>58</x:v>
      </x:c>
      <x:c r="R69" s="83" t="n">
        <x:v>56</x:v>
      </x:c>
      <x:c r="S69" s="83" t="str">
        <x:v>Tabella 4 - colonna PNIEC</x:v>
      </x:c>
      <x:c r="T69" s="83" t="str">
        <x:v>Direct table extraction; cross-check PNIEC p.93</x:v>
      </x:c>
      <x:c r="U69" s="83" t="str">
        <x:v>A - Direct</x:v>
      </x:c>
      <x:c r="V69" s="83" t="str">
        <x:v>Policy benchmark; not automatic Terna technical input.</x:v>
      </x:c>
      <x:c r="W69" s="83" t="str">
        <x:v>PNIEC column applies to the PNIEC exploratory configuration; 245+36+15=296.</x:v>
      </x:c>
    </x:row>
    <x:row r="70">
      <x:c r="A70" s="83" t="str">
        <x:v>CAP-0066</x:v>
      </x:c>
      <x:c r="B70" s="83" t="str">
        <x:v>PNIEC_2050_NUCLEAR</x:v>
      </x:c>
      <x:c r="C70" s="83" t="n">
        <x:v>2050</x:v>
      </x:c>
      <x:c r="D70" s="83" t="str">
        <x:v>PNIEC 2050 con nucleare</x:v>
      </x:c>
      <x:c r="E70" s="83" t="str">
        <x:v>Wind</x:v>
      </x:c>
      <x:c r="F70" s="83" t="str">
        <x:v>Eolico onshore</x:v>
      </x:c>
      <x:c r="G70" s="83" t="str">
        <x:v>Onshore</x:v>
      </x:c>
      <x:c r="H70" s="143"/>
      <x:c r="I70" s="143" t="n">
        <x:v>36</x:v>
      </x:c>
      <x:c r="J70" s="143"/>
      <x:c r="K70" s="83" t="str">
        <x:v>GW</x:v>
      </x:c>
      <x:c r="L70" s="83" t="str">
        <x:v>Italia</x:v>
      </x:c>
      <x:c r="M70" s="83" t="str">
        <x:v>Installed capacity</x:v>
      </x:c>
      <x:c r="N70" s="83" t="str">
        <x:v>Risultato di modello della fonte</x:v>
      </x:c>
      <x:c r="O70" s="83" t="str">
        <x:v>S07 (riproduce S08)</x:v>
      </x:c>
      <x:c r="P70" s="83" t="str">
        <x:v>Terna Prospettive Sviluppo Sistema Energetico 2050.pdf</x:v>
      </x:c>
      <x:c r="Q70" s="83" t="n">
        <x:v>58</x:v>
      </x:c>
      <x:c r="R70" s="83" t="n">
        <x:v>56</x:v>
      </x:c>
      <x:c r="S70" s="83" t="str">
        <x:v>Tabella 4 - colonna PNIEC</x:v>
      </x:c>
      <x:c r="T70" s="83" t="str">
        <x:v>Direct table extraction; cross-check PNIEC p.93</x:v>
      </x:c>
      <x:c r="U70" s="83" t="str">
        <x:v>A - Direct</x:v>
      </x:c>
      <x:c r="V70" s="83" t="str">
        <x:v>Policy benchmark; not automatic Terna technical input.</x:v>
      </x:c>
      <x:c r="W70" s="83" t="str">
        <x:v>PNIEC column applies to the PNIEC exploratory configuration; 245+36+15=296.</x:v>
      </x:c>
    </x:row>
    <x:row r="71">
      <x:c r="A71" s="83" t="str">
        <x:v>CAP-0067</x:v>
      </x:c>
      <x:c r="B71" s="83" t="str">
        <x:v>PNIEC_2050_NUCLEAR</x:v>
      </x:c>
      <x:c r="C71" s="83" t="n">
        <x:v>2050</x:v>
      </x:c>
      <x:c r="D71" s="83" t="str">
        <x:v>PNIEC 2050 con nucleare</x:v>
      </x:c>
      <x:c r="E71" s="83" t="str">
        <x:v>Wind</x:v>
      </x:c>
      <x:c r="F71" s="83" t="str">
        <x:v>Eolico offshore</x:v>
      </x:c>
      <x:c r="G71" s="83" t="str">
        <x:v>Offshore</x:v>
      </x:c>
      <x:c r="H71" s="143"/>
      <x:c r="I71" s="143" t="n">
        <x:v>15</x:v>
      </x:c>
      <x:c r="J71" s="143"/>
      <x:c r="K71" s="83" t="str">
        <x:v>GW</x:v>
      </x:c>
      <x:c r="L71" s="83" t="str">
        <x:v>Italia</x:v>
      </x:c>
      <x:c r="M71" s="83" t="str">
        <x:v>Installed capacity</x:v>
      </x:c>
      <x:c r="N71" s="83" t="str">
        <x:v>Risultato di modello della fonte</x:v>
      </x:c>
      <x:c r="O71" s="83" t="str">
        <x:v>S07 (riproduce S08)</x:v>
      </x:c>
      <x:c r="P71" s="83" t="str">
        <x:v>Terna Prospettive Sviluppo Sistema Energetico 2050.pdf</x:v>
      </x:c>
      <x:c r="Q71" s="83" t="n">
        <x:v>58</x:v>
      </x:c>
      <x:c r="R71" s="83" t="n">
        <x:v>56</x:v>
      </x:c>
      <x:c r="S71" s="83" t="str">
        <x:v>Tabella 4 - colonna PNIEC</x:v>
      </x:c>
      <x:c r="T71" s="83" t="str">
        <x:v>Direct table extraction; cross-check PNIEC p.93</x:v>
      </x:c>
      <x:c r="U71" s="83" t="str">
        <x:v>A - Direct</x:v>
      </x:c>
      <x:c r="V71" s="83" t="str">
        <x:v>Policy benchmark; not automatic Terna technical input.</x:v>
      </x:c>
      <x:c r="W71" s="83" t="str">
        <x:v>PNIEC column applies to the PNIEC exploratory configuration; 245+36+15=296.</x:v>
      </x:c>
    </x:row>
    <x:row r="72">
      <x:c r="A72" s="83" t="str">
        <x:v>CAP-0068</x:v>
      </x:c>
      <x:c r="B72" s="83" t="str">
        <x:v>PNIEC_2050_NUCLEAR</x:v>
      </x:c>
      <x:c r="C72" s="83" t="n">
        <x:v>2050</x:v>
      </x:c>
      <x:c r="D72" s="83" t="str">
        <x:v>PNIEC 2050 con nucleare</x:v>
      </x:c>
      <x:c r="E72" s="83" t="str">
        <x:v>Nuclear</x:v>
      </x:c>
      <x:c r="F72" s="83" t="str">
        <x:v>Nucleare</x:v>
      </x:c>
      <x:c r="G72" s="83" t="str">
        <x:v>Advanced nuclear; PNIEC conservative case</x:v>
      </x:c>
      <x:c r="H72" s="143" t="n">
        <x:v>7.5</x:v>
      </x:c>
      <x:c r="I72" s="143" t="n">
        <x:v>8</x:v>
      </x:c>
      <x:c r="J72" s="143" t="n">
        <x:v>8.5</x:v>
      </x:c>
      <x:c r="K72" s="83" t="str">
        <x:v>GW</x:v>
      </x:c>
      <x:c r="L72" s="83" t="str">
        <x:v>Italia</x:v>
      </x:c>
      <x:c r="M72" s="83" t="str">
        <x:v>Installed capacity</x:v>
      </x:c>
      <x:c r="N72" s="83" t="str">
        <x:v>Risultato di modello della fonte</x:v>
      </x:c>
      <x:c r="O72" s="83" t="str">
        <x:v>S08</x:v>
      </x:c>
      <x:c r="P72" s="83" t="str">
        <x:v>PNIEC 2024.pdf</x:v>
      </x:c>
      <x:c r="Q72" s="83" t="n">
        <x:v>92</x:v>
      </x:c>
      <x:c r="R72" s="83" t="str">
        <x:v>92</x:v>
      </x:c>
      <x:c r="S72" s="83" t="str">
        <x:v>Narrative / Figura 6-8</x:v>
      </x:c>
      <x:c r="T72" s="83" t="str">
        <x:v>Direct narrative extraction</x:v>
      </x:c>
      <x:c r="U72" s="83" t="str">
        <x:v>A - Direct</x:v>
      </x:c>
      <x:c r="V72" s="83" t="str">
        <x:v>Separate 2050 branch; location and unit characteristics remain open.</x:v>
      </x:c>
      <x:c r="W72" s="83" t="str">
        <x:v>8 GW is the mean; stated range 7.5-8.5 GW.</x:v>
      </x:c>
    </x:row>
    <x:row r="73">
      <x:c r="A73" s="83" t="str">
        <x:v>CAP-0069</x:v>
      </x:c>
      <x:c r="B73" s="83" t="str">
        <x:v>PNIEC_2050_NO_NUCLEAR</x:v>
      </x:c>
      <x:c r="C73" s="83" t="n">
        <x:v>2050</x:v>
      </x:c>
      <x:c r="D73" s="83" t="str">
        <x:v>PNIEC 2050 senza nucleare</x:v>
      </x:c>
      <x:c r="E73" s="83" t="str">
        <x:v>Variable renewables</x:v>
      </x:c>
      <x:c r="F73" s="83" t="str">
        <x:v>Totale FRNP</x:v>
      </x:c>
      <x:c r="G73" s="83" t="str">
        <x:v>Solar + wind</x:v>
      </x:c>
      <x:c r="H73" s="143"/>
      <x:c r="I73" s="143" t="n">
        <x:v>296</x:v>
      </x:c>
      <x:c r="J73" s="143"/>
      <x:c r="K73" s="83" t="str">
        <x:v>GW</x:v>
      </x:c>
      <x:c r="L73" s="83" t="str">
        <x:v>Italia</x:v>
      </x:c>
      <x:c r="M73" s="83" t="str">
        <x:v>Installed capacity</x:v>
      </x:c>
      <x:c r="N73" s="83" t="str">
        <x:v>Risultato di modello della fonte</x:v>
      </x:c>
      <x:c r="O73" s="83" t="str">
        <x:v>S07 (riproduce S08)</x:v>
      </x:c>
      <x:c r="P73" s="83" t="str">
        <x:v>Terna Prospettive Sviluppo Sistema Energetico 2050.pdf</x:v>
      </x:c>
      <x:c r="Q73" s="83" t="n">
        <x:v>58</x:v>
      </x:c>
      <x:c r="R73" s="83" t="n">
        <x:v>56</x:v>
      </x:c>
      <x:c r="S73" s="83" t="str">
        <x:v>Tabella 4 - colonna PNIEC</x:v>
      </x:c>
      <x:c r="T73" s="83" t="str">
        <x:v>Direct table extraction; cross-check PNIEC p.93</x:v>
      </x:c>
      <x:c r="U73" s="83" t="str">
        <x:v>A - Direct</x:v>
      </x:c>
      <x:c r="V73" s="83" t="str">
        <x:v>Policy benchmark; not automatic Terna technical input.</x:v>
      </x:c>
      <x:c r="W73" s="83" t="str">
        <x:v>PNIEC column applies to the PNIEC exploratory configuration; 245+36+15=296.</x:v>
      </x:c>
    </x:row>
    <x:row r="74">
      <x:c r="A74" s="83" t="str">
        <x:v>CAP-0070</x:v>
      </x:c>
      <x:c r="B74" s="83" t="str">
        <x:v>PNIEC_2050_NO_NUCLEAR</x:v>
      </x:c>
      <x:c r="C74" s="83" t="n">
        <x:v>2050</x:v>
      </x:c>
      <x:c r="D74" s="83" t="str">
        <x:v>PNIEC 2050 senza nucleare</x:v>
      </x:c>
      <x:c r="E74" s="83" t="str">
        <x:v>Solar</x:v>
      </x:c>
      <x:c r="F74" s="83" t="str">
        <x:v>Solare</x:v>
      </x:c>
      <x:c r="G74" s="83" t="str">
        <x:v>Photovoltaic</x:v>
      </x:c>
      <x:c r="H74" s="143"/>
      <x:c r="I74" s="143" t="n">
        <x:v>245</x:v>
      </x:c>
      <x:c r="J74" s="143"/>
      <x:c r="K74" s="83" t="str">
        <x:v>GW</x:v>
      </x:c>
      <x:c r="L74" s="83" t="str">
        <x:v>Italia</x:v>
      </x:c>
      <x:c r="M74" s="83" t="str">
        <x:v>Installed capacity</x:v>
      </x:c>
      <x:c r="N74" s="83" t="str">
        <x:v>Risultato di modello della fonte</x:v>
      </x:c>
      <x:c r="O74" s="83" t="str">
        <x:v>S07 (riproduce S08)</x:v>
      </x:c>
      <x:c r="P74" s="83" t="str">
        <x:v>Terna Prospettive Sviluppo Sistema Energetico 2050.pdf</x:v>
      </x:c>
      <x:c r="Q74" s="83" t="n">
        <x:v>58</x:v>
      </x:c>
      <x:c r="R74" s="83" t="n">
        <x:v>56</x:v>
      </x:c>
      <x:c r="S74" s="83" t="str">
        <x:v>Tabella 4 - colonna PNIEC</x:v>
      </x:c>
      <x:c r="T74" s="83" t="str">
        <x:v>Direct table extraction; cross-check PNIEC p.93</x:v>
      </x:c>
      <x:c r="U74" s="83" t="str">
        <x:v>A - Direct</x:v>
      </x:c>
      <x:c r="V74" s="83" t="str">
        <x:v>Policy benchmark; not automatic Terna technical input.</x:v>
      </x:c>
      <x:c r="W74" s="83" t="str">
        <x:v>PNIEC column applies to the PNIEC exploratory configuration; 245+36+15=296.</x:v>
      </x:c>
    </x:row>
    <x:row r="75">
      <x:c r="A75" s="83" t="str">
        <x:v>CAP-0071</x:v>
      </x:c>
      <x:c r="B75" s="83" t="str">
        <x:v>PNIEC_2050_NO_NUCLEAR</x:v>
      </x:c>
      <x:c r="C75" s="83" t="n">
        <x:v>2050</x:v>
      </x:c>
      <x:c r="D75" s="83" t="str">
        <x:v>PNIEC 2050 senza nucleare</x:v>
      </x:c>
      <x:c r="E75" s="83" t="str">
        <x:v>Wind</x:v>
      </x:c>
      <x:c r="F75" s="83" t="str">
        <x:v>Eolico onshore</x:v>
      </x:c>
      <x:c r="G75" s="83" t="str">
        <x:v>Onshore</x:v>
      </x:c>
      <x:c r="H75" s="143"/>
      <x:c r="I75" s="143" t="n">
        <x:v>36</x:v>
      </x:c>
      <x:c r="J75" s="143"/>
      <x:c r="K75" s="83" t="str">
        <x:v>GW</x:v>
      </x:c>
      <x:c r="L75" s="83" t="str">
        <x:v>Italia</x:v>
      </x:c>
      <x:c r="M75" s="83" t="str">
        <x:v>Installed capacity</x:v>
      </x:c>
      <x:c r="N75" s="83" t="str">
        <x:v>Risultato di modello della fonte</x:v>
      </x:c>
      <x:c r="O75" s="83" t="str">
        <x:v>S07 (riproduce S08)</x:v>
      </x:c>
      <x:c r="P75" s="83" t="str">
        <x:v>Terna Prospettive Sviluppo Sistema Energetico 2050.pdf</x:v>
      </x:c>
      <x:c r="Q75" s="83" t="n">
        <x:v>58</x:v>
      </x:c>
      <x:c r="R75" s="83" t="n">
        <x:v>56</x:v>
      </x:c>
      <x:c r="S75" s="83" t="str">
        <x:v>Tabella 4 - colonna PNIEC</x:v>
      </x:c>
      <x:c r="T75" s="83" t="str">
        <x:v>Direct table extraction; cross-check PNIEC p.93</x:v>
      </x:c>
      <x:c r="U75" s="83" t="str">
        <x:v>A - Direct</x:v>
      </x:c>
      <x:c r="V75" s="83" t="str">
        <x:v>Policy benchmark; not automatic Terna technical input.</x:v>
      </x:c>
      <x:c r="W75" s="83" t="str">
        <x:v>PNIEC column applies to the PNIEC exploratory configuration; 245+36+15=296.</x:v>
      </x:c>
    </x:row>
    <x:row r="76">
      <x:c r="A76" s="83" t="str">
        <x:v>CAP-0072</x:v>
      </x:c>
      <x:c r="B76" s="83" t="str">
        <x:v>PNIEC_2050_NO_NUCLEAR</x:v>
      </x:c>
      <x:c r="C76" s="83" t="n">
        <x:v>2050</x:v>
      </x:c>
      <x:c r="D76" s="83" t="str">
        <x:v>PNIEC 2050 senza nucleare</x:v>
      </x:c>
      <x:c r="E76" s="83" t="str">
        <x:v>Wind</x:v>
      </x:c>
      <x:c r="F76" s="83" t="str">
        <x:v>Eolico offshore</x:v>
      </x:c>
      <x:c r="G76" s="83" t="str">
        <x:v>Offshore</x:v>
      </x:c>
      <x:c r="H76" s="143"/>
      <x:c r="I76" s="143" t="n">
        <x:v>15</x:v>
      </x:c>
      <x:c r="J76" s="143"/>
      <x:c r="K76" s="83" t="str">
        <x:v>GW</x:v>
      </x:c>
      <x:c r="L76" s="83" t="str">
        <x:v>Italia</x:v>
      </x:c>
      <x:c r="M76" s="83" t="str">
        <x:v>Installed capacity</x:v>
      </x:c>
      <x:c r="N76" s="83" t="str">
        <x:v>Risultato di modello della fonte</x:v>
      </x:c>
      <x:c r="O76" s="83" t="str">
        <x:v>S07 (riproduce S08)</x:v>
      </x:c>
      <x:c r="P76" s="83" t="str">
        <x:v>Terna Prospettive Sviluppo Sistema Energetico 2050.pdf</x:v>
      </x:c>
      <x:c r="Q76" s="83" t="n">
        <x:v>58</x:v>
      </x:c>
      <x:c r="R76" s="83" t="n">
        <x:v>56</x:v>
      </x:c>
      <x:c r="S76" s="83" t="str">
        <x:v>Tabella 4 - colonna PNIEC</x:v>
      </x:c>
      <x:c r="T76" s="83" t="str">
        <x:v>Direct table extraction; cross-check PNIEC p.93</x:v>
      </x:c>
      <x:c r="U76" s="83" t="str">
        <x:v>A - Direct</x:v>
      </x:c>
      <x:c r="V76" s="83" t="str">
        <x:v>Policy benchmark; not automatic Terna technical input.</x:v>
      </x:c>
      <x:c r="W76" s="83" t="str">
        <x:v>PNIEC column applies to the PNIEC exploratory configuration; 245+36+15=296.</x:v>
      </x:c>
    </x:row>
    <x:row r="77">
      <x:c r="A77" s="83" t="str">
        <x:v>CAP-0073</x:v>
      </x:c>
      <x:c r="B77" s="83" t="str">
        <x:v>PNIEC_2050_NO_NUCLEAR</x:v>
      </x:c>
      <x:c r="C77" s="83" t="n">
        <x:v>2050</x:v>
      </x:c>
      <x:c r="D77" s="83" t="str">
        <x:v>PNIEC 2050 senza nucleare</x:v>
      </x:c>
      <x:c r="E77" s="83" t="str">
        <x:v>Nuclear</x:v>
      </x:c>
      <x:c r="F77" s="83" t="str">
        <x:v>Nucleare</x:v>
      </x:c>
      <x:c r="G77" s="83" t="str">
        <x:v>Advanced nuclear; PNIEC conservative case</x:v>
      </x:c>
      <x:c r="H77" s="143" t="n">
        <x:v>0</x:v>
      </x:c>
      <x:c r="I77" s="143" t="n">
        <x:v>0</x:v>
      </x:c>
      <x:c r="J77" s="143" t="n">
        <x:v>0</x:v>
      </x:c>
      <x:c r="K77" s="83" t="str">
        <x:v>GW</x:v>
      </x:c>
      <x:c r="L77" s="83" t="str">
        <x:v>Italia</x:v>
      </x:c>
      <x:c r="M77" s="83" t="str">
        <x:v>Installed capacity</x:v>
      </x:c>
      <x:c r="N77" s="83" t="str">
        <x:v>Risultato di modello della fonte</x:v>
      </x:c>
      <x:c r="O77" s="83" t="str">
        <x:v>S08</x:v>
      </x:c>
      <x:c r="P77" s="83" t="str">
        <x:v>PNIEC 2024.pdf</x:v>
      </x:c>
      <x:c r="Q77" s="83" t="n">
        <x:v>92</x:v>
      </x:c>
      <x:c r="R77" s="83" t="str">
        <x:v>92</x:v>
      </x:c>
      <x:c r="S77" s="83" t="str">
        <x:v>Narrative / Figura 6-8</x:v>
      </x:c>
      <x:c r="T77" s="83" t="str">
        <x:v>Direct narrative extraction</x:v>
      </x:c>
      <x:c r="U77" s="83" t="str">
        <x:v>A - Direct</x:v>
      </x:c>
      <x:c r="V77" s="83" t="str">
        <x:v>Separate 2050 branch; location and unit characteristics remain open.</x:v>
      </x:c>
      <x:c r="W77" s="83" t="str">
        <x:v>Nuclear excluded.</x:v>
      </x:c>
    </x:row>
    <x:row r="78">
      <x:c r="A78" s="83" t="str">
        <x:v>CAP-0074</x:v>
      </x:c>
      <x:c r="B78" s="83" t="str">
        <x:v>TERNA_2050_NUCLEAR</x:v>
      </x:c>
      <x:c r="C78" s="83" t="n">
        <x:v>2050</x:v>
      </x:c>
      <x:c r="D78" s="83" t="str">
        <x:v>Terna 2050 con nucleare</x:v>
      </x:c>
      <x:c r="E78" s="83" t="str">
        <x:v>Variable renewables</x:v>
      </x:c>
      <x:c r="F78" s="83" t="str">
        <x:v>Totale FRNP</x:v>
      </x:c>
      <x:c r="G78" s="83" t="str">
        <x:v>Solar + wind</x:v>
      </x:c>
      <x:c r="H78" s="143"/>
      <x:c r="I78" s="143" t="n">
        <x:v>246</x:v>
      </x:c>
      <x:c r="J78" s="143"/>
      <x:c r="K78" s="83" t="str">
        <x:v>GW</x:v>
      </x:c>
      <x:c r="L78" s="83" t="str">
        <x:v>Italia</x:v>
      </x:c>
      <x:c r="M78" s="83" t="str">
        <x:v>Installed capacity</x:v>
      </x:c>
      <x:c r="N78" s="83" t="str">
        <x:v>Assunzione di scenario / model configuration</x:v>
      </x:c>
      <x:c r="O78" s="83" t="str">
        <x:v>S07</x:v>
      </x:c>
      <x:c r="P78" s="83" t="str">
        <x:v>Terna Prospettive Sviluppo Sistema Energetico 2050.pdf</x:v>
      </x:c>
      <x:c r="Q78" s="83" t="n">
        <x:v>58</x:v>
      </x:c>
      <x:c r="R78" s="83" t="n">
        <x:v>56</x:v>
      </x:c>
      <x:c r="S78" s="83" t="str">
        <x:v>Tabella 4</x:v>
      </x:c>
      <x:c r="T78" s="83" t="str">
        <x:v>Direct table extraction</x:v>
      </x:c>
      <x:c r="U78" s="83" t="str">
        <x:v>A - Direct</x:v>
      </x:c>
      <x:c r="V78" s="83" t="str">
        <x:v>National 2050 capacity; zonal allocation remains to be constructed.</x:v>
      </x:c>
      <x:c r="W78" s="83" t="str">
        <x:v>Terna mix uses more wind and less solar than the PNIEC illustrative mix.</x:v>
      </x:c>
    </x:row>
    <x:row r="79">
      <x:c r="A79" s="83" t="str">
        <x:v>CAP-0075</x:v>
      </x:c>
      <x:c r="B79" s="83" t="str">
        <x:v>TERNA_2050_NUCLEAR</x:v>
      </x:c>
      <x:c r="C79" s="83" t="n">
        <x:v>2050</x:v>
      </x:c>
      <x:c r="D79" s="83" t="str">
        <x:v>Terna 2050 con nucleare</x:v>
      </x:c>
      <x:c r="E79" s="83" t="str">
        <x:v>Solar</x:v>
      </x:c>
      <x:c r="F79" s="83" t="str">
        <x:v>Solare</x:v>
      </x:c>
      <x:c r="G79" s="83" t="str">
        <x:v>Photovoltaic</x:v>
      </x:c>
      <x:c r="H79" s="143"/>
      <x:c r="I79" s="143" t="n">
        <x:v>180</x:v>
      </x:c>
      <x:c r="J79" s="143"/>
      <x:c r="K79" s="83" t="str">
        <x:v>GW</x:v>
      </x:c>
      <x:c r="L79" s="83" t="str">
        <x:v>Italia</x:v>
      </x:c>
      <x:c r="M79" s="83" t="str">
        <x:v>Installed capacity</x:v>
      </x:c>
      <x:c r="N79" s="83" t="str">
        <x:v>Assunzione di scenario / model configuration</x:v>
      </x:c>
      <x:c r="O79" s="83" t="str">
        <x:v>S07</x:v>
      </x:c>
      <x:c r="P79" s="83" t="str">
        <x:v>Terna Prospettive Sviluppo Sistema Energetico 2050.pdf</x:v>
      </x:c>
      <x:c r="Q79" s="83" t="n">
        <x:v>58</x:v>
      </x:c>
      <x:c r="R79" s="83" t="n">
        <x:v>56</x:v>
      </x:c>
      <x:c r="S79" s="83" t="str">
        <x:v>Tabella 4</x:v>
      </x:c>
      <x:c r="T79" s="83" t="str">
        <x:v>Direct table extraction</x:v>
      </x:c>
      <x:c r="U79" s="83" t="str">
        <x:v>A - Direct</x:v>
      </x:c>
      <x:c r="V79" s="83" t="str">
        <x:v>National 2050 capacity; zonal allocation remains to be constructed.</x:v>
      </x:c>
      <x:c r="W79" s="83" t="str">
        <x:v>Terna mix uses more wind and less solar than the PNIEC illustrative mix.</x:v>
      </x:c>
    </x:row>
    <x:row r="80">
      <x:c r="A80" s="83" t="str">
        <x:v>CAP-0076</x:v>
      </x:c>
      <x:c r="B80" s="83" t="str">
        <x:v>TERNA_2050_NUCLEAR</x:v>
      </x:c>
      <x:c r="C80" s="83" t="n">
        <x:v>2050</x:v>
      </x:c>
      <x:c r="D80" s="83" t="str">
        <x:v>Terna 2050 con nucleare</x:v>
      </x:c>
      <x:c r="E80" s="83" t="str">
        <x:v>Wind</x:v>
      </x:c>
      <x:c r="F80" s="83" t="str">
        <x:v>Eolico onshore</x:v>
      </x:c>
      <x:c r="G80" s="83" t="str">
        <x:v>Onshore</x:v>
      </x:c>
      <x:c r="H80" s="143"/>
      <x:c r="I80" s="143" t="n">
        <x:v>46</x:v>
      </x:c>
      <x:c r="J80" s="143"/>
      <x:c r="K80" s="83" t="str">
        <x:v>GW</x:v>
      </x:c>
      <x:c r="L80" s="83" t="str">
        <x:v>Italia</x:v>
      </x:c>
      <x:c r="M80" s="83" t="str">
        <x:v>Installed capacity</x:v>
      </x:c>
      <x:c r="N80" s="83" t="str">
        <x:v>Assunzione di scenario / model configuration</x:v>
      </x:c>
      <x:c r="O80" s="83" t="str">
        <x:v>S07</x:v>
      </x:c>
      <x:c r="P80" s="83" t="str">
        <x:v>Terna Prospettive Sviluppo Sistema Energetico 2050.pdf</x:v>
      </x:c>
      <x:c r="Q80" s="83" t="n">
        <x:v>58</x:v>
      </x:c>
      <x:c r="R80" s="83" t="n">
        <x:v>56</x:v>
      </x:c>
      <x:c r="S80" s="83" t="str">
        <x:v>Tabella 4</x:v>
      </x:c>
      <x:c r="T80" s="83" t="str">
        <x:v>Direct table extraction</x:v>
      </x:c>
      <x:c r="U80" s="83" t="str">
        <x:v>A - Direct</x:v>
      </x:c>
      <x:c r="V80" s="83" t="str">
        <x:v>National 2050 capacity; zonal allocation remains to be constructed.</x:v>
      </x:c>
      <x:c r="W80" s="83" t="str">
        <x:v>Terna mix uses more wind and less solar than the PNIEC illustrative mix.</x:v>
      </x:c>
    </x:row>
    <x:row r="81">
      <x:c r="A81" s="83" t="str">
        <x:v>CAP-0077</x:v>
      </x:c>
      <x:c r="B81" s="83" t="str">
        <x:v>TERNA_2050_NUCLEAR</x:v>
      </x:c>
      <x:c r="C81" s="83" t="n">
        <x:v>2050</x:v>
      </x:c>
      <x:c r="D81" s="83" t="str">
        <x:v>Terna 2050 con nucleare</x:v>
      </x:c>
      <x:c r="E81" s="83" t="str">
        <x:v>Wind</x:v>
      </x:c>
      <x:c r="F81" s="83" t="str">
        <x:v>Eolico offshore</x:v>
      </x:c>
      <x:c r="G81" s="83" t="str">
        <x:v>Offshore</x:v>
      </x:c>
      <x:c r="H81" s="143"/>
      <x:c r="I81" s="143" t="n">
        <x:v>20</x:v>
      </x:c>
      <x:c r="J81" s="143"/>
      <x:c r="K81" s="83" t="str">
        <x:v>GW</x:v>
      </x:c>
      <x:c r="L81" s="83" t="str">
        <x:v>Italia</x:v>
      </x:c>
      <x:c r="M81" s="83" t="str">
        <x:v>Installed capacity</x:v>
      </x:c>
      <x:c r="N81" s="83" t="str">
        <x:v>Assunzione di scenario / model configuration</x:v>
      </x:c>
      <x:c r="O81" s="83" t="str">
        <x:v>S07</x:v>
      </x:c>
      <x:c r="P81" s="83" t="str">
        <x:v>Terna Prospettive Sviluppo Sistema Energetico 2050.pdf</x:v>
      </x:c>
      <x:c r="Q81" s="83" t="n">
        <x:v>58</x:v>
      </x:c>
      <x:c r="R81" s="83" t="n">
        <x:v>56</x:v>
      </x:c>
      <x:c r="S81" s="83" t="str">
        <x:v>Tabella 4</x:v>
      </x:c>
      <x:c r="T81" s="83" t="str">
        <x:v>Direct table extraction</x:v>
      </x:c>
      <x:c r="U81" s="83" t="str">
        <x:v>A - Direct</x:v>
      </x:c>
      <x:c r="V81" s="83" t="str">
        <x:v>National 2050 capacity; zonal allocation remains to be constructed.</x:v>
      </x:c>
      <x:c r="W81" s="83" t="str">
        <x:v>Terna mix uses more wind and less solar than the PNIEC illustrative mix.</x:v>
      </x:c>
    </x:row>
    <x:row r="82">
      <x:c r="A82" s="83" t="str">
        <x:v>CAP-0078</x:v>
      </x:c>
      <x:c r="B82" s="83" t="str">
        <x:v>TERNA_2050_NUCLEAR</x:v>
      </x:c>
      <x:c r="C82" s="83" t="n">
        <x:v>2050</x:v>
      </x:c>
      <x:c r="D82" s="83" t="str">
        <x:v>Terna 2050 con nucleare</x:v>
      </x:c>
      <x:c r="E82" s="83" t="str">
        <x:v>Nuclear</x:v>
      </x:c>
      <x:c r="F82" s="83" t="str">
        <x:v>Nucleare</x:v>
      </x:c>
      <x:c r="G82" s="83" t="str">
        <x:v>Terna technical scenario</x:v>
      </x:c>
      <x:c r="H82" s="143"/>
      <x:c r="I82" s="143" t="n">
        <x:v>10</x:v>
      </x:c>
      <x:c r="J82" s="143"/>
      <x:c r="K82" s="83" t="str">
        <x:v>GW</x:v>
      </x:c>
      <x:c r="L82" s="83" t="str">
        <x:v>Italia</x:v>
      </x:c>
      <x:c r="M82" s="83" t="str">
        <x:v>Installed capacity</x:v>
      </x:c>
      <x:c r="N82" s="83" t="str">
        <x:v>Assunzione di scenario</x:v>
      </x:c>
      <x:c r="O82" s="83" t="str">
        <x:v>S07</x:v>
      </x:c>
      <x:c r="P82" s="83" t="str">
        <x:v>Terna Prospettive Sviluppo Sistema Energetico 2050.pdf</x:v>
      </x:c>
      <x:c r="Q82" s="83" t="n">
        <x:v>57</x:v>
      </x:c>
      <x:c r="R82" s="83" t="n">
        <x:v>55</x:v>
      </x:c>
      <x:c r="S82" s="83" t="str">
        <x:v>Narrative in 5.2.5</x:v>
      </x:c>
      <x:c r="T82" s="83" t="str">
        <x:v>Direct narrative extraction</x:v>
      </x:c>
      <x:c r="U82" s="83" t="str">
        <x:v>A - Direct</x:v>
      </x:c>
      <x:c r="V82" s="83" t="str">
        <x:v>Separate nuclear/no-nuclear branches; siting remains open.</x:v>
      </x:c>
      <x:c r="W82" s="83" t="str">
        <x:v>10 GW chosen to obtain ~80% annual load factor and avoid systematic PV curtailment.</x:v>
      </x:c>
    </x:row>
    <x:row r="83">
      <x:c r="A83" s="83" t="str">
        <x:v>CAP-0079</x:v>
      </x:c>
      <x:c r="B83" s="83" t="str">
        <x:v>TERNA_2050_NO_NUCLEAR</x:v>
      </x:c>
      <x:c r="C83" s="83" t="n">
        <x:v>2050</x:v>
      </x:c>
      <x:c r="D83" s="83" t="str">
        <x:v>Terna 2050 senza nucleare</x:v>
      </x:c>
      <x:c r="E83" s="83" t="str">
        <x:v>Variable renewables</x:v>
      </x:c>
      <x:c r="F83" s="83" t="str">
        <x:v>Totale FRNP</x:v>
      </x:c>
      <x:c r="G83" s="83" t="str">
        <x:v>Solar + wind</x:v>
      </x:c>
      <x:c r="H83" s="143"/>
      <x:c r="I83" s="143" t="n">
        <x:v>270</x:v>
      </x:c>
      <x:c r="J83" s="143"/>
      <x:c r="K83" s="83" t="str">
        <x:v>GW</x:v>
      </x:c>
      <x:c r="L83" s="83" t="str">
        <x:v>Italia</x:v>
      </x:c>
      <x:c r="M83" s="83" t="str">
        <x:v>Installed capacity</x:v>
      </x:c>
      <x:c r="N83" s="83" t="str">
        <x:v>Assunzione di scenario / model configuration</x:v>
      </x:c>
      <x:c r="O83" s="83" t="str">
        <x:v>S07</x:v>
      </x:c>
      <x:c r="P83" s="83" t="str">
        <x:v>Terna Prospettive Sviluppo Sistema Energetico 2050.pdf</x:v>
      </x:c>
      <x:c r="Q83" s="83" t="n">
        <x:v>58</x:v>
      </x:c>
      <x:c r="R83" s="83" t="n">
        <x:v>56</x:v>
      </x:c>
      <x:c r="S83" s="83" t="str">
        <x:v>Tabella 4</x:v>
      </x:c>
      <x:c r="T83" s="83" t="str">
        <x:v>Direct table extraction</x:v>
      </x:c>
      <x:c r="U83" s="83" t="str">
        <x:v>A - Direct</x:v>
      </x:c>
      <x:c r="V83" s="83" t="str">
        <x:v>National 2050 capacity; zonal allocation remains to be constructed.</x:v>
      </x:c>
      <x:c r="W83" s="83" t="str">
        <x:v>Terna mix uses more wind and less solar than the PNIEC illustrative mix.</x:v>
      </x:c>
    </x:row>
    <x:row r="84">
      <x:c r="A84" s="83" t="str">
        <x:v>CAP-0080</x:v>
      </x:c>
      <x:c r="B84" s="83" t="str">
        <x:v>TERNA_2050_NO_NUCLEAR</x:v>
      </x:c>
      <x:c r="C84" s="83" t="n">
        <x:v>2050</x:v>
      </x:c>
      <x:c r="D84" s="83" t="str">
        <x:v>Terna 2050 senza nucleare</x:v>
      </x:c>
      <x:c r="E84" s="83" t="str">
        <x:v>Solar</x:v>
      </x:c>
      <x:c r="F84" s="83" t="str">
        <x:v>Solare</x:v>
      </x:c>
      <x:c r="G84" s="83" t="str">
        <x:v>Photovoltaic</x:v>
      </x:c>
      <x:c r="H84" s="143"/>
      <x:c r="I84" s="143" t="n">
        <x:v>200</x:v>
      </x:c>
      <x:c r="J84" s="143"/>
      <x:c r="K84" s="83" t="str">
        <x:v>GW</x:v>
      </x:c>
      <x:c r="L84" s="83" t="str">
        <x:v>Italia</x:v>
      </x:c>
      <x:c r="M84" s="83" t="str">
        <x:v>Installed capacity</x:v>
      </x:c>
      <x:c r="N84" s="83" t="str">
        <x:v>Assunzione di scenario / model configuration</x:v>
      </x:c>
      <x:c r="O84" s="83" t="str">
        <x:v>S07</x:v>
      </x:c>
      <x:c r="P84" s="83" t="str">
        <x:v>Terna Prospettive Sviluppo Sistema Energetico 2050.pdf</x:v>
      </x:c>
      <x:c r="Q84" s="83" t="n">
        <x:v>58</x:v>
      </x:c>
      <x:c r="R84" s="83" t="n">
        <x:v>56</x:v>
      </x:c>
      <x:c r="S84" s="83" t="str">
        <x:v>Tabella 4</x:v>
      </x:c>
      <x:c r="T84" s="83" t="str">
        <x:v>Direct table extraction</x:v>
      </x:c>
      <x:c r="U84" s="83" t="str">
        <x:v>A - Direct</x:v>
      </x:c>
      <x:c r="V84" s="83" t="str">
        <x:v>National 2050 capacity; zonal allocation remains to be constructed.</x:v>
      </x:c>
      <x:c r="W84" s="83" t="str">
        <x:v>Terna mix uses more wind and less solar than the PNIEC illustrative mix.</x:v>
      </x:c>
    </x:row>
    <x:row r="85">
      <x:c r="A85" s="83" t="str">
        <x:v>CAP-0081</x:v>
      </x:c>
      <x:c r="B85" s="83" t="str">
        <x:v>TERNA_2050_NO_NUCLEAR</x:v>
      </x:c>
      <x:c r="C85" s="83" t="n">
        <x:v>2050</x:v>
      </x:c>
      <x:c r="D85" s="83" t="str">
        <x:v>Terna 2050 senza nucleare</x:v>
      </x:c>
      <x:c r="E85" s="83" t="str">
        <x:v>Wind</x:v>
      </x:c>
      <x:c r="F85" s="83" t="str">
        <x:v>Eolico onshore</x:v>
      </x:c>
      <x:c r="G85" s="83" t="str">
        <x:v>Onshore</x:v>
      </x:c>
      <x:c r="H85" s="143"/>
      <x:c r="I85" s="143" t="n">
        <x:v>50</x:v>
      </x:c>
      <x:c r="J85" s="143"/>
      <x:c r="K85" s="83" t="str">
        <x:v>GW</x:v>
      </x:c>
      <x:c r="L85" s="83" t="str">
        <x:v>Italia</x:v>
      </x:c>
      <x:c r="M85" s="83" t="str">
        <x:v>Installed capacity</x:v>
      </x:c>
      <x:c r="N85" s="83" t="str">
        <x:v>Assunzione di scenario / model configuration</x:v>
      </x:c>
      <x:c r="O85" s="83" t="str">
        <x:v>S07</x:v>
      </x:c>
      <x:c r="P85" s="83" t="str">
        <x:v>Terna Prospettive Sviluppo Sistema Energetico 2050.pdf</x:v>
      </x:c>
      <x:c r="Q85" s="83" t="n">
        <x:v>58</x:v>
      </x:c>
      <x:c r="R85" s="83" t="n">
        <x:v>56</x:v>
      </x:c>
      <x:c r="S85" s="83" t="str">
        <x:v>Tabella 4</x:v>
      </x:c>
      <x:c r="T85" s="83" t="str">
        <x:v>Direct table extraction</x:v>
      </x:c>
      <x:c r="U85" s="83" t="str">
        <x:v>A - Direct</x:v>
      </x:c>
      <x:c r="V85" s="83" t="str">
        <x:v>National 2050 capacity; zonal allocation remains to be constructed.</x:v>
      </x:c>
      <x:c r="W85" s="83" t="str">
        <x:v>Terna mix uses more wind and less solar than the PNIEC illustrative mix.</x:v>
      </x:c>
    </x:row>
    <x:row r="86">
      <x:c r="A86" s="83" t="str">
        <x:v>CAP-0082</x:v>
      </x:c>
      <x:c r="B86" s="83" t="str">
        <x:v>TERNA_2050_NO_NUCLEAR</x:v>
      </x:c>
      <x:c r="C86" s="83" t="n">
        <x:v>2050</x:v>
      </x:c>
      <x:c r="D86" s="83" t="str">
        <x:v>Terna 2050 senza nucleare</x:v>
      </x:c>
      <x:c r="E86" s="83" t="str">
        <x:v>Wind</x:v>
      </x:c>
      <x:c r="F86" s="83" t="str">
        <x:v>Eolico offshore</x:v>
      </x:c>
      <x:c r="G86" s="83" t="str">
        <x:v>Offshore</x:v>
      </x:c>
      <x:c r="H86" s="143"/>
      <x:c r="I86" s="143" t="n">
        <x:v>20</x:v>
      </x:c>
      <x:c r="J86" s="143"/>
      <x:c r="K86" s="83" t="str">
        <x:v>GW</x:v>
      </x:c>
      <x:c r="L86" s="83" t="str">
        <x:v>Italia</x:v>
      </x:c>
      <x:c r="M86" s="83" t="str">
        <x:v>Installed capacity</x:v>
      </x:c>
      <x:c r="N86" s="83" t="str">
        <x:v>Assunzione di scenario / model configuration</x:v>
      </x:c>
      <x:c r="O86" s="83" t="str">
        <x:v>S07</x:v>
      </x:c>
      <x:c r="P86" s="83" t="str">
        <x:v>Terna Prospettive Sviluppo Sistema Energetico 2050.pdf</x:v>
      </x:c>
      <x:c r="Q86" s="83" t="n">
        <x:v>58</x:v>
      </x:c>
      <x:c r="R86" s="83" t="n">
        <x:v>56</x:v>
      </x:c>
      <x:c r="S86" s="83" t="str">
        <x:v>Tabella 4</x:v>
      </x:c>
      <x:c r="T86" s="83" t="str">
        <x:v>Direct table extraction</x:v>
      </x:c>
      <x:c r="U86" s="83" t="str">
        <x:v>A - Direct</x:v>
      </x:c>
      <x:c r="V86" s="83" t="str">
        <x:v>National 2050 capacity; zonal allocation remains to be constructed.</x:v>
      </x:c>
      <x:c r="W86" s="83" t="str">
        <x:v>Terna mix uses more wind and less solar than the PNIEC illustrative mix.</x:v>
      </x:c>
    </x:row>
    <x:row r="87">
      <x:c r="A87" s="83" t="str">
        <x:v>CAP-0083</x:v>
      </x:c>
      <x:c r="B87" s="83" t="str">
        <x:v>TERNA_2050_NO_NUCLEAR</x:v>
      </x:c>
      <x:c r="C87" s="83" t="n">
        <x:v>2050</x:v>
      </x:c>
      <x:c r="D87" s="83" t="str">
        <x:v>Terna 2050 senza nucleare</x:v>
      </x:c>
      <x:c r="E87" s="83" t="str">
        <x:v>Nuclear</x:v>
      </x:c>
      <x:c r="F87" s="83" t="str">
        <x:v>Nucleare</x:v>
      </x:c>
      <x:c r="G87" s="83" t="str">
        <x:v>Terna technical scenario</x:v>
      </x:c>
      <x:c r="H87" s="143"/>
      <x:c r="I87" s="143" t="n">
        <x:v>0</x:v>
      </x:c>
      <x:c r="J87" s="143"/>
      <x:c r="K87" s="83" t="str">
        <x:v>GW</x:v>
      </x:c>
      <x:c r="L87" s="83" t="str">
        <x:v>Italia</x:v>
      </x:c>
      <x:c r="M87" s="83" t="str">
        <x:v>Installed capacity</x:v>
      </x:c>
      <x:c r="N87" s="83" t="str">
        <x:v>Assunzione di scenario</x:v>
      </x:c>
      <x:c r="O87" s="83" t="str">
        <x:v>S07</x:v>
      </x:c>
      <x:c r="P87" s="83" t="str">
        <x:v>Terna Prospettive Sviluppo Sistema Energetico 2050.pdf</x:v>
      </x:c>
      <x:c r="Q87" s="83" t="n">
        <x:v>57</x:v>
      </x:c>
      <x:c r="R87" s="83" t="n">
        <x:v>55</x:v>
      </x:c>
      <x:c r="S87" s="83" t="str">
        <x:v>Narrative in 5.2.5</x:v>
      </x:c>
      <x:c r="T87" s="83" t="str">
        <x:v>Direct narrative extraction</x:v>
      </x:c>
      <x:c r="U87" s="83" t="str">
        <x:v>A - Direct</x:v>
      </x:c>
      <x:c r="V87" s="83" t="str">
        <x:v>Separate nuclear/no-nuclear branches; siting remains open.</x:v>
      </x:c>
      <x:c r="W87" s="83" t="str">
        <x:v>Nuclear excluded.</x:v>
      </x:c>
    </x:row>
    <x:row r="88">
      <x:c r="A88" s="83" t="str">
        <x:v>CAP-0084</x:v>
      </x:c>
      <x:c r="B88" s="83" t="str">
        <x:v>TERNA_2050_NUCLEAR</x:v>
      </x:c>
      <x:c r="C88" s="83" t="n">
        <x:v>2050</x:v>
      </x:c>
      <x:c r="D88" s="83" t="str">
        <x:v>Terna 2050 con nucleare</x:v>
      </x:c>
      <x:c r="E88" s="83" t="str">
        <x:v>Hydro</x:v>
      </x:c>
      <x:c r="F88" s="83" t="str">
        <x:v>Idrico e pompaggi</x:v>
      </x:c>
      <x:c r="G88" s="83" t="str">
        <x:v>Aggregate power</x:v>
      </x:c>
      <x:c r="H88" s="143"/>
      <x:c r="I88" s="143" t="n">
        <x:v>23</x:v>
      </x:c>
      <x:c r="J88" s="143"/>
      <x:c r="K88" s="83" t="str">
        <x:v>GW</x:v>
      </x:c>
      <x:c r="L88" s="83" t="str">
        <x:v>Italia</x:v>
      </x:c>
      <x:c r="M88" s="83" t="str">
        <x:v>Contextual capacity / peak</x:v>
      </x:c>
      <x:c r="N88" s="83" t="str">
        <x:v>Direct labelled figure</x:v>
      </x:c>
      <x:c r="O88" s="83" t="str">
        <x:v>S07</x:v>
      </x:c>
      <x:c r="P88" s="83" t="str">
        <x:v>Terna Prospettive Sviluppo Sistema Energetico 2050.pdf</x:v>
      </x:c>
      <x:c r="Q88" s="83" t="n">
        <x:v>64</x:v>
      </x:c>
      <x:c r="R88" s="83" t="n">
        <x:v>62</x:v>
      </x:c>
      <x:c r="S88" s="83" t="str">
        <x:v>Figura 54</x:v>
      </x:c>
      <x:c r="T88" s="83" t="str">
        <x:v>Direct labelled values from figure; visual/text verification</x:v>
      </x:c>
      <x:c r="U88" s="83" t="str">
        <x:v>A - Direct labels</x:v>
      </x:c>
      <x:c r="V88" s="83" t="str">
        <x:v>Context and QA; requires decomposition before model input.</x:v>
      </x:c>
      <x:c r="W88" s="83" t="str">
        <x:v>Direct chart label.</x:v>
      </x:c>
    </x:row>
    <x:row r="89">
      <x:c r="A89" s="83" t="str">
        <x:v>CAP-0085</x:v>
      </x:c>
      <x:c r="B89" s="83" t="str">
        <x:v>TERNA_2050_NUCLEAR</x:v>
      </x:c>
      <x:c r="C89" s="83" t="n">
        <x:v>2050</x:v>
      </x:c>
      <x:c r="D89" s="83" t="str">
        <x:v>Terna 2050 con nucleare</x:v>
      </x:c>
      <x:c r="E89" s="83" t="str">
        <x:v>Storage</x:v>
      </x:c>
      <x:c r="F89" s="83" t="str">
        <x:v>Accumuli elettrochimici</x:v>
      </x:c>
      <x:c r="G89" s="83" t="str">
        <x:v>Power capacity</x:v>
      </x:c>
      <x:c r="H89" s="143"/>
      <x:c r="I89" s="143" t="n">
        <x:v>36</x:v>
      </x:c>
      <x:c r="J89" s="143"/>
      <x:c r="K89" s="83" t="str">
        <x:v>GW</x:v>
      </x:c>
      <x:c r="L89" s="83" t="str">
        <x:v>Italia</x:v>
      </x:c>
      <x:c r="M89" s="83" t="str">
        <x:v>Contextual capacity / peak</x:v>
      </x:c>
      <x:c r="N89" s="83" t="str">
        <x:v>Direct labelled figure</x:v>
      </x:c>
      <x:c r="O89" s="83" t="str">
        <x:v>S07</x:v>
      </x:c>
      <x:c r="P89" s="83" t="str">
        <x:v>Terna Prospettive Sviluppo Sistema Energetico 2050.pdf</x:v>
      </x:c>
      <x:c r="Q89" s="83" t="n">
        <x:v>64</x:v>
      </x:c>
      <x:c r="R89" s="83" t="n">
        <x:v>62</x:v>
      </x:c>
      <x:c r="S89" s="83" t="str">
        <x:v>Figura 54</x:v>
      </x:c>
      <x:c r="T89" s="83" t="str">
        <x:v>Direct labelled values from figure; visual/text verification</x:v>
      </x:c>
      <x:c r="U89" s="83" t="str">
        <x:v>A - Direct labels</x:v>
      </x:c>
      <x:c r="V89" s="83" t="str">
        <x:v>Context and QA; requires decomposition before model input.</x:v>
      </x:c>
      <x:c r="W89" s="83" t="str">
        <x:v>Energy capacity is 196 GWh in Table 4.</x:v>
      </x:c>
    </x:row>
    <x:row r="90">
      <x:c r="A90" s="83" t="str">
        <x:v>CAP-0086</x:v>
      </x:c>
      <x:c r="B90" s="83" t="str">
        <x:v>TERNA_2050_NUCLEAR</x:v>
      </x:c>
      <x:c r="C90" s="83" t="n">
        <x:v>2050</x:v>
      </x:c>
      <x:c r="D90" s="83" t="str">
        <x:v>Terna 2050 con nucleare</x:v>
      </x:c>
      <x:c r="E90" s="83" t="str">
        <x:v>Programmable/thermal</x:v>
      </x:c>
      <x:c r="F90" s="83" t="str">
        <x:v>Termoelettrico + nucleare</x:v>
      </x:c>
      <x:c r="G90" s="83" t="str">
        <x:v>Aggregate range</x:v>
      </x:c>
      <x:c r="H90" s="143" t="n">
        <x:v>20</x:v>
      </x:c>
      <x:c r="I90" s="143"/>
      <x:c r="J90" s="143" t="n">
        <x:v>30</x:v>
      </x:c>
      <x:c r="K90" s="83" t="str">
        <x:v>GW</x:v>
      </x:c>
      <x:c r="L90" s="83" t="str">
        <x:v>Italia</x:v>
      </x:c>
      <x:c r="M90" s="83" t="str">
        <x:v>Contextual capacity / peak</x:v>
      </x:c>
      <x:c r="N90" s="83" t="str">
        <x:v>Direct labelled figure</x:v>
      </x:c>
      <x:c r="O90" s="83" t="str">
        <x:v>S07</x:v>
      </x:c>
      <x:c r="P90" s="83" t="str">
        <x:v>Terna Prospettive Sviluppo Sistema Energetico 2050.pdf</x:v>
      </x:c>
      <x:c r="Q90" s="83" t="n">
        <x:v>64</x:v>
      </x:c>
      <x:c r="R90" s="83" t="n">
        <x:v>62</x:v>
      </x:c>
      <x:c r="S90" s="83" t="str">
        <x:v>Figura 54</x:v>
      </x:c>
      <x:c r="T90" s="83" t="str">
        <x:v>Direct labelled values from figure; visual/text verification</x:v>
      </x:c>
      <x:c r="U90" s="83" t="str">
        <x:v>A - Direct labels</x:v>
      </x:c>
      <x:c r="V90" s="83" t="str">
        <x:v>Context and QA; requires decomposition before model input.</x:v>
      </x:c>
      <x:c r="W90" s="83" t="str">
        <x:v>Includes 10 GW nuclear; chart reports a range.</x:v>
      </x:c>
    </x:row>
    <x:row r="91">
      <x:c r="A91" s="83" t="str">
        <x:v>CAP-0087</x:v>
      </x:c>
      <x:c r="B91" s="83" t="str">
        <x:v>TERNA_2050_NUCLEAR</x:v>
      </x:c>
      <x:c r="C91" s="83" t="n">
        <x:v>2050</x:v>
      </x:c>
      <x:c r="D91" s="83" t="str">
        <x:v>Terna 2050 con nucleare</x:v>
      </x:c>
      <x:c r="E91" s="83" t="str">
        <x:v>System total</x:v>
      </x:c>
      <x:c r="F91" s="83" t="str">
        <x:v>Potenza installata totale</x:v>
      </x:c>
      <x:c r="G91" s="83" t="str">
        <x:v>Includes generation and electrochemical storage</x:v>
      </x:c>
      <x:c r="H91" s="143"/>
      <x:c r="I91" s="143" t="n">
        <x:v>330</x:v>
      </x:c>
      <x:c r="J91" s="143"/>
      <x:c r="K91" s="83" t="str">
        <x:v>GW</x:v>
      </x:c>
      <x:c r="L91" s="83" t="str">
        <x:v>Italia</x:v>
      </x:c>
      <x:c r="M91" s="83" t="str">
        <x:v>Contextual capacity / peak</x:v>
      </x:c>
      <x:c r="N91" s="83" t="str">
        <x:v>Direct labelled figure</x:v>
      </x:c>
      <x:c r="O91" s="83" t="str">
        <x:v>S07</x:v>
      </x:c>
      <x:c r="P91" s="83" t="str">
        <x:v>Terna Prospettive Sviluppo Sistema Energetico 2050.pdf</x:v>
      </x:c>
      <x:c r="Q91" s="83" t="n">
        <x:v>64</x:v>
      </x:c>
      <x:c r="R91" s="83" t="n">
        <x:v>62</x:v>
      </x:c>
      <x:c r="S91" s="83" t="str">
        <x:v>Figura 54</x:v>
      </x:c>
      <x:c r="T91" s="83" t="str">
        <x:v>Direct labelled values from figure; visual/text verification</x:v>
      </x:c>
      <x:c r="U91" s="83" t="str">
        <x:v>A - Direct labels</x:v>
      </x:c>
      <x:c r="V91" s="83" t="str">
        <x:v>Context and QA; requires decomposition before model input.</x:v>
      </x:c>
      <x:c r="W91" s="83" t="str">
        <x:v>Not directly comparable with generation-only totals.</x:v>
      </x:c>
    </x:row>
    <x:row r="92">
      <x:c r="A92" s="83" t="str">
        <x:v>CAP-0088</x:v>
      </x:c>
      <x:c r="B92" s="83" t="str">
        <x:v>TERNA_2050_NUCLEAR</x:v>
      </x:c>
      <x:c r="C92" s="83" t="n">
        <x:v>2050</x:v>
      </x:c>
      <x:c r="D92" s="83" t="str">
        <x:v>Terna 2050 con nucleare</x:v>
      </x:c>
      <x:c r="E92" s="83" t="str">
        <x:v>Demand</x:v>
      </x:c>
      <x:c r="F92" s="83" t="str">
        <x:v>Picco domanda</x:v>
      </x:c>
      <x:c r="G92" s="83" t="str">
        <x:v>Peak load</x:v>
      </x:c>
      <x:c r="H92" s="143"/>
      <x:c r="I92" s="143" t="n">
        <x:v>112</x:v>
      </x:c>
      <x:c r="J92" s="143"/>
      <x:c r="K92" s="83" t="str">
        <x:v>GW</x:v>
      </x:c>
      <x:c r="L92" s="83" t="str">
        <x:v>Italia</x:v>
      </x:c>
      <x:c r="M92" s="83" t="str">
        <x:v>Contextual capacity / peak</x:v>
      </x:c>
      <x:c r="N92" s="83" t="str">
        <x:v>Direct labelled figure</x:v>
      </x:c>
      <x:c r="O92" s="83" t="str">
        <x:v>S07</x:v>
      </x:c>
      <x:c r="P92" s="83" t="str">
        <x:v>Terna Prospettive Sviluppo Sistema Energetico 2050.pdf</x:v>
      </x:c>
      <x:c r="Q92" s="83" t="n">
        <x:v>64</x:v>
      </x:c>
      <x:c r="R92" s="83" t="n">
        <x:v>62</x:v>
      </x:c>
      <x:c r="S92" s="83" t="str">
        <x:v>Figura 54</x:v>
      </x:c>
      <x:c r="T92" s="83" t="str">
        <x:v>Direct labelled values from figure; visual/text verification</x:v>
      </x:c>
      <x:c r="U92" s="83" t="str">
        <x:v>A - Direct labels</x:v>
      </x:c>
      <x:c r="V92" s="83" t="str">
        <x:v>Context and QA; requires decomposition before model input.</x:v>
      </x:c>
      <x:c r="W92" s="83" t="str">
        <x:v>Chart label ~112; narrative says above 110 GW.</x:v>
      </x:c>
    </x:row>
  </x:sheetData>
  <x:mergeCells>
    <x:mergeCell ref="A1:W1"/>
    <x:mergeCell ref="A2:W2"/>
  </x:mergeCells>
  <x:conditionalFormatting sqref="U5:U92">
    <x:cfRule type="expression" dxfId="31" priority="1">
      <x:formula>LEFT(U5,1)="A"</x:formula>
    </x:cfRule>
    <x:cfRule type="expression" dxfId="32" priority="2">
      <x:formula>OR(LEFT(U5,1)="D",LEFT(U5,1)="E")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33788ae4f646c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18" hidden="0" customWidth="1"/>
    <x:col min="6" max="6" width="20" hidden="0" customWidth="1"/>
    <x:col min="7" max="7" width="26" hidden="0" customWidth="1"/>
    <x:col min="8" max="8" width="20" hidden="0" customWidth="1"/>
    <x:col min="9" max="9" width="14" hidden="0" customWidth="1"/>
    <x:col min="10" max="10" width="10" hidden="0" customWidth="1"/>
    <x:col min="11" max="11" width="30" hidden="0" customWidth="1"/>
    <x:col min="12" max="12" width="12" hidden="0" customWidth="1"/>
    <x:col min="13" max="13" width="44" hidden="0" customWidth="1"/>
    <x:col min="14" max="14" width="12" hidden="0" customWidth="1"/>
    <x:col min="15" max="15" width="16" hidden="0" customWidth="1"/>
    <x:col min="16" max="16" width="18" hidden="0" customWidth="1"/>
    <x:col min="17" max="17" width="40" hidden="0" customWidth="1"/>
    <x:col min="18" max="18" width="18" hidden="0" customWidth="1"/>
    <x:col min="19" max="19" width="44" hidden="0" customWidth="1"/>
    <x:col min="20" max="20" width="48" hidden="0" customWidth="1"/>
  </x:cols>
  <x:sheetData>
    <x:row r="1" ht="34" customHeight="1">
      <x:c r="A1" s="134" t="str">
        <x:v>Capacità zonale solare ed eolica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  <x:c r="R1" s="134"/>
      <x:c r="S1" s="134"/>
      <x:c r="T1" s="134"/>
    </x:row>
    <x:row r="2" ht="30" customHeight="1">
      <x:c r="A2" s="138" t="str">
        <x:v>252 righe DDS; categorie originali per sette zone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Zona</x:v>
      </x:c>
      <x:c r="F4" s="142" t="str">
        <x:v>Gruppo tecnologia</x:v>
      </x:c>
      <x:c r="G4" s="142" t="str">
        <x:v>Tecnologia</x:v>
      </x:c>
      <x:c r="H4" s="142" t="str">
        <x:v>Categoria fonte</x:v>
      </x:c>
      <x:c r="I4" s="142" t="str">
        <x:v>Valore</x:v>
      </x:c>
      <x:c r="J4" s="142" t="str">
        <x:v>Unità</x:v>
      </x:c>
      <x:c r="K4" s="142" t="str">
        <x:v>Tipo evidenza</x:v>
      </x:c>
      <x:c r="L4" s="142" t="str">
        <x:v>Fonte</x:v>
      </x:c>
      <x:c r="M4" s="142" t="str">
        <x:v>File fonte</x:v>
      </x:c>
      <x:c r="N4" s="142" t="str">
        <x:v>Pagina PDF</x:v>
      </x:c>
      <x:c r="O4" s="142" t="str">
        <x:v>Pagina stampata</x:v>
      </x:c>
      <x:c r="P4" s="142" t="str">
        <x:v>Tabella/Figura</x:v>
      </x:c>
      <x:c r="Q4" s="142" t="str">
        <x:v>Metodo</x:v>
      </x:c>
      <x:c r="R4" s="142" t="str">
        <x:v>Affidabilità</x:v>
      </x:c>
      <x:c r="S4" s="142" t="str">
        <x:v>Uso modello</x:v>
      </x:c>
      <x:c r="T4" s="142" t="str">
        <x:v>Note</x:v>
      </x:c>
    </x:row>
    <x:row r="5">
      <x:c r="A5" s="83" t="str">
        <x:v>ZCAP-0001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Nord</x:v>
      </x:c>
      <x:c r="F5" s="83" t="str">
        <x:v>Solar</x:v>
      </x:c>
      <x:c r="G5" s="83" t="str">
        <x:v>Solare distribuito</x:v>
      </x:c>
      <x:c r="H5" s="83" t="str">
        <x:v>Distribuito</x:v>
      </x:c>
      <x:c r="I5" s="143" t="n">
        <x:v>9.2</x:v>
      </x:c>
      <x:c r="J5" s="83" t="str">
        <x:v>GW</x:v>
      </x:c>
      <x:c r="K5" s="83" t="str">
        <x:v>Dato osservato storico</x:v>
      </x:c>
      <x:c r="L5" s="83" t="str">
        <x:v>S09</x:v>
      </x:c>
      <x:c r="M5" s="83" t="str">
        <x:v>Documento_Descrizione_Scenari_2024_8dce2430d44d101.pdf</x:v>
      </x:c>
      <x:c r="N5" s="83" t="n">
        <x:v>60</x:v>
      </x:c>
      <x:c r="O5" s="83" t="n">
        <x:v>58</x:v>
      </x:c>
      <x:c r="P5" s="83" t="str">
        <x:v>Tabella 14</x:v>
      </x:c>
      <x:c r="Q5" s="83" t="str">
        <x:v>Direct table extraction; visual/text verification</x:v>
      </x:c>
      <x:c r="R5" s="83" t="str">
        <x:v>A - Direct</x:v>
      </x:c>
      <x:c r="S5" s="83" t="str">
        <x:v>Zonal p_nom input after mapping to PyPSA carrier.</x:v>
      </x:c>
      <x:c r="T5" s="83" t="str">
        <x:v>For 2023, distributed includes LV-connected plants and plants &lt;200 kW.</x:v>
      </x:c>
    </x:row>
    <x:row r="6">
      <x:c r="A6" s="83" t="str">
        <x:v>ZCAP-0002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Nord</x:v>
      </x:c>
      <x:c r="F6" s="83" t="str">
        <x:v>Solar</x:v>
      </x:c>
      <x:c r="G6" s="83" t="str">
        <x:v>Solare distribuito</x:v>
      </x:c>
      <x:c r="H6" s="83" t="str">
        <x:v>Distribuito</x:v>
      </x:c>
      <x:c r="I6" s="143" t="n">
        <x:v>21.4</x:v>
      </x:c>
      <x:c r="J6" s="83" t="str">
        <x:v>GW</x:v>
      </x:c>
      <x:c r="K6" s="83" t="str">
        <x:v>Assunzione di scenario</x:v>
      </x:c>
      <x:c r="L6" s="83" t="str">
        <x:v>S09</x:v>
      </x:c>
      <x:c r="M6" s="83" t="str">
        <x:v>Documento_Descrizione_Scenari_2024_8dce2430d44d101.pdf</x:v>
      </x:c>
      <x:c r="N6" s="83" t="n">
        <x:v>60</x:v>
      </x:c>
      <x:c r="O6" s="83" t="n">
        <x:v>58</x:v>
      </x:c>
      <x:c r="P6" s="83" t="str">
        <x:v>Tabella 14</x:v>
      </x:c>
      <x:c r="Q6" s="83" t="str">
        <x:v>Direct table extraction; visual/text verification</x:v>
      </x:c>
      <x:c r="R6" s="83" t="str">
        <x:v>A - Direct</x:v>
      </x:c>
      <x:c r="S6" s="83" t="str">
        <x:v>Zonal p_nom input after mapping to PyPSA carrier.</x:v>
      </x:c>
      <x:c r="T6" s="83" t="str">
        <x:v>For 2023, distributed includes LV-connected plants and plants &lt;200 kW.</x:v>
      </x:c>
    </x:row>
    <x:row r="7">
      <x:c r="A7" s="83" t="str">
        <x:v>ZCAP-0003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Nord</x:v>
      </x:c>
      <x:c r="F7" s="83" t="str">
        <x:v>Solar</x:v>
      </x:c>
      <x:c r="G7" s="83" t="str">
        <x:v>Solare distribuito</x:v>
      </x:c>
      <x:c r="H7" s="83" t="str">
        <x:v>Distribuito</x:v>
      </x:c>
      <x:c r="I7" s="143" t="n">
        <x:v>20.3</x:v>
      </x:c>
      <x:c r="J7" s="83" t="str">
        <x:v>GW</x:v>
      </x:c>
      <x:c r="K7" s="83" t="str">
        <x:v>Assunzione di scenario</x:v>
      </x:c>
      <x:c r="L7" s="83" t="str">
        <x:v>S09</x:v>
      </x:c>
      <x:c r="M7" s="83" t="str">
        <x:v>Documento_Descrizione_Scenari_2024_8dce2430d44d101.pdf</x:v>
      </x:c>
      <x:c r="N7" s="83" t="n">
        <x:v>60</x:v>
      </x:c>
      <x:c r="O7" s="83" t="n">
        <x:v>58</x:v>
      </x:c>
      <x:c r="P7" s="83" t="str">
        <x:v>Tabella 14</x:v>
      </x:c>
      <x:c r="Q7" s="83" t="str">
        <x:v>Direct table extraction; visual/text verification</x:v>
      </x:c>
      <x:c r="R7" s="83" t="str">
        <x:v>A - Direct</x:v>
      </x:c>
      <x:c r="S7" s="83" t="str">
        <x:v>Zonal p_nom input after mapping to PyPSA carrier.</x:v>
      </x:c>
      <x:c r="T7" s="83" t="str">
        <x:v>For 2023, distributed includes LV-connected plants and plants &lt;200 kW.</x:v>
      </x:c>
    </x:row>
    <x:row r="8">
      <x:c r="A8" s="83" t="str">
        <x:v>ZCAP-0004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Nord</x:v>
      </x:c>
      <x:c r="F8" s="83" t="str">
        <x:v>Solar</x:v>
      </x:c>
      <x:c r="G8" s="83" t="str">
        <x:v>Solare distribuito</x:v>
      </x:c>
      <x:c r="H8" s="83" t="str">
        <x:v>Distribuito</x:v>
      </x:c>
      <x:c r="I8" s="143" t="n">
        <x:v>23.3</x:v>
      </x:c>
      <x:c r="J8" s="83" t="str">
        <x:v>GW</x:v>
      </x:c>
      <x:c r="K8" s="83" t="str">
        <x:v>Assunzione di scenario</x:v>
      </x:c>
      <x:c r="L8" s="83" t="str">
        <x:v>S09</x:v>
      </x:c>
      <x:c r="M8" s="83" t="str">
        <x:v>Documento_Descrizione_Scenari_2024_8dce2430d44d101.pdf</x:v>
      </x:c>
      <x:c r="N8" s="83" t="n">
        <x:v>60</x:v>
      </x:c>
      <x:c r="O8" s="83" t="n">
        <x:v>58</x:v>
      </x:c>
      <x:c r="P8" s="83" t="str">
        <x:v>Tabella 14</x:v>
      </x:c>
      <x:c r="Q8" s="83" t="str">
        <x:v>Direct table extraction; visual/text verification</x:v>
      </x:c>
      <x:c r="R8" s="83" t="str">
        <x:v>A - Direct</x:v>
      </x:c>
      <x:c r="S8" s="83" t="str">
        <x:v>Zonal p_nom input after mapping to PyPSA carrier.</x:v>
      </x:c>
      <x:c r="T8" s="83" t="str">
        <x:v>For 2023, distributed includes LV-connected plants and plants &lt;200 kW.</x:v>
      </x:c>
    </x:row>
    <x:row r="9">
      <x:c r="A9" s="83" t="str">
        <x:v>ZCAP-0005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Nord</x:v>
      </x:c>
      <x:c r="F9" s="83" t="str">
        <x:v>Solar</x:v>
      </x:c>
      <x:c r="G9" s="83" t="str">
        <x:v>Solare distribuito</x:v>
      </x:c>
      <x:c r="H9" s="83" t="str">
        <x:v>Distribuito</x:v>
      </x:c>
      <x:c r="I9" s="143" t="n">
        <x:v>24.6</x:v>
      </x:c>
      <x:c r="J9" s="83" t="str">
        <x:v>GW</x:v>
      </x:c>
      <x:c r="K9" s="83" t="str">
        <x:v>Assunzione di scenario</x:v>
      </x:c>
      <x:c r="L9" s="83" t="str">
        <x:v>S09</x:v>
      </x:c>
      <x:c r="M9" s="83" t="str">
        <x:v>Documento_Descrizione_Scenari_2024_8dce2430d44d101.pdf</x:v>
      </x:c>
      <x:c r="N9" s="83" t="n">
        <x:v>60</x:v>
      </x:c>
      <x:c r="O9" s="83" t="n">
        <x:v>58</x:v>
      </x:c>
      <x:c r="P9" s="83" t="str">
        <x:v>Tabella 14</x:v>
      </x:c>
      <x:c r="Q9" s="83" t="str">
        <x:v>Direct table extraction; visual/text verification</x:v>
      </x:c>
      <x:c r="R9" s="83" t="str">
        <x:v>A - Direct</x:v>
      </x:c>
      <x:c r="S9" s="83" t="str">
        <x:v>Zonal p_nom input after mapping to PyPSA carrier.</x:v>
      </x:c>
      <x:c r="T9" s="83" t="str">
        <x:v>For 2023, distributed includes LV-connected plants and plants &lt;200 kW.</x:v>
      </x:c>
    </x:row>
    <x:row r="10">
      <x:c r="A10" s="83" t="str">
        <x:v>ZCAP-0006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Nord</x:v>
      </x:c>
      <x:c r="F10" s="83" t="str">
        <x:v>Solar</x:v>
      </x:c>
      <x:c r="G10" s="83" t="str">
        <x:v>Solare distribuito</x:v>
      </x:c>
      <x:c r="H10" s="83" t="str">
        <x:v>Distribuito</x:v>
      </x:c>
      <x:c r="I10" s="143" t="n">
        <x:v>21.9</x:v>
      </x:c>
      <x:c r="J10" s="83" t="str">
        <x:v>GW</x:v>
      </x:c>
      <x:c r="K10" s="83" t="str">
        <x:v>Assunzione di scenario</x:v>
      </x:c>
      <x:c r="L10" s="83" t="str">
        <x:v>S09</x:v>
      </x:c>
      <x:c r="M10" s="83" t="str">
        <x:v>Documento_Descrizione_Scenari_2024_8dce2430d44d101.pdf</x:v>
      </x:c>
      <x:c r="N10" s="83" t="n">
        <x:v>60</x:v>
      </x:c>
      <x:c r="O10" s="83" t="n">
        <x:v>58</x:v>
      </x:c>
      <x:c r="P10" s="83" t="str">
        <x:v>Tabella 14</x:v>
      </x:c>
      <x:c r="Q10" s="83" t="str">
        <x:v>Direct table extraction; visual/text verification</x:v>
      </x:c>
      <x:c r="R10" s="83" t="str">
        <x:v>A - Direct</x:v>
      </x:c>
      <x:c r="S10" s="83" t="str">
        <x:v>Zonal p_nom input after mapping to PyPSA carrier.</x:v>
      </x:c>
      <x:c r="T10" s="83" t="str">
        <x:v>For 2023, distributed includes LV-connected plants and plants &lt;200 kW.</x:v>
      </x:c>
    </x:row>
    <x:row r="11">
      <x:c r="A11" s="83" t="str">
        <x:v>ZCAP-0007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Nord</x:v>
      </x:c>
      <x:c r="F11" s="83" t="str">
        <x:v>Solar</x:v>
      </x:c>
      <x:c r="G11" s="83" t="str">
        <x:v>Solare distribuito</x:v>
      </x:c>
      <x:c r="H11" s="83" t="str">
        <x:v>Distribuito</x:v>
      </x:c>
      <x:c r="I11" s="143" t="n">
        <x:v>25.1</x:v>
      </x:c>
      <x:c r="J11" s="83" t="str">
        <x:v>GW</x:v>
      </x:c>
      <x:c r="K11" s="83" t="str">
        <x:v>Assunzione di scenario</x:v>
      </x:c>
      <x:c r="L11" s="83" t="str">
        <x:v>S09</x:v>
      </x:c>
      <x:c r="M11" s="83" t="str">
        <x:v>Documento_Descrizione_Scenari_2024_8dce2430d44d101.pdf</x:v>
      </x:c>
      <x:c r="N11" s="83" t="n">
        <x:v>60</x:v>
      </x:c>
      <x:c r="O11" s="83" t="n">
        <x:v>58</x:v>
      </x:c>
      <x:c r="P11" s="83" t="str">
        <x:v>Tabella 14</x:v>
      </x:c>
      <x:c r="Q11" s="83" t="str">
        <x:v>Direct table extraction; visual/text verification</x:v>
      </x:c>
      <x:c r="R11" s="83" t="str">
        <x:v>A - Direct</x:v>
      </x:c>
      <x:c r="S11" s="83" t="str">
        <x:v>Zonal p_nom input after mapping to PyPSA carrier.</x:v>
      </x:c>
      <x:c r="T11" s="83" t="str">
        <x:v>For 2023, distributed includes LV-connected plants and plants &lt;200 kW.</x:v>
      </x:c>
    </x:row>
    <x:row r="12">
      <x:c r="A12" s="83" t="str">
        <x:v>ZCAP-0008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Nord</x:v>
      </x:c>
      <x:c r="F12" s="83" t="str">
        <x:v>Solar</x:v>
      </x:c>
      <x:c r="G12" s="83" t="str">
        <x:v>Solare distribuito</x:v>
      </x:c>
      <x:c r="H12" s="83" t="str">
        <x:v>Distribuito</x:v>
      </x:c>
      <x:c r="I12" s="143" t="n">
        <x:v>26.1</x:v>
      </x:c>
      <x:c r="J12" s="83" t="str">
        <x:v>GW</x:v>
      </x:c>
      <x:c r="K12" s="83" t="str">
        <x:v>Assunzione di scenario</x:v>
      </x:c>
      <x:c r="L12" s="83" t="str">
        <x:v>S09</x:v>
      </x:c>
      <x:c r="M12" s="83" t="str">
        <x:v>Documento_Descrizione_Scenari_2024_8dce2430d44d101.pdf</x:v>
      </x:c>
      <x:c r="N12" s="83" t="n">
        <x:v>60</x:v>
      </x:c>
      <x:c r="O12" s="83" t="n">
        <x:v>58</x:v>
      </x:c>
      <x:c r="P12" s="83" t="str">
        <x:v>Tabella 14</x:v>
      </x:c>
      <x:c r="Q12" s="83" t="str">
        <x:v>Direct table extraction; visual/text verification</x:v>
      </x:c>
      <x:c r="R12" s="83" t="str">
        <x:v>A - Direct</x:v>
      </x:c>
      <x:c r="S12" s="83" t="str">
        <x:v>Zonal p_nom input after mapping to PyPSA carrier.</x:v>
      </x:c>
      <x:c r="T12" s="83" t="str">
        <x:v>For 2023, distributed includes LV-connected plants and plants &lt;200 kW.</x:v>
      </x:c>
    </x:row>
    <x:row r="13">
      <x:c r="A13" s="83" t="str">
        <x:v>ZCAP-0009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Nord</x:v>
      </x:c>
      <x:c r="F13" s="83" t="str">
        <x:v>Solar</x:v>
      </x:c>
      <x:c r="G13" s="83" t="str">
        <x:v>Solare distribuito</x:v>
      </x:c>
      <x:c r="H13" s="83" t="str">
        <x:v>Distribuito</x:v>
      </x:c>
      <x:c r="I13" s="143" t="n">
        <x:v>23.6</x:v>
      </x:c>
      <x:c r="J13" s="83" t="str">
        <x:v>GW</x:v>
      </x:c>
      <x:c r="K13" s="83" t="str">
        <x:v>Assunzione di scenario</x:v>
      </x:c>
      <x:c r="L13" s="83" t="str">
        <x:v>S09</x:v>
      </x:c>
      <x:c r="M13" s="83" t="str">
        <x:v>Documento_Descrizione_Scenari_2024_8dce2430d44d101.pdf</x:v>
      </x:c>
      <x:c r="N13" s="83" t="n">
        <x:v>60</x:v>
      </x:c>
      <x:c r="O13" s="83" t="n">
        <x:v>58</x:v>
      </x:c>
      <x:c r="P13" s="83" t="str">
        <x:v>Tabella 14</x:v>
      </x:c>
      <x:c r="Q13" s="83" t="str">
        <x:v>Direct table extraction; visual/text verification</x:v>
      </x:c>
      <x:c r="R13" s="83" t="str">
        <x:v>A - Direct</x:v>
      </x:c>
      <x:c r="S13" s="83" t="str">
        <x:v>Zonal p_nom input after mapping to PyPSA carrier.</x:v>
      </x:c>
      <x:c r="T13" s="83" t="str">
        <x:v>For 2023, distributed includes LV-connected plants and plants &lt;200 kW.</x:v>
      </x:c>
    </x:row>
    <x:row r="14">
      <x:c r="A14" s="83" t="str">
        <x:v>ZCAP-0010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Nord</x:v>
      </x:c>
      <x:c r="F14" s="83" t="str">
        <x:v>Solar</x:v>
      </x:c>
      <x:c r="G14" s="83" t="str">
        <x:v>Solare utility</x:v>
      </x:c>
      <x:c r="H14" s="83" t="str">
        <x:v>Utility</x:v>
      </x:c>
      <x:c r="I14" s="143" t="n">
        <x:v>5.4</x:v>
      </x:c>
      <x:c r="J14" s="83" t="str">
        <x:v>GW</x:v>
      </x:c>
      <x:c r="K14" s="83" t="str">
        <x:v>Dato osservato storico</x:v>
      </x:c>
      <x:c r="L14" s="83" t="str">
        <x:v>S09</x:v>
      </x:c>
      <x:c r="M14" s="83" t="str">
        <x:v>Documento_Descrizione_Scenari_2024_8dce2430d44d101.pdf</x:v>
      </x:c>
      <x:c r="N14" s="83" t="n">
        <x:v>60</x:v>
      </x:c>
      <x:c r="O14" s="83" t="n">
        <x:v>58</x:v>
      </x:c>
      <x:c r="P14" s="83" t="str">
        <x:v>Tabella 14</x:v>
      </x:c>
      <x:c r="Q14" s="83" t="str">
        <x:v>Direct table extraction; visual/text verification</x:v>
      </x:c>
      <x:c r="R14" s="83" t="str">
        <x:v>A - Direct</x:v>
      </x:c>
      <x:c r="S14" s="83" t="str">
        <x:v>Zonal p_nom input after mapping to PyPSA carrier.</x:v>
      </x:c>
      <x:c r="T14" s="83" t="str">
        <x:v>For 2023, distributed includes LV-connected plants and plants &lt;200 kW.</x:v>
      </x:c>
    </x:row>
    <x:row r="15">
      <x:c r="A15" s="83" t="str">
        <x:v>ZCAP-0011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Nord</x:v>
      </x:c>
      <x:c r="F15" s="83" t="str">
        <x:v>Solar</x:v>
      </x:c>
      <x:c r="G15" s="83" t="str">
        <x:v>Solare utility</x:v>
      </x:c>
      <x:c r="H15" s="83" t="str">
        <x:v>Utility</x:v>
      </x:c>
      <x:c r="I15" s="143" t="n">
        <x:v>13</x:v>
      </x:c>
      <x:c r="J15" s="83" t="str">
        <x:v>GW</x:v>
      </x:c>
      <x:c r="K15" s="83" t="str">
        <x:v>Assunzione di scenario</x:v>
      </x:c>
      <x:c r="L15" s="83" t="str">
        <x:v>S09</x:v>
      </x:c>
      <x:c r="M15" s="83" t="str">
        <x:v>Documento_Descrizione_Scenari_2024_8dce2430d44d101.pdf</x:v>
      </x:c>
      <x:c r="N15" s="83" t="n">
        <x:v>60</x:v>
      </x:c>
      <x:c r="O15" s="83" t="n">
        <x:v>58</x:v>
      </x:c>
      <x:c r="P15" s="83" t="str">
        <x:v>Tabella 14</x:v>
      </x:c>
      <x:c r="Q15" s="83" t="str">
        <x:v>Direct table extraction; visual/text verification</x:v>
      </x:c>
      <x:c r="R15" s="83" t="str">
        <x:v>A - Direct</x:v>
      </x:c>
      <x:c r="S15" s="83" t="str">
        <x:v>Zonal p_nom input after mapping to PyPSA carrier.</x:v>
      </x:c>
      <x:c r="T15" s="83" t="str">
        <x:v>For 2023, distributed includes LV-connected plants and plants &lt;200 kW.</x:v>
      </x:c>
    </x:row>
    <x:row r="16">
      <x:c r="A16" s="83" t="str">
        <x:v>ZCAP-0012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Nord</x:v>
      </x:c>
      <x:c r="F16" s="83" t="str">
        <x:v>Solar</x:v>
      </x:c>
      <x:c r="G16" s="83" t="str">
        <x:v>Solare utility</x:v>
      </x:c>
      <x:c r="H16" s="83" t="str">
        <x:v>Utility</x:v>
      </x:c>
      <x:c r="I16" s="143" t="n">
        <x:v>10.3</x:v>
      </x:c>
      <x:c r="J16" s="83" t="str">
        <x:v>GW</x:v>
      </x:c>
      <x:c r="K16" s="83" t="str">
        <x:v>Assunzione di scenario</x:v>
      </x:c>
      <x:c r="L16" s="83" t="str">
        <x:v>S09</x:v>
      </x:c>
      <x:c r="M16" s="83" t="str">
        <x:v>Documento_Descrizione_Scenari_2024_8dce2430d44d101.pdf</x:v>
      </x:c>
      <x:c r="N16" s="83" t="n">
        <x:v>60</x:v>
      </x:c>
      <x:c r="O16" s="83" t="n">
        <x:v>58</x:v>
      </x:c>
      <x:c r="P16" s="83" t="str">
        <x:v>Tabella 14</x:v>
      </x:c>
      <x:c r="Q16" s="83" t="str">
        <x:v>Direct table extraction; visual/text verification</x:v>
      </x:c>
      <x:c r="R16" s="83" t="str">
        <x:v>A - Direct</x:v>
      </x:c>
      <x:c r="S16" s="83" t="str">
        <x:v>Zonal p_nom input after mapping to PyPSA carrier.</x:v>
      </x:c>
      <x:c r="T16" s="83" t="str">
        <x:v>For 2023, distributed includes LV-connected plants and plants &lt;200 kW.</x:v>
      </x:c>
    </x:row>
    <x:row r="17">
      <x:c r="A17" s="83" t="str">
        <x:v>ZCAP-0013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Nord</x:v>
      </x:c>
      <x:c r="F17" s="83" t="str">
        <x:v>Solar</x:v>
      </x:c>
      <x:c r="G17" s="83" t="str">
        <x:v>Solare utility</x:v>
      </x:c>
      <x:c r="H17" s="83" t="str">
        <x:v>Utility</x:v>
      </x:c>
      <x:c r="I17" s="143" t="n">
        <x:v>15.1</x:v>
      </x:c>
      <x:c r="J17" s="83" t="str">
        <x:v>GW</x:v>
      </x:c>
      <x:c r="K17" s="83" t="str">
        <x:v>Assunzione di scenario</x:v>
      </x:c>
      <x:c r="L17" s="83" t="str">
        <x:v>S09</x:v>
      </x:c>
      <x:c r="M17" s="83" t="str">
        <x:v>Documento_Descrizione_Scenari_2024_8dce2430d44d101.pdf</x:v>
      </x:c>
      <x:c r="N17" s="83" t="n">
        <x:v>60</x:v>
      </x:c>
      <x:c r="O17" s="83" t="n">
        <x:v>58</x:v>
      </x:c>
      <x:c r="P17" s="83" t="str">
        <x:v>Tabella 14</x:v>
      </x:c>
      <x:c r="Q17" s="83" t="str">
        <x:v>Direct table extraction; visual/text verification</x:v>
      </x:c>
      <x:c r="R17" s="83" t="str">
        <x:v>A - Direct</x:v>
      </x:c>
      <x:c r="S17" s="83" t="str">
        <x:v>Zonal p_nom input after mapping to PyPSA carrier.</x:v>
      </x:c>
      <x:c r="T17" s="83" t="str">
        <x:v>For 2023, distributed includes LV-connected plants and plants &lt;200 kW.</x:v>
      </x:c>
    </x:row>
    <x:row r="18">
      <x:c r="A18" s="83" t="str">
        <x:v>ZCAP-0014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Nord</x:v>
      </x:c>
      <x:c r="F18" s="83" t="str">
        <x:v>Solar</x:v>
      </x:c>
      <x:c r="G18" s="83" t="str">
        <x:v>Solare utility</x:v>
      </x:c>
      <x:c r="H18" s="83" t="str">
        <x:v>Utility</x:v>
      </x:c>
      <x:c r="I18" s="143" t="n">
        <x:v>12.8</x:v>
      </x:c>
      <x:c r="J18" s="83" t="str">
        <x:v>GW</x:v>
      </x:c>
      <x:c r="K18" s="83" t="str">
        <x:v>Assunzione di scenario</x:v>
      </x:c>
      <x:c r="L18" s="83" t="str">
        <x:v>S09</x:v>
      </x:c>
      <x:c r="M18" s="83" t="str">
        <x:v>Documento_Descrizione_Scenari_2024_8dce2430d44d101.pdf</x:v>
      </x:c>
      <x:c r="N18" s="83" t="n">
        <x:v>60</x:v>
      </x:c>
      <x:c r="O18" s="83" t="n">
        <x:v>58</x:v>
      </x:c>
      <x:c r="P18" s="83" t="str">
        <x:v>Tabella 14</x:v>
      </x:c>
      <x:c r="Q18" s="83" t="str">
        <x:v>Direct table extraction; visual/text verification</x:v>
      </x:c>
      <x:c r="R18" s="83" t="str">
        <x:v>A - Direct</x:v>
      </x:c>
      <x:c r="S18" s="83" t="str">
        <x:v>Zonal p_nom input after mapping to PyPSA carrier.</x:v>
      </x:c>
      <x:c r="T18" s="83" t="str">
        <x:v>For 2023, distributed includes LV-connected plants and plants &lt;200 kW.</x:v>
      </x:c>
    </x:row>
    <x:row r="19">
      <x:c r="A19" s="83" t="str">
        <x:v>ZCAP-0015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Nord</x:v>
      </x:c>
      <x:c r="F19" s="83" t="str">
        <x:v>Solar</x:v>
      </x:c>
      <x:c r="G19" s="83" t="str">
        <x:v>Solare utility</x:v>
      </x:c>
      <x:c r="H19" s="83" t="str">
        <x:v>Utility</x:v>
      </x:c>
      <x:c r="I19" s="143" t="n">
        <x:v>11.4</x:v>
      </x:c>
      <x:c r="J19" s="83" t="str">
        <x:v>GW</x:v>
      </x:c>
      <x:c r="K19" s="83" t="str">
        <x:v>Assunzione di scenario</x:v>
      </x:c>
      <x:c r="L19" s="83" t="str">
        <x:v>S09</x:v>
      </x:c>
      <x:c r="M19" s="83" t="str">
        <x:v>Documento_Descrizione_Scenari_2024_8dce2430d44d101.pdf</x:v>
      </x:c>
      <x:c r="N19" s="83" t="n">
        <x:v>60</x:v>
      </x:c>
      <x:c r="O19" s="83" t="n">
        <x:v>58</x:v>
      </x:c>
      <x:c r="P19" s="83" t="str">
        <x:v>Tabella 14</x:v>
      </x:c>
      <x:c r="Q19" s="83" t="str">
        <x:v>Direct table extraction; visual/text verification</x:v>
      </x:c>
      <x:c r="R19" s="83" t="str">
        <x:v>A - Direct</x:v>
      </x:c>
      <x:c r="S19" s="83" t="str">
        <x:v>Zonal p_nom input after mapping to PyPSA carrier.</x:v>
      </x:c>
      <x:c r="T19" s="83" t="str">
        <x:v>For 2023, distributed includes LV-connected plants and plants &lt;200 kW.</x:v>
      </x:c>
    </x:row>
    <x:row r="20">
      <x:c r="A20" s="83" t="str">
        <x:v>ZCAP-0016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Nord</x:v>
      </x:c>
      <x:c r="F20" s="83" t="str">
        <x:v>Solar</x:v>
      </x:c>
      <x:c r="G20" s="83" t="str">
        <x:v>Solare utility</x:v>
      </x:c>
      <x:c r="H20" s="83" t="str">
        <x:v>Utility</x:v>
      </x:c>
      <x:c r="I20" s="143" t="n">
        <x:v>17.3</x:v>
      </x:c>
      <x:c r="J20" s="83" t="str">
        <x:v>GW</x:v>
      </x:c>
      <x:c r="K20" s="83" t="str">
        <x:v>Assunzione di scenario</x:v>
      </x:c>
      <x:c r="L20" s="83" t="str">
        <x:v>S09</x:v>
      </x:c>
      <x:c r="M20" s="83" t="str">
        <x:v>Documento_Descrizione_Scenari_2024_8dce2430d44d101.pdf</x:v>
      </x:c>
      <x:c r="N20" s="83" t="n">
        <x:v>60</x:v>
      </x:c>
      <x:c r="O20" s="83" t="n">
        <x:v>58</x:v>
      </x:c>
      <x:c r="P20" s="83" t="str">
        <x:v>Tabella 14</x:v>
      </x:c>
      <x:c r="Q20" s="83" t="str">
        <x:v>Direct table extraction; visual/text verification</x:v>
      </x:c>
      <x:c r="R20" s="83" t="str">
        <x:v>A - Direct</x:v>
      </x:c>
      <x:c r="S20" s="83" t="str">
        <x:v>Zonal p_nom input after mapping to PyPSA carrier.</x:v>
      </x:c>
      <x:c r="T20" s="83" t="str">
        <x:v>For 2023, distributed includes LV-connected plants and plants &lt;200 kW.</x:v>
      </x:c>
    </x:row>
    <x:row r="21">
      <x:c r="A21" s="83" t="str">
        <x:v>ZCAP-0017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Nord</x:v>
      </x:c>
      <x:c r="F21" s="83" t="str">
        <x:v>Solar</x:v>
      </x:c>
      <x:c r="G21" s="83" t="str">
        <x:v>Solare utility</x:v>
      </x:c>
      <x:c r="H21" s="83" t="str">
        <x:v>Utility</x:v>
      </x:c>
      <x:c r="I21" s="143" t="n">
        <x:v>14.4</x:v>
      </x:c>
      <x:c r="J21" s="83" t="str">
        <x:v>GW</x:v>
      </x:c>
      <x:c r="K21" s="83" t="str">
        <x:v>Assunzione di scenario</x:v>
      </x:c>
      <x:c r="L21" s="83" t="str">
        <x:v>S09</x:v>
      </x:c>
      <x:c r="M21" s="83" t="str">
        <x:v>Documento_Descrizione_Scenari_2024_8dce2430d44d101.pdf</x:v>
      </x:c>
      <x:c r="N21" s="83" t="n">
        <x:v>60</x:v>
      </x:c>
      <x:c r="O21" s="83" t="n">
        <x:v>58</x:v>
      </x:c>
      <x:c r="P21" s="83" t="str">
        <x:v>Tabella 14</x:v>
      </x:c>
      <x:c r="Q21" s="83" t="str">
        <x:v>Direct table extraction; visual/text verification</x:v>
      </x:c>
      <x:c r="R21" s="83" t="str">
        <x:v>A - Direct</x:v>
      </x:c>
      <x:c r="S21" s="83" t="str">
        <x:v>Zonal p_nom input after mapping to PyPSA carrier.</x:v>
      </x:c>
      <x:c r="T21" s="83" t="str">
        <x:v>For 2023, distributed includes LV-connected plants and plants &lt;200 kW.</x:v>
      </x:c>
    </x:row>
    <x:row r="22">
      <x:c r="A22" s="83" t="str">
        <x:v>ZCAP-0018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Nord</x:v>
      </x:c>
      <x:c r="F22" s="83" t="str">
        <x:v>Solar</x:v>
      </x:c>
      <x:c r="G22" s="83" t="str">
        <x:v>Solare utility</x:v>
      </x:c>
      <x:c r="H22" s="83" t="str">
        <x:v>Utility</x:v>
      </x:c>
      <x:c r="I22" s="143" t="n">
        <x:v>12.9</x:v>
      </x:c>
      <x:c r="J22" s="83" t="str">
        <x:v>GW</x:v>
      </x:c>
      <x:c r="K22" s="83" t="str">
        <x:v>Assunzione di scenario</x:v>
      </x:c>
      <x:c r="L22" s="83" t="str">
        <x:v>S09</x:v>
      </x:c>
      <x:c r="M22" s="83" t="str">
        <x:v>Documento_Descrizione_Scenari_2024_8dce2430d44d101.pdf</x:v>
      </x:c>
      <x:c r="N22" s="83" t="n">
        <x:v>60</x:v>
      </x:c>
      <x:c r="O22" s="83" t="n">
        <x:v>58</x:v>
      </x:c>
      <x:c r="P22" s="83" t="str">
        <x:v>Tabella 14</x:v>
      </x:c>
      <x:c r="Q22" s="83" t="str">
        <x:v>Direct table extraction; visual/text verification</x:v>
      </x:c>
      <x:c r="R22" s="83" t="str">
        <x:v>A - Direct</x:v>
      </x:c>
      <x:c r="S22" s="83" t="str">
        <x:v>Zonal p_nom input after mapping to PyPSA carrier.</x:v>
      </x:c>
      <x:c r="T22" s="83" t="str">
        <x:v>For 2023, distributed includes LV-connected plants and plants &lt;200 kW.</x:v>
      </x:c>
    </x:row>
    <x:row r="23">
      <x:c r="A23" s="83" t="str">
        <x:v>ZCAP-0019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Centro Nord</x:v>
      </x:c>
      <x:c r="F23" s="83" t="str">
        <x:v>Solar</x:v>
      </x:c>
      <x:c r="G23" s="83" t="str">
        <x:v>Solare distribuito</x:v>
      </x:c>
      <x:c r="H23" s="83" t="str">
        <x:v>Distribuito</x:v>
      </x:c>
      <x:c r="I23" s="143" t="n">
        <x:v>0.9</x:v>
      </x:c>
      <x:c r="J23" s="83" t="str">
        <x:v>GW</x:v>
      </x:c>
      <x:c r="K23" s="83" t="str">
        <x:v>Dato osservato storico</x:v>
      </x:c>
      <x:c r="L23" s="83" t="str">
        <x:v>S09</x:v>
      </x:c>
      <x:c r="M23" s="83" t="str">
        <x:v>Documento_Descrizione_Scenari_2024_8dce2430d44d101.pdf</x:v>
      </x:c>
      <x:c r="N23" s="83" t="n">
        <x:v>60</x:v>
      </x:c>
      <x:c r="O23" s="83" t="n">
        <x:v>58</x:v>
      </x:c>
      <x:c r="P23" s="83" t="str">
        <x:v>Tabella 14</x:v>
      </x:c>
      <x:c r="Q23" s="83" t="str">
        <x:v>Direct table extraction; visual/text verification</x:v>
      </x:c>
      <x:c r="R23" s="83" t="str">
        <x:v>A - Direct</x:v>
      </x:c>
      <x:c r="S23" s="83" t="str">
        <x:v>Zonal p_nom input after mapping to PyPSA carrier.</x:v>
      </x:c>
      <x:c r="T23" s="83" t="str">
        <x:v>For 2023, distributed includes LV-connected plants and plants &lt;200 kW.</x:v>
      </x:c>
    </x:row>
    <x:row r="24">
      <x:c r="A24" s="83" t="str">
        <x:v>ZCAP-0020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Centro Nord</x:v>
      </x:c>
      <x:c r="F24" s="83" t="str">
        <x:v>Solar</x:v>
      </x:c>
      <x:c r="G24" s="83" t="str">
        <x:v>Solare distribuito</x:v>
      </x:c>
      <x:c r="H24" s="83" t="str">
        <x:v>Distribuito</x:v>
      </x:c>
      <x:c r="I24" s="143" t="n">
        <x:v>2.8</x:v>
      </x:c>
      <x:c r="J24" s="83" t="str">
        <x:v>GW</x:v>
      </x:c>
      <x:c r="K24" s="83" t="str">
        <x:v>Assunzione di scenario</x:v>
      </x:c>
      <x:c r="L24" s="83" t="str">
        <x:v>S09</x:v>
      </x:c>
      <x:c r="M24" s="83" t="str">
        <x:v>Documento_Descrizione_Scenari_2024_8dce2430d44d101.pdf</x:v>
      </x:c>
      <x:c r="N24" s="83" t="n">
        <x:v>60</x:v>
      </x:c>
      <x:c r="O24" s="83" t="n">
        <x:v>58</x:v>
      </x:c>
      <x:c r="P24" s="83" t="str">
        <x:v>Tabella 14</x:v>
      </x:c>
      <x:c r="Q24" s="83" t="str">
        <x:v>Direct table extraction; visual/text verification</x:v>
      </x:c>
      <x:c r="R24" s="83" t="str">
        <x:v>A - Direct</x:v>
      </x:c>
      <x:c r="S24" s="83" t="str">
        <x:v>Zonal p_nom input after mapping to PyPSA carrier.</x:v>
      </x:c>
      <x:c r="T24" s="83" t="str">
        <x:v>For 2023, distributed includes LV-connected plants and plants &lt;200 kW.</x:v>
      </x:c>
    </x:row>
    <x:row r="25">
      <x:c r="A25" s="83" t="str">
        <x:v>ZCAP-0021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Centro Nord</x:v>
      </x:c>
      <x:c r="F25" s="83" t="str">
        <x:v>Solar</x:v>
      </x:c>
      <x:c r="G25" s="83" t="str">
        <x:v>Solare distribuito</x:v>
      </x:c>
      <x:c r="H25" s="83" t="str">
        <x:v>Distribuito</x:v>
      </x:c>
      <x:c r="I25" s="143" t="n">
        <x:v>2.5</x:v>
      </x:c>
      <x:c r="J25" s="83" t="str">
        <x:v>GW</x:v>
      </x:c>
      <x:c r="K25" s="83" t="str">
        <x:v>Assunzione di scenario</x:v>
      </x:c>
      <x:c r="L25" s="83" t="str">
        <x:v>S09</x:v>
      </x:c>
      <x:c r="M25" s="83" t="str">
        <x:v>Documento_Descrizione_Scenari_2024_8dce2430d44d101.pdf</x:v>
      </x:c>
      <x:c r="N25" s="83" t="n">
        <x:v>60</x:v>
      </x:c>
      <x:c r="O25" s="83" t="n">
        <x:v>58</x:v>
      </x:c>
      <x:c r="P25" s="83" t="str">
        <x:v>Tabella 14</x:v>
      </x:c>
      <x:c r="Q25" s="83" t="str">
        <x:v>Direct table extraction; visual/text verification</x:v>
      </x:c>
      <x:c r="R25" s="83" t="str">
        <x:v>A - Direct</x:v>
      </x:c>
      <x:c r="S25" s="83" t="str">
        <x:v>Zonal p_nom input after mapping to PyPSA carrier.</x:v>
      </x:c>
      <x:c r="T25" s="83" t="str">
        <x:v>For 2023, distributed includes LV-connected plants and plants &lt;200 kW.</x:v>
      </x:c>
    </x:row>
    <x:row r="26">
      <x:c r="A26" s="83" t="str">
        <x:v>ZCAP-0022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Centro Nord</x:v>
      </x:c>
      <x:c r="F26" s="83" t="str">
        <x:v>Solar</x:v>
      </x:c>
      <x:c r="G26" s="83" t="str">
        <x:v>Solare distribuito</x:v>
      </x:c>
      <x:c r="H26" s="83" t="str">
        <x:v>Distribuito</x:v>
      </x:c>
      <x:c r="I26" s="143" t="n">
        <x:v>3</x:v>
      </x:c>
      <x:c r="J26" s="83" t="str">
        <x:v>GW</x:v>
      </x:c>
      <x:c r="K26" s="83" t="str">
        <x:v>Assunzione di scenario</x:v>
      </x:c>
      <x:c r="L26" s="83" t="str">
        <x:v>S09</x:v>
      </x:c>
      <x:c r="M26" s="83" t="str">
        <x:v>Documento_Descrizione_Scenari_2024_8dce2430d44d101.pdf</x:v>
      </x:c>
      <x:c r="N26" s="83" t="n">
        <x:v>60</x:v>
      </x:c>
      <x:c r="O26" s="83" t="n">
        <x:v>58</x:v>
      </x:c>
      <x:c r="P26" s="83" t="str">
        <x:v>Tabella 14</x:v>
      </x:c>
      <x:c r="Q26" s="83" t="str">
        <x:v>Direct table extraction; visual/text verification</x:v>
      </x:c>
      <x:c r="R26" s="83" t="str">
        <x:v>A - Direct</x:v>
      </x:c>
      <x:c r="S26" s="83" t="str">
        <x:v>Zonal p_nom input after mapping to PyPSA carrier.</x:v>
      </x:c>
      <x:c r="T26" s="83" t="str">
        <x:v>For 2023, distributed includes LV-connected plants and plants &lt;200 kW.</x:v>
      </x:c>
    </x:row>
    <x:row r="27">
      <x:c r="A27" s="83" t="str">
        <x:v>ZCAP-0023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Centro Nord</x:v>
      </x:c>
      <x:c r="F27" s="83" t="str">
        <x:v>Solar</x:v>
      </x:c>
      <x:c r="G27" s="83" t="str">
        <x:v>Solare distribuito</x:v>
      </x:c>
      <x:c r="H27" s="83" t="str">
        <x:v>Distribuito</x:v>
      </x:c>
      <x:c r="I27" s="143" t="n">
        <x:v>3</x:v>
      </x:c>
      <x:c r="J27" s="83" t="str">
        <x:v>GW</x:v>
      </x:c>
      <x:c r="K27" s="83" t="str">
        <x:v>Assunzione di scenario</x:v>
      </x:c>
      <x:c r="L27" s="83" t="str">
        <x:v>S09</x:v>
      </x:c>
      <x:c r="M27" s="83" t="str">
        <x:v>Documento_Descrizione_Scenari_2024_8dce2430d44d101.pdf</x:v>
      </x:c>
      <x:c r="N27" s="83" t="n">
        <x:v>60</x:v>
      </x:c>
      <x:c r="O27" s="83" t="n">
        <x:v>58</x:v>
      </x:c>
      <x:c r="P27" s="83" t="str">
        <x:v>Tabella 14</x:v>
      </x:c>
      <x:c r="Q27" s="83" t="str">
        <x:v>Direct table extraction; visual/text verification</x:v>
      </x:c>
      <x:c r="R27" s="83" t="str">
        <x:v>A - Direct</x:v>
      </x:c>
      <x:c r="S27" s="83" t="str">
        <x:v>Zonal p_nom input after mapping to PyPSA carrier.</x:v>
      </x:c>
      <x:c r="T27" s="83" t="str">
        <x:v>For 2023, distributed includes LV-connected plants and plants &lt;200 kW.</x:v>
      </x:c>
    </x:row>
    <x:row r="28">
      <x:c r="A28" s="83" t="str">
        <x:v>ZCAP-0024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Centro Nord</x:v>
      </x:c>
      <x:c r="F28" s="83" t="str">
        <x:v>Solar</x:v>
      </x:c>
      <x:c r="G28" s="83" t="str">
        <x:v>Solare distribuito</x:v>
      </x:c>
      <x:c r="H28" s="83" t="str">
        <x:v>Distribuito</x:v>
      </x:c>
      <x:c r="I28" s="143" t="n">
        <x:v>2.7</x:v>
      </x:c>
      <x:c r="J28" s="83" t="str">
        <x:v>GW</x:v>
      </x:c>
      <x:c r="K28" s="83" t="str">
        <x:v>Assunzione di scenario</x:v>
      </x:c>
      <x:c r="L28" s="83" t="str">
        <x:v>S09</x:v>
      </x:c>
      <x:c r="M28" s="83" t="str">
        <x:v>Documento_Descrizione_Scenari_2024_8dce2430d44d101.pdf</x:v>
      </x:c>
      <x:c r="N28" s="83" t="n">
        <x:v>60</x:v>
      </x:c>
      <x:c r="O28" s="83" t="n">
        <x:v>58</x:v>
      </x:c>
      <x:c r="P28" s="83" t="str">
        <x:v>Tabella 14</x:v>
      </x:c>
      <x:c r="Q28" s="83" t="str">
        <x:v>Direct table extraction; visual/text verification</x:v>
      </x:c>
      <x:c r="R28" s="83" t="str">
        <x:v>A - Direct</x:v>
      </x:c>
      <x:c r="S28" s="83" t="str">
        <x:v>Zonal p_nom input after mapping to PyPSA carrier.</x:v>
      </x:c>
      <x:c r="T28" s="83" t="str">
        <x:v>For 2023, distributed includes LV-connected plants and plants &lt;200 kW.</x:v>
      </x:c>
    </x:row>
    <x:row r="29">
      <x:c r="A29" s="83" t="str">
        <x:v>ZCAP-0025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Centro Nord</x:v>
      </x:c>
      <x:c r="F29" s="83" t="str">
        <x:v>Solar</x:v>
      </x:c>
      <x:c r="G29" s="83" t="str">
        <x:v>Solare distribuito</x:v>
      </x:c>
      <x:c r="H29" s="83" t="str">
        <x:v>Distribuito</x:v>
      </x:c>
      <x:c r="I29" s="143" t="n">
        <x:v>3.3</x:v>
      </x:c>
      <x:c r="J29" s="83" t="str">
        <x:v>GW</x:v>
      </x:c>
      <x:c r="K29" s="83" t="str">
        <x:v>Assunzione di scenario</x:v>
      </x:c>
      <x:c r="L29" s="83" t="str">
        <x:v>S09</x:v>
      </x:c>
      <x:c r="M29" s="83" t="str">
        <x:v>Documento_Descrizione_Scenari_2024_8dce2430d44d101.pdf</x:v>
      </x:c>
      <x:c r="N29" s="83" t="n">
        <x:v>60</x:v>
      </x:c>
      <x:c r="O29" s="83" t="n">
        <x:v>58</x:v>
      </x:c>
      <x:c r="P29" s="83" t="str">
        <x:v>Tabella 14</x:v>
      </x:c>
      <x:c r="Q29" s="83" t="str">
        <x:v>Direct table extraction; visual/text verification</x:v>
      </x:c>
      <x:c r="R29" s="83" t="str">
        <x:v>A - Direct</x:v>
      </x:c>
      <x:c r="S29" s="83" t="str">
        <x:v>Zonal p_nom input after mapping to PyPSA carrier.</x:v>
      </x:c>
      <x:c r="T29" s="83" t="str">
        <x:v>For 2023, distributed includes LV-connected plants and plants &lt;200 kW.</x:v>
      </x:c>
    </x:row>
    <x:row r="30">
      <x:c r="A30" s="83" t="str">
        <x:v>ZCAP-0026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Centro Nord</x:v>
      </x:c>
      <x:c r="F30" s="83" t="str">
        <x:v>Solar</x:v>
      </x:c>
      <x:c r="G30" s="83" t="str">
        <x:v>Solare distribuito</x:v>
      </x:c>
      <x:c r="H30" s="83" t="str">
        <x:v>Distribuito</x:v>
      </x:c>
      <x:c r="I30" s="143" t="n">
        <x:v>3.1</x:v>
      </x:c>
      <x:c r="J30" s="83" t="str">
        <x:v>GW</x:v>
      </x:c>
      <x:c r="K30" s="83" t="str">
        <x:v>Assunzione di scenario</x:v>
      </x:c>
      <x:c r="L30" s="83" t="str">
        <x:v>S09</x:v>
      </x:c>
      <x:c r="M30" s="83" t="str">
        <x:v>Documento_Descrizione_Scenari_2024_8dce2430d44d101.pdf</x:v>
      </x:c>
      <x:c r="N30" s="83" t="n">
        <x:v>60</x:v>
      </x:c>
      <x:c r="O30" s="83" t="n">
        <x:v>58</x:v>
      </x:c>
      <x:c r="P30" s="83" t="str">
        <x:v>Tabella 14</x:v>
      </x:c>
      <x:c r="Q30" s="83" t="str">
        <x:v>Direct table extraction; visual/text verification</x:v>
      </x:c>
      <x:c r="R30" s="83" t="str">
        <x:v>A - Direct</x:v>
      </x:c>
      <x:c r="S30" s="83" t="str">
        <x:v>Zonal p_nom input after mapping to PyPSA carrier.</x:v>
      </x:c>
      <x:c r="T30" s="83" t="str">
        <x:v>For 2023, distributed includes LV-connected plants and plants &lt;200 kW.</x:v>
      </x:c>
    </x:row>
    <x:row r="31">
      <x:c r="A31" s="83" t="str">
        <x:v>ZCAP-0027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Centro Nord</x:v>
      </x:c>
      <x:c r="F31" s="83" t="str">
        <x:v>Solar</x:v>
      </x:c>
      <x:c r="G31" s="83" t="str">
        <x:v>Solare distribuito</x:v>
      </x:c>
      <x:c r="H31" s="83" t="str">
        <x:v>Distribuito</x:v>
      </x:c>
      <x:c r="I31" s="143" t="n">
        <x:v>3</x:v>
      </x:c>
      <x:c r="J31" s="83" t="str">
        <x:v>GW</x:v>
      </x:c>
      <x:c r="K31" s="83" t="str">
        <x:v>Assunzione di scenario</x:v>
      </x:c>
      <x:c r="L31" s="83" t="str">
        <x:v>S09</x:v>
      </x:c>
      <x:c r="M31" s="83" t="str">
        <x:v>Documento_Descrizione_Scenari_2024_8dce2430d44d101.pdf</x:v>
      </x:c>
      <x:c r="N31" s="83" t="n">
        <x:v>60</x:v>
      </x:c>
      <x:c r="O31" s="83" t="n">
        <x:v>58</x:v>
      </x:c>
      <x:c r="P31" s="83" t="str">
        <x:v>Tabella 14</x:v>
      </x:c>
      <x:c r="Q31" s="83" t="str">
        <x:v>Direct table extraction; visual/text verification</x:v>
      </x:c>
      <x:c r="R31" s="83" t="str">
        <x:v>A - Direct</x:v>
      </x:c>
      <x:c r="S31" s="83" t="str">
        <x:v>Zonal p_nom input after mapping to PyPSA carrier.</x:v>
      </x:c>
      <x:c r="T31" s="83" t="str">
        <x:v>For 2023, distributed includes LV-connected plants and plants &lt;200 kW.</x:v>
      </x:c>
    </x:row>
    <x:row r="32">
      <x:c r="A32" s="83" t="str">
        <x:v>ZCAP-0028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Centro Nord</x:v>
      </x:c>
      <x:c r="F32" s="83" t="str">
        <x:v>Solar</x:v>
      </x:c>
      <x:c r="G32" s="83" t="str">
        <x:v>Solare utility</x:v>
      </x:c>
      <x:c r="H32" s="83" t="str">
        <x:v>Utility</x:v>
      </x:c>
      <x:c r="I32" s="143" t="n">
        <x:v>1.7</x:v>
      </x:c>
      <x:c r="J32" s="83" t="str">
        <x:v>GW</x:v>
      </x:c>
      <x:c r="K32" s="83" t="str">
        <x:v>Dato osservato storico</x:v>
      </x:c>
      <x:c r="L32" s="83" t="str">
        <x:v>S09</x:v>
      </x:c>
      <x:c r="M32" s="83" t="str">
        <x:v>Documento_Descrizione_Scenari_2024_8dce2430d44d101.pdf</x:v>
      </x:c>
      <x:c r="N32" s="83" t="n">
        <x:v>60</x:v>
      </x:c>
      <x:c r="O32" s="83" t="n">
        <x:v>58</x:v>
      </x:c>
      <x:c r="P32" s="83" t="str">
        <x:v>Tabella 14</x:v>
      </x:c>
      <x:c r="Q32" s="83" t="str">
        <x:v>Direct table extraction; visual/text verification</x:v>
      </x:c>
      <x:c r="R32" s="83" t="str">
        <x:v>A - Direct</x:v>
      </x:c>
      <x:c r="S32" s="83" t="str">
        <x:v>Zonal p_nom input after mapping to PyPSA carrier.</x:v>
      </x:c>
      <x:c r="T32" s="83" t="str">
        <x:v>For 2023, distributed includes LV-connected plants and plants &lt;200 kW.</x:v>
      </x:c>
    </x:row>
    <x:row r="33">
      <x:c r="A33" s="83" t="str">
        <x:v>ZCAP-0029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Centro Nord</x:v>
      </x:c>
      <x:c r="F33" s="83" t="str">
        <x:v>Solar</x:v>
      </x:c>
      <x:c r="G33" s="83" t="str">
        <x:v>Solare utility</x:v>
      </x:c>
      <x:c r="H33" s="83" t="str">
        <x:v>Utility</x:v>
      </x:c>
      <x:c r="I33" s="143" t="n">
        <x:v>5.5</x:v>
      </x:c>
      <x:c r="J33" s="83" t="str">
        <x:v>GW</x:v>
      </x:c>
      <x:c r="K33" s="83" t="str">
        <x:v>Assunzione di scenario</x:v>
      </x:c>
      <x:c r="L33" s="83" t="str">
        <x:v>S09</x:v>
      </x:c>
      <x:c r="M33" s="83" t="str">
        <x:v>Documento_Descrizione_Scenari_2024_8dce2430d44d101.pdf</x:v>
      </x:c>
      <x:c r="N33" s="83" t="n">
        <x:v>60</x:v>
      </x:c>
      <x:c r="O33" s="83" t="n">
        <x:v>58</x:v>
      </x:c>
      <x:c r="P33" s="83" t="str">
        <x:v>Tabella 14</x:v>
      </x:c>
      <x:c r="Q33" s="83" t="str">
        <x:v>Direct table extraction; visual/text verification</x:v>
      </x:c>
      <x:c r="R33" s="83" t="str">
        <x:v>A - Direct</x:v>
      </x:c>
      <x:c r="S33" s="83" t="str">
        <x:v>Zonal p_nom input after mapping to PyPSA carrier.</x:v>
      </x:c>
      <x:c r="T33" s="83" t="str">
        <x:v>For 2023, distributed includes LV-connected plants and plants &lt;200 kW.</x:v>
      </x:c>
    </x:row>
    <x:row r="34">
      <x:c r="A34" s="83" t="str">
        <x:v>ZCAP-0030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Centro Nord</x:v>
      </x:c>
      <x:c r="F34" s="83" t="str">
        <x:v>Solar</x:v>
      </x:c>
      <x:c r="G34" s="83" t="str">
        <x:v>Solare utility</x:v>
      </x:c>
      <x:c r="H34" s="83" t="str">
        <x:v>Utility</x:v>
      </x:c>
      <x:c r="I34" s="143" t="n">
        <x:v>4.9</x:v>
      </x:c>
      <x:c r="J34" s="83" t="str">
        <x:v>GW</x:v>
      </x:c>
      <x:c r="K34" s="83" t="str">
        <x:v>Assunzione di scenario</x:v>
      </x:c>
      <x:c r="L34" s="83" t="str">
        <x:v>S09</x:v>
      </x:c>
      <x:c r="M34" s="83" t="str">
        <x:v>Documento_Descrizione_Scenari_2024_8dce2430d44d101.pdf</x:v>
      </x:c>
      <x:c r="N34" s="83" t="n">
        <x:v>60</x:v>
      </x:c>
      <x:c r="O34" s="83" t="n">
        <x:v>58</x:v>
      </x:c>
      <x:c r="P34" s="83" t="str">
        <x:v>Tabella 14</x:v>
      </x:c>
      <x:c r="Q34" s="83" t="str">
        <x:v>Direct table extraction; visual/text verification</x:v>
      </x:c>
      <x:c r="R34" s="83" t="str">
        <x:v>A - Direct</x:v>
      </x:c>
      <x:c r="S34" s="83" t="str">
        <x:v>Zonal p_nom input after mapping to PyPSA carrier.</x:v>
      </x:c>
      <x:c r="T34" s="83" t="str">
        <x:v>For 2023, distributed includes LV-connected plants and plants &lt;200 kW.</x:v>
      </x:c>
    </x:row>
    <x:row r="35">
      <x:c r="A35" s="83" t="str">
        <x:v>ZCAP-0031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Centro Nord</x:v>
      </x:c>
      <x:c r="F35" s="83" t="str">
        <x:v>Solar</x:v>
      </x:c>
      <x:c r="G35" s="83" t="str">
        <x:v>Solare utility</x:v>
      </x:c>
      <x:c r="H35" s="83" t="str">
        <x:v>Utility</x:v>
      </x:c>
      <x:c r="I35" s="143" t="n">
        <x:v>5.9</x:v>
      </x:c>
      <x:c r="J35" s="83" t="str">
        <x:v>GW</x:v>
      </x:c>
      <x:c r="K35" s="83" t="str">
        <x:v>Assunzione di scenario</x:v>
      </x:c>
      <x:c r="L35" s="83" t="str">
        <x:v>S09</x:v>
      </x:c>
      <x:c r="M35" s="83" t="str">
        <x:v>Documento_Descrizione_Scenari_2024_8dce2430d44d101.pdf</x:v>
      </x:c>
      <x:c r="N35" s="83" t="n">
        <x:v>60</x:v>
      </x:c>
      <x:c r="O35" s="83" t="n">
        <x:v>58</x:v>
      </x:c>
      <x:c r="P35" s="83" t="str">
        <x:v>Tabella 14</x:v>
      </x:c>
      <x:c r="Q35" s="83" t="str">
        <x:v>Direct table extraction; visual/text verification</x:v>
      </x:c>
      <x:c r="R35" s="83" t="str">
        <x:v>A - Direct</x:v>
      </x:c>
      <x:c r="S35" s="83" t="str">
        <x:v>Zonal p_nom input after mapping to PyPSA carrier.</x:v>
      </x:c>
      <x:c r="T35" s="83" t="str">
        <x:v>For 2023, distributed includes LV-connected plants and plants &lt;200 kW.</x:v>
      </x:c>
    </x:row>
    <x:row r="36">
      <x:c r="A36" s="83" t="str">
        <x:v>ZCAP-0032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Centro Nord</x:v>
      </x:c>
      <x:c r="F36" s="83" t="str">
        <x:v>Solar</x:v>
      </x:c>
      <x:c r="G36" s="83" t="str">
        <x:v>Solare utility</x:v>
      </x:c>
      <x:c r="H36" s="83" t="str">
        <x:v>Utility</x:v>
      </x:c>
      <x:c r="I36" s="143" t="n">
        <x:v>5.9</x:v>
      </x:c>
      <x:c r="J36" s="83" t="str">
        <x:v>GW</x:v>
      </x:c>
      <x:c r="K36" s="83" t="str">
        <x:v>Assunzione di scenario</x:v>
      </x:c>
      <x:c r="L36" s="83" t="str">
        <x:v>S09</x:v>
      </x:c>
      <x:c r="M36" s="83" t="str">
        <x:v>Documento_Descrizione_Scenari_2024_8dce2430d44d101.pdf</x:v>
      </x:c>
      <x:c r="N36" s="83" t="n">
        <x:v>60</x:v>
      </x:c>
      <x:c r="O36" s="83" t="n">
        <x:v>58</x:v>
      </x:c>
      <x:c r="P36" s="83" t="str">
        <x:v>Tabella 14</x:v>
      </x:c>
      <x:c r="Q36" s="83" t="str">
        <x:v>Direct table extraction; visual/text verification</x:v>
      </x:c>
      <x:c r="R36" s="83" t="str">
        <x:v>A - Direct</x:v>
      </x:c>
      <x:c r="S36" s="83" t="str">
        <x:v>Zonal p_nom input after mapping to PyPSA carrier.</x:v>
      </x:c>
      <x:c r="T36" s="83" t="str">
        <x:v>For 2023, distributed includes LV-connected plants and plants &lt;200 kW.</x:v>
      </x:c>
    </x:row>
    <x:row r="37">
      <x:c r="A37" s="83" t="str">
        <x:v>ZCAP-0033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Centro Nord</x:v>
      </x:c>
      <x:c r="F37" s="83" t="str">
        <x:v>Solar</x:v>
      </x:c>
      <x:c r="G37" s="83" t="str">
        <x:v>Solare utility</x:v>
      </x:c>
      <x:c r="H37" s="83" t="str">
        <x:v>Utility</x:v>
      </x:c>
      <x:c r="I37" s="143" t="n">
        <x:v>5.4</x:v>
      </x:c>
      <x:c r="J37" s="83" t="str">
        <x:v>GW</x:v>
      </x:c>
      <x:c r="K37" s="83" t="str">
        <x:v>Assunzione di scenario</x:v>
      </x:c>
      <x:c r="L37" s="83" t="str">
        <x:v>S09</x:v>
      </x:c>
      <x:c r="M37" s="83" t="str">
        <x:v>Documento_Descrizione_Scenari_2024_8dce2430d44d101.pdf</x:v>
      </x:c>
      <x:c r="N37" s="83" t="n">
        <x:v>60</x:v>
      </x:c>
      <x:c r="O37" s="83" t="n">
        <x:v>58</x:v>
      </x:c>
      <x:c r="P37" s="83" t="str">
        <x:v>Tabella 14</x:v>
      </x:c>
      <x:c r="Q37" s="83" t="str">
        <x:v>Direct table extraction; visual/text verification</x:v>
      </x:c>
      <x:c r="R37" s="83" t="str">
        <x:v>A - Direct</x:v>
      </x:c>
      <x:c r="S37" s="83" t="str">
        <x:v>Zonal p_nom input after mapping to PyPSA carrier.</x:v>
      </x:c>
      <x:c r="T37" s="83" t="str">
        <x:v>For 2023, distributed includes LV-connected plants and plants &lt;200 kW.</x:v>
      </x:c>
    </x:row>
    <x:row r="38">
      <x:c r="A38" s="83" t="str">
        <x:v>ZCAP-0034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Centro Nord</x:v>
      </x:c>
      <x:c r="F38" s="83" t="str">
        <x:v>Solar</x:v>
      </x:c>
      <x:c r="G38" s="83" t="str">
        <x:v>Solare utility</x:v>
      </x:c>
      <x:c r="H38" s="83" t="str">
        <x:v>Utility</x:v>
      </x:c>
      <x:c r="I38" s="143" t="n">
        <x:v>6.3</x:v>
      </x:c>
      <x:c r="J38" s="83" t="str">
        <x:v>GW</x:v>
      </x:c>
      <x:c r="K38" s="83" t="str">
        <x:v>Assunzione di scenario</x:v>
      </x:c>
      <x:c r="L38" s="83" t="str">
        <x:v>S09</x:v>
      </x:c>
      <x:c r="M38" s="83" t="str">
        <x:v>Documento_Descrizione_Scenari_2024_8dce2430d44d101.pdf</x:v>
      </x:c>
      <x:c r="N38" s="83" t="n">
        <x:v>60</x:v>
      </x:c>
      <x:c r="O38" s="83" t="n">
        <x:v>58</x:v>
      </x:c>
      <x:c r="P38" s="83" t="str">
        <x:v>Tabella 14</x:v>
      </x:c>
      <x:c r="Q38" s="83" t="str">
        <x:v>Direct table extraction; visual/text verification</x:v>
      </x:c>
      <x:c r="R38" s="83" t="str">
        <x:v>A - Direct</x:v>
      </x:c>
      <x:c r="S38" s="83" t="str">
        <x:v>Zonal p_nom input after mapping to PyPSA carrier.</x:v>
      </x:c>
      <x:c r="T38" s="83" t="str">
        <x:v>For 2023, distributed includes LV-connected plants and plants &lt;200 kW.</x:v>
      </x:c>
    </x:row>
    <x:row r="39">
      <x:c r="A39" s="83" t="str">
        <x:v>ZCAP-0035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Centro Nord</x:v>
      </x:c>
      <x:c r="F39" s="83" t="str">
        <x:v>Solar</x:v>
      </x:c>
      <x:c r="G39" s="83" t="str">
        <x:v>Solare utility</x:v>
      </x:c>
      <x:c r="H39" s="83" t="str">
        <x:v>Utility</x:v>
      </x:c>
      <x:c r="I39" s="143" t="n">
        <x:v>6.2</x:v>
      </x:c>
      <x:c r="J39" s="83" t="str">
        <x:v>GW</x:v>
      </x:c>
      <x:c r="K39" s="83" t="str">
        <x:v>Assunzione di scenario</x:v>
      </x:c>
      <x:c r="L39" s="83" t="str">
        <x:v>S09</x:v>
      </x:c>
      <x:c r="M39" s="83" t="str">
        <x:v>Documento_Descrizione_Scenari_2024_8dce2430d44d101.pdf</x:v>
      </x:c>
      <x:c r="N39" s="83" t="n">
        <x:v>60</x:v>
      </x:c>
      <x:c r="O39" s="83" t="n">
        <x:v>58</x:v>
      </x:c>
      <x:c r="P39" s="83" t="str">
        <x:v>Tabella 14</x:v>
      </x:c>
      <x:c r="Q39" s="83" t="str">
        <x:v>Direct table extraction; visual/text verification</x:v>
      </x:c>
      <x:c r="R39" s="83" t="str">
        <x:v>A - Direct</x:v>
      </x:c>
      <x:c r="S39" s="83" t="str">
        <x:v>Zonal p_nom input after mapping to PyPSA carrier.</x:v>
      </x:c>
      <x:c r="T39" s="83" t="str">
        <x:v>For 2023, distributed includes LV-connected plants and plants &lt;200 kW.</x:v>
      </x:c>
    </x:row>
    <x:row r="40">
      <x:c r="A40" s="83" t="str">
        <x:v>ZCAP-0036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Centro Nord</x:v>
      </x:c>
      <x:c r="F40" s="83" t="str">
        <x:v>Solar</x:v>
      </x:c>
      <x:c r="G40" s="83" t="str">
        <x:v>Solare utility</x:v>
      </x:c>
      <x:c r="H40" s="83" t="str">
        <x:v>Utility</x:v>
      </x:c>
      <x:c r="I40" s="143" t="n">
        <x:v>5.9</x:v>
      </x:c>
      <x:c r="J40" s="83" t="str">
        <x:v>GW</x:v>
      </x:c>
      <x:c r="K40" s="83" t="str">
        <x:v>Assunzione di scenario</x:v>
      </x:c>
      <x:c r="L40" s="83" t="str">
        <x:v>S09</x:v>
      </x:c>
      <x:c r="M40" s="83" t="str">
        <x:v>Documento_Descrizione_Scenari_2024_8dce2430d44d101.pdf</x:v>
      </x:c>
      <x:c r="N40" s="83" t="n">
        <x:v>60</x:v>
      </x:c>
      <x:c r="O40" s="83" t="n">
        <x:v>58</x:v>
      </x:c>
      <x:c r="P40" s="83" t="str">
        <x:v>Tabella 14</x:v>
      </x:c>
      <x:c r="Q40" s="83" t="str">
        <x:v>Direct table extraction; visual/text verification</x:v>
      </x:c>
      <x:c r="R40" s="83" t="str">
        <x:v>A - Direct</x:v>
      </x:c>
      <x:c r="S40" s="83" t="str">
        <x:v>Zonal p_nom input after mapping to PyPSA carrier.</x:v>
      </x:c>
      <x:c r="T40" s="83" t="str">
        <x:v>For 2023, distributed includes LV-connected plants and plants &lt;200 kW.</x:v>
      </x:c>
    </x:row>
    <x:row r="41">
      <x:c r="A41" s="83" t="str">
        <x:v>ZCAP-0037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Centro Sud</x:v>
      </x:c>
      <x:c r="F41" s="83" t="str">
        <x:v>Solar</x:v>
      </x:c>
      <x:c r="G41" s="83" t="str">
        <x:v>Solare distribuito</x:v>
      </x:c>
      <x:c r="H41" s="83" t="str">
        <x:v>Distribuito</x:v>
      </x:c>
      <x:c r="I41" s="143" t="n">
        <x:v>1.5</x:v>
      </x:c>
      <x:c r="J41" s="83" t="str">
        <x:v>GW</x:v>
      </x:c>
      <x:c r="K41" s="83" t="str">
        <x:v>Dato osservato storico</x:v>
      </x:c>
      <x:c r="L41" s="83" t="str">
        <x:v>S09</x:v>
      </x:c>
      <x:c r="M41" s="83" t="str">
        <x:v>Documento_Descrizione_Scenari_2024_8dce2430d44d101.pdf</x:v>
      </x:c>
      <x:c r="N41" s="83" t="n">
        <x:v>60</x:v>
      </x:c>
      <x:c r="O41" s="83" t="n">
        <x:v>58</x:v>
      </x:c>
      <x:c r="P41" s="83" t="str">
        <x:v>Tabella 14</x:v>
      </x:c>
      <x:c r="Q41" s="83" t="str">
        <x:v>Direct table extraction; visual/text verification</x:v>
      </x:c>
      <x:c r="R41" s="83" t="str">
        <x:v>A - Direct</x:v>
      </x:c>
      <x:c r="S41" s="83" t="str">
        <x:v>Zonal p_nom input after mapping to PyPSA carrier.</x:v>
      </x:c>
      <x:c r="T41" s="83" t="str">
        <x:v>For 2023, distributed includes LV-connected plants and plants &lt;200 kW.</x:v>
      </x:c>
    </x:row>
    <x:row r="42">
      <x:c r="A42" s="83" t="str">
        <x:v>ZCAP-0038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Centro Sud</x:v>
      </x:c>
      <x:c r="F42" s="83" t="str">
        <x:v>Solar</x:v>
      </x:c>
      <x:c r="G42" s="83" t="str">
        <x:v>Solare distribuito</x:v>
      </x:c>
      <x:c r="H42" s="83" t="str">
        <x:v>Distribuito</x:v>
      </x:c>
      <x:c r="I42" s="143" t="n">
        <x:v>3.7</x:v>
      </x:c>
      <x:c r="J42" s="83" t="str">
        <x:v>GW</x:v>
      </x:c>
      <x:c r="K42" s="83" t="str">
        <x:v>Assunzione di scenario</x:v>
      </x:c>
      <x:c r="L42" s="83" t="str">
        <x:v>S09</x:v>
      </x:c>
      <x:c r="M42" s="83" t="str">
        <x:v>Documento_Descrizione_Scenari_2024_8dce2430d44d101.pdf</x:v>
      </x:c>
      <x:c r="N42" s="83" t="n">
        <x:v>60</x:v>
      </x:c>
      <x:c r="O42" s="83" t="n">
        <x:v>58</x:v>
      </x:c>
      <x:c r="P42" s="83" t="str">
        <x:v>Tabella 14</x:v>
      </x:c>
      <x:c r="Q42" s="83" t="str">
        <x:v>Direct table extraction; visual/text verification</x:v>
      </x:c>
      <x:c r="R42" s="83" t="str">
        <x:v>A - Direct</x:v>
      </x:c>
      <x:c r="S42" s="83" t="str">
        <x:v>Zonal p_nom input after mapping to PyPSA carrier.</x:v>
      </x:c>
      <x:c r="T42" s="83" t="str">
        <x:v>For 2023, distributed includes LV-connected plants and plants &lt;200 kW.</x:v>
      </x:c>
    </x:row>
    <x:row r="43">
      <x:c r="A43" s="83" t="str">
        <x:v>ZCAP-0039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Centro Sud</x:v>
      </x:c>
      <x:c r="F43" s="83" t="str">
        <x:v>Solar</x:v>
      </x:c>
      <x:c r="G43" s="83" t="str">
        <x:v>Solare distribuito</x:v>
      </x:c>
      <x:c r="H43" s="83" t="str">
        <x:v>Distribuito</x:v>
      </x:c>
      <x:c r="I43" s="143" t="n">
        <x:v>3.4</x:v>
      </x:c>
      <x:c r="J43" s="83" t="str">
        <x:v>GW</x:v>
      </x:c>
      <x:c r="K43" s="83" t="str">
        <x:v>Assunzione di scenario</x:v>
      </x:c>
      <x:c r="L43" s="83" t="str">
        <x:v>S09</x:v>
      </x:c>
      <x:c r="M43" s="83" t="str">
        <x:v>Documento_Descrizione_Scenari_2024_8dce2430d44d101.pdf</x:v>
      </x:c>
      <x:c r="N43" s="83" t="n">
        <x:v>60</x:v>
      </x:c>
      <x:c r="O43" s="83" t="n">
        <x:v>58</x:v>
      </x:c>
      <x:c r="P43" s="83" t="str">
        <x:v>Tabella 14</x:v>
      </x:c>
      <x:c r="Q43" s="83" t="str">
        <x:v>Direct table extraction; visual/text verification</x:v>
      </x:c>
      <x:c r="R43" s="83" t="str">
        <x:v>A - Direct</x:v>
      </x:c>
      <x:c r="S43" s="83" t="str">
        <x:v>Zonal p_nom input after mapping to PyPSA carrier.</x:v>
      </x:c>
      <x:c r="T43" s="83" t="str">
        <x:v>For 2023, distributed includes LV-connected plants and plants &lt;200 kW.</x:v>
      </x:c>
    </x:row>
    <x:row r="44">
      <x:c r="A44" s="83" t="str">
        <x:v>ZCAP-0040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Centro Sud</x:v>
      </x:c>
      <x:c r="F44" s="83" t="str">
        <x:v>Solar</x:v>
      </x:c>
      <x:c r="G44" s="83" t="str">
        <x:v>Solare distribuito</x:v>
      </x:c>
      <x:c r="H44" s="83" t="str">
        <x:v>Distribuito</x:v>
      </x:c>
      <x:c r="I44" s="143" t="n">
        <x:v>4.6</x:v>
      </x:c>
      <x:c r="J44" s="83" t="str">
        <x:v>GW</x:v>
      </x:c>
      <x:c r="K44" s="83" t="str">
        <x:v>Assunzione di scenario</x:v>
      </x:c>
      <x:c r="L44" s="83" t="str">
        <x:v>S09</x:v>
      </x:c>
      <x:c r="M44" s="83" t="str">
        <x:v>Documento_Descrizione_Scenari_2024_8dce2430d44d101.pdf</x:v>
      </x:c>
      <x:c r="N44" s="83" t="n">
        <x:v>60</x:v>
      </x:c>
      <x:c r="O44" s="83" t="n">
        <x:v>58</x:v>
      </x:c>
      <x:c r="P44" s="83" t="str">
        <x:v>Tabella 14</x:v>
      </x:c>
      <x:c r="Q44" s="83" t="str">
        <x:v>Direct table extraction; visual/text verification</x:v>
      </x:c>
      <x:c r="R44" s="83" t="str">
        <x:v>A - Direct</x:v>
      </x:c>
      <x:c r="S44" s="83" t="str">
        <x:v>Zonal p_nom input after mapping to PyPSA carrier.</x:v>
      </x:c>
      <x:c r="T44" s="83" t="str">
        <x:v>For 2023, distributed includes LV-connected plants and plants &lt;200 kW.</x:v>
      </x:c>
    </x:row>
    <x:row r="45">
      <x:c r="A45" s="83" t="str">
        <x:v>ZCAP-0041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Centro Sud</x:v>
      </x:c>
      <x:c r="F45" s="83" t="str">
        <x:v>Solar</x:v>
      </x:c>
      <x:c r="G45" s="83" t="str">
        <x:v>Solare distribuito</x:v>
      </x:c>
      <x:c r="H45" s="83" t="str">
        <x:v>Distribuito</x:v>
      </x:c>
      <x:c r="I45" s="143" t="n">
        <x:v>4.5</x:v>
      </x:c>
      <x:c r="J45" s="83" t="str">
        <x:v>GW</x:v>
      </x:c>
      <x:c r="K45" s="83" t="str">
        <x:v>Assunzione di scenario</x:v>
      </x:c>
      <x:c r="L45" s="83" t="str">
        <x:v>S09</x:v>
      </x:c>
      <x:c r="M45" s="83" t="str">
        <x:v>Documento_Descrizione_Scenari_2024_8dce2430d44d101.pdf</x:v>
      </x:c>
      <x:c r="N45" s="83" t="n">
        <x:v>60</x:v>
      </x:c>
      <x:c r="O45" s="83" t="n">
        <x:v>58</x:v>
      </x:c>
      <x:c r="P45" s="83" t="str">
        <x:v>Tabella 14</x:v>
      </x:c>
      <x:c r="Q45" s="83" t="str">
        <x:v>Direct table extraction; visual/text verification</x:v>
      </x:c>
      <x:c r="R45" s="83" t="str">
        <x:v>A - Direct</x:v>
      </x:c>
      <x:c r="S45" s="83" t="str">
        <x:v>Zonal p_nom input after mapping to PyPSA carrier.</x:v>
      </x:c>
      <x:c r="T45" s="83" t="str">
        <x:v>For 2023, distributed includes LV-connected plants and plants &lt;200 kW.</x:v>
      </x:c>
    </x:row>
    <x:row r="46">
      <x:c r="A46" s="83" t="str">
        <x:v>ZCAP-0042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Centro Sud</x:v>
      </x:c>
      <x:c r="F46" s="83" t="str">
        <x:v>Solar</x:v>
      </x:c>
      <x:c r="G46" s="83" t="str">
        <x:v>Solare distribuito</x:v>
      </x:c>
      <x:c r="H46" s="83" t="str">
        <x:v>Distribuito</x:v>
      </x:c>
      <x:c r="I46" s="143" t="n">
        <x:v>4.2</x:v>
      </x:c>
      <x:c r="J46" s="83" t="str">
        <x:v>GW</x:v>
      </x:c>
      <x:c r="K46" s="83" t="str">
        <x:v>Assunzione di scenario</x:v>
      </x:c>
      <x:c r="L46" s="83" t="str">
        <x:v>S09</x:v>
      </x:c>
      <x:c r="M46" s="83" t="str">
        <x:v>Documento_Descrizione_Scenari_2024_8dce2430d44d101.pdf</x:v>
      </x:c>
      <x:c r="N46" s="83" t="n">
        <x:v>60</x:v>
      </x:c>
      <x:c r="O46" s="83" t="n">
        <x:v>58</x:v>
      </x:c>
      <x:c r="P46" s="83" t="str">
        <x:v>Tabella 14</x:v>
      </x:c>
      <x:c r="Q46" s="83" t="str">
        <x:v>Direct table extraction; visual/text verification</x:v>
      </x:c>
      <x:c r="R46" s="83" t="str">
        <x:v>A - Direct</x:v>
      </x:c>
      <x:c r="S46" s="83" t="str">
        <x:v>Zonal p_nom input after mapping to PyPSA carrier.</x:v>
      </x:c>
      <x:c r="T46" s="83" t="str">
        <x:v>For 2023, distributed includes LV-connected plants and plants &lt;200 kW.</x:v>
      </x:c>
    </x:row>
    <x:row r="47">
      <x:c r="A47" s="83" t="str">
        <x:v>ZCAP-0043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Centro Sud</x:v>
      </x:c>
      <x:c r="F47" s="83" t="str">
        <x:v>Solar</x:v>
      </x:c>
      <x:c r="G47" s="83" t="str">
        <x:v>Solare distribuito</x:v>
      </x:c>
      <x:c r="H47" s="83" t="str">
        <x:v>Distribuito</x:v>
      </x:c>
      <x:c r="I47" s="143" t="n">
        <x:v>5.5</x:v>
      </x:c>
      <x:c r="J47" s="83" t="str">
        <x:v>GW</x:v>
      </x:c>
      <x:c r="K47" s="83" t="str">
        <x:v>Assunzione di scenario</x:v>
      </x:c>
      <x:c r="L47" s="83" t="str">
        <x:v>S09</x:v>
      </x:c>
      <x:c r="M47" s="83" t="str">
        <x:v>Documento_Descrizione_Scenari_2024_8dce2430d44d101.pdf</x:v>
      </x:c>
      <x:c r="N47" s="83" t="n">
        <x:v>60</x:v>
      </x:c>
      <x:c r="O47" s="83" t="n">
        <x:v>58</x:v>
      </x:c>
      <x:c r="P47" s="83" t="str">
        <x:v>Tabella 14</x:v>
      </x:c>
      <x:c r="Q47" s="83" t="str">
        <x:v>Direct table extraction; visual/text verification</x:v>
      </x:c>
      <x:c r="R47" s="83" t="str">
        <x:v>A - Direct</x:v>
      </x:c>
      <x:c r="S47" s="83" t="str">
        <x:v>Zonal p_nom input after mapping to PyPSA carrier.</x:v>
      </x:c>
      <x:c r="T47" s="83" t="str">
        <x:v>For 2023, distributed includes LV-connected plants and plants &lt;200 kW.</x:v>
      </x:c>
    </x:row>
    <x:row r="48">
      <x:c r="A48" s="83" t="str">
        <x:v>ZCAP-0044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Centro Sud</x:v>
      </x:c>
      <x:c r="F48" s="83" t="str">
        <x:v>Solar</x:v>
      </x:c>
      <x:c r="G48" s="83" t="str">
        <x:v>Solare distribuito</x:v>
      </x:c>
      <x:c r="H48" s="83" t="str">
        <x:v>Distribuito</x:v>
      </x:c>
      <x:c r="I48" s="143" t="n">
        <x:v>5.2</x:v>
      </x:c>
      <x:c r="J48" s="83" t="str">
        <x:v>GW</x:v>
      </x:c>
      <x:c r="K48" s="83" t="str">
        <x:v>Assunzione di scenario</x:v>
      </x:c>
      <x:c r="L48" s="83" t="str">
        <x:v>S09</x:v>
      </x:c>
      <x:c r="M48" s="83" t="str">
        <x:v>Documento_Descrizione_Scenari_2024_8dce2430d44d101.pdf</x:v>
      </x:c>
      <x:c r="N48" s="83" t="n">
        <x:v>60</x:v>
      </x:c>
      <x:c r="O48" s="83" t="n">
        <x:v>58</x:v>
      </x:c>
      <x:c r="P48" s="83" t="str">
        <x:v>Tabella 14</x:v>
      </x:c>
      <x:c r="Q48" s="83" t="str">
        <x:v>Direct table extraction; visual/text verification</x:v>
      </x:c>
      <x:c r="R48" s="83" t="str">
        <x:v>A - Direct</x:v>
      </x:c>
      <x:c r="S48" s="83" t="str">
        <x:v>Zonal p_nom input after mapping to PyPSA carrier.</x:v>
      </x:c>
      <x:c r="T48" s="83" t="str">
        <x:v>For 2023, distributed includes LV-connected plants and plants &lt;200 kW.</x:v>
      </x:c>
    </x:row>
    <x:row r="49">
      <x:c r="A49" s="83" t="str">
        <x:v>ZCAP-0045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Centro Sud</x:v>
      </x:c>
      <x:c r="F49" s="83" t="str">
        <x:v>Solar</x:v>
      </x:c>
      <x:c r="G49" s="83" t="str">
        <x:v>Solare distribuito</x:v>
      </x:c>
      <x:c r="H49" s="83" t="str">
        <x:v>Distribuito</x:v>
      </x:c>
      <x:c r="I49" s="143" t="n">
        <x:v>5.1</x:v>
      </x:c>
      <x:c r="J49" s="83" t="str">
        <x:v>GW</x:v>
      </x:c>
      <x:c r="K49" s="83" t="str">
        <x:v>Assunzione di scenario</x:v>
      </x:c>
      <x:c r="L49" s="83" t="str">
        <x:v>S09</x:v>
      </x:c>
      <x:c r="M49" s="83" t="str">
        <x:v>Documento_Descrizione_Scenari_2024_8dce2430d44d101.pdf</x:v>
      </x:c>
      <x:c r="N49" s="83" t="n">
        <x:v>60</x:v>
      </x:c>
      <x:c r="O49" s="83" t="n">
        <x:v>58</x:v>
      </x:c>
      <x:c r="P49" s="83" t="str">
        <x:v>Tabella 14</x:v>
      </x:c>
      <x:c r="Q49" s="83" t="str">
        <x:v>Direct table extraction; visual/text verification</x:v>
      </x:c>
      <x:c r="R49" s="83" t="str">
        <x:v>A - Direct</x:v>
      </x:c>
      <x:c r="S49" s="83" t="str">
        <x:v>Zonal p_nom input after mapping to PyPSA carrier.</x:v>
      </x:c>
      <x:c r="T49" s="83" t="str">
        <x:v>For 2023, distributed includes LV-connected plants and plants &lt;200 kW.</x:v>
      </x:c>
    </x:row>
    <x:row r="50">
      <x:c r="A50" s="83" t="str">
        <x:v>ZCAP-0046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Centro Sud</x:v>
      </x:c>
      <x:c r="F50" s="83" t="str">
        <x:v>Solar</x:v>
      </x:c>
      <x:c r="G50" s="83" t="str">
        <x:v>Solare utility</x:v>
      </x:c>
      <x:c r="H50" s="83" t="str">
        <x:v>Utility</x:v>
      </x:c>
      <x:c r="I50" s="143" t="n">
        <x:v>3.4</x:v>
      </x:c>
      <x:c r="J50" s="83" t="str">
        <x:v>GW</x:v>
      </x:c>
      <x:c r="K50" s="83" t="str">
        <x:v>Dato osservato storico</x:v>
      </x:c>
      <x:c r="L50" s="83" t="str">
        <x:v>S09</x:v>
      </x:c>
      <x:c r="M50" s="83" t="str">
        <x:v>Documento_Descrizione_Scenari_2024_8dce2430d44d101.pdf</x:v>
      </x:c>
      <x:c r="N50" s="83" t="n">
        <x:v>60</x:v>
      </x:c>
      <x:c r="O50" s="83" t="n">
        <x:v>58</x:v>
      </x:c>
      <x:c r="P50" s="83" t="str">
        <x:v>Tabella 14</x:v>
      </x:c>
      <x:c r="Q50" s="83" t="str">
        <x:v>Direct table extraction; visual/text verification</x:v>
      </x:c>
      <x:c r="R50" s="83" t="str">
        <x:v>A - Direct</x:v>
      </x:c>
      <x:c r="S50" s="83" t="str">
        <x:v>Zonal p_nom input after mapping to PyPSA carrier.</x:v>
      </x:c>
      <x:c r="T50" s="83" t="str">
        <x:v>For 2023, distributed includes LV-connected plants and plants &lt;200 kW.</x:v>
      </x:c>
    </x:row>
    <x:row r="51">
      <x:c r="A51" s="83" t="str">
        <x:v>ZCAP-0047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Centro Sud</x:v>
      </x:c>
      <x:c r="F51" s="83" t="str">
        <x:v>Solar</x:v>
      </x:c>
      <x:c r="G51" s="83" t="str">
        <x:v>Solare utility</x:v>
      </x:c>
      <x:c r="H51" s="83" t="str">
        <x:v>Utility</x:v>
      </x:c>
      <x:c r="I51" s="143" t="n">
        <x:v>9.2</x:v>
      </x:c>
      <x:c r="J51" s="83" t="str">
        <x:v>GW</x:v>
      </x:c>
      <x:c r="K51" s="83" t="str">
        <x:v>Assunzione di scenario</x:v>
      </x:c>
      <x:c r="L51" s="83" t="str">
        <x:v>S09</x:v>
      </x:c>
      <x:c r="M51" s="83" t="str">
        <x:v>Documento_Descrizione_Scenari_2024_8dce2430d44d101.pdf</x:v>
      </x:c>
      <x:c r="N51" s="83" t="n">
        <x:v>60</x:v>
      </x:c>
      <x:c r="O51" s="83" t="n">
        <x:v>58</x:v>
      </x:c>
      <x:c r="P51" s="83" t="str">
        <x:v>Tabella 14</x:v>
      </x:c>
      <x:c r="Q51" s="83" t="str">
        <x:v>Direct table extraction; visual/text verification</x:v>
      </x:c>
      <x:c r="R51" s="83" t="str">
        <x:v>A - Direct</x:v>
      </x:c>
      <x:c r="S51" s="83" t="str">
        <x:v>Zonal p_nom input after mapping to PyPSA carrier.</x:v>
      </x:c>
      <x:c r="T51" s="83" t="str">
        <x:v>For 2023, distributed includes LV-connected plants and plants &lt;200 kW.</x:v>
      </x:c>
    </x:row>
    <x:row r="52">
      <x:c r="A52" s="83" t="str">
        <x:v>ZCAP-0048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Centro Sud</x:v>
      </x:c>
      <x:c r="F52" s="83" t="str">
        <x:v>Solar</x:v>
      </x:c>
      <x:c r="G52" s="83" t="str">
        <x:v>Solare utility</x:v>
      </x:c>
      <x:c r="H52" s="83" t="str">
        <x:v>Utility</x:v>
      </x:c>
      <x:c r="I52" s="143" t="n">
        <x:v>8.2</x:v>
      </x:c>
      <x:c r="J52" s="83" t="str">
        <x:v>GW</x:v>
      </x:c>
      <x:c r="K52" s="83" t="str">
        <x:v>Assunzione di scenario</x:v>
      </x:c>
      <x:c r="L52" s="83" t="str">
        <x:v>S09</x:v>
      </x:c>
      <x:c r="M52" s="83" t="str">
        <x:v>Documento_Descrizione_Scenari_2024_8dce2430d44d101.pdf</x:v>
      </x:c>
      <x:c r="N52" s="83" t="n">
        <x:v>60</x:v>
      </x:c>
      <x:c r="O52" s="83" t="n">
        <x:v>58</x:v>
      </x:c>
      <x:c r="P52" s="83" t="str">
        <x:v>Tabella 14</x:v>
      </x:c>
      <x:c r="Q52" s="83" t="str">
        <x:v>Direct table extraction; visual/text verification</x:v>
      </x:c>
      <x:c r="R52" s="83" t="str">
        <x:v>A - Direct</x:v>
      </x:c>
      <x:c r="S52" s="83" t="str">
        <x:v>Zonal p_nom input after mapping to PyPSA carrier.</x:v>
      </x:c>
      <x:c r="T52" s="83" t="str">
        <x:v>For 2023, distributed includes LV-connected plants and plants &lt;200 kW.</x:v>
      </x:c>
    </x:row>
    <x:row r="53">
      <x:c r="A53" s="83" t="str">
        <x:v>ZCAP-0049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Centro Sud</x:v>
      </x:c>
      <x:c r="F53" s="83" t="str">
        <x:v>Solar</x:v>
      </x:c>
      <x:c r="G53" s="83" t="str">
        <x:v>Solare utility</x:v>
      </x:c>
      <x:c r="H53" s="83" t="str">
        <x:v>Utility</x:v>
      </x:c>
      <x:c r="I53" s="143" t="n">
        <x:v>11.9</x:v>
      </x:c>
      <x:c r="J53" s="83" t="str">
        <x:v>GW</x:v>
      </x:c>
      <x:c r="K53" s="83" t="str">
        <x:v>Assunzione di scenario</x:v>
      </x:c>
      <x:c r="L53" s="83" t="str">
        <x:v>S09</x:v>
      </x:c>
      <x:c r="M53" s="83" t="str">
        <x:v>Documento_Descrizione_Scenari_2024_8dce2430d44d101.pdf</x:v>
      </x:c>
      <x:c r="N53" s="83" t="n">
        <x:v>60</x:v>
      </x:c>
      <x:c r="O53" s="83" t="n">
        <x:v>58</x:v>
      </x:c>
      <x:c r="P53" s="83" t="str">
        <x:v>Tabella 14</x:v>
      </x:c>
      <x:c r="Q53" s="83" t="str">
        <x:v>Direct table extraction; visual/text verification</x:v>
      </x:c>
      <x:c r="R53" s="83" t="str">
        <x:v>A - Direct</x:v>
      </x:c>
      <x:c r="S53" s="83" t="str">
        <x:v>Zonal p_nom input after mapping to PyPSA carrier.</x:v>
      </x:c>
      <x:c r="T53" s="83" t="str">
        <x:v>For 2023, distributed includes LV-connected plants and plants &lt;200 kW.</x:v>
      </x:c>
    </x:row>
    <x:row r="54">
      <x:c r="A54" s="83" t="str">
        <x:v>ZCAP-0050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Centro Sud</x:v>
      </x:c>
      <x:c r="F54" s="83" t="str">
        <x:v>Solar</x:v>
      </x:c>
      <x:c r="G54" s="83" t="str">
        <x:v>Solare utility</x:v>
      </x:c>
      <x:c r="H54" s="83" t="str">
        <x:v>Utility</x:v>
      </x:c>
      <x:c r="I54" s="143" t="n">
        <x:v>11.1</x:v>
      </x:c>
      <x:c r="J54" s="83" t="str">
        <x:v>GW</x:v>
      </x:c>
      <x:c r="K54" s="83" t="str">
        <x:v>Assunzione di scenario</x:v>
      </x:c>
      <x:c r="L54" s="83" t="str">
        <x:v>S09</x:v>
      </x:c>
      <x:c r="M54" s="83" t="str">
        <x:v>Documento_Descrizione_Scenari_2024_8dce2430d44d101.pdf</x:v>
      </x:c>
      <x:c r="N54" s="83" t="n">
        <x:v>60</x:v>
      </x:c>
      <x:c r="O54" s="83" t="n">
        <x:v>58</x:v>
      </x:c>
      <x:c r="P54" s="83" t="str">
        <x:v>Tabella 14</x:v>
      </x:c>
      <x:c r="Q54" s="83" t="str">
        <x:v>Direct table extraction; visual/text verification</x:v>
      </x:c>
      <x:c r="R54" s="83" t="str">
        <x:v>A - Direct</x:v>
      </x:c>
      <x:c r="S54" s="83" t="str">
        <x:v>Zonal p_nom input after mapping to PyPSA carrier.</x:v>
      </x:c>
      <x:c r="T54" s="83" t="str">
        <x:v>For 2023, distributed includes LV-connected plants and plants &lt;200 kW.</x:v>
      </x:c>
    </x:row>
    <x:row r="55">
      <x:c r="A55" s="83" t="str">
        <x:v>ZCAP-0051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Centro Sud</x:v>
      </x:c>
      <x:c r="F55" s="83" t="str">
        <x:v>Solar</x:v>
      </x:c>
      <x:c r="G55" s="83" t="str">
        <x:v>Solare utility</x:v>
      </x:c>
      <x:c r="H55" s="83" t="str">
        <x:v>Utility</x:v>
      </x:c>
      <x:c r="I55" s="143" t="n">
        <x:v>10.3</x:v>
      </x:c>
      <x:c r="J55" s="83" t="str">
        <x:v>GW</x:v>
      </x:c>
      <x:c r="K55" s="83" t="str">
        <x:v>Assunzione di scenario</x:v>
      </x:c>
      <x:c r="L55" s="83" t="str">
        <x:v>S09</x:v>
      </x:c>
      <x:c r="M55" s="83" t="str">
        <x:v>Documento_Descrizione_Scenari_2024_8dce2430d44d101.pdf</x:v>
      </x:c>
      <x:c r="N55" s="83" t="n">
        <x:v>60</x:v>
      </x:c>
      <x:c r="O55" s="83" t="n">
        <x:v>58</x:v>
      </x:c>
      <x:c r="P55" s="83" t="str">
        <x:v>Tabella 14</x:v>
      </x:c>
      <x:c r="Q55" s="83" t="str">
        <x:v>Direct table extraction; visual/text verification</x:v>
      </x:c>
      <x:c r="R55" s="83" t="str">
        <x:v>A - Direct</x:v>
      </x:c>
      <x:c r="S55" s="83" t="str">
        <x:v>Zonal p_nom input after mapping to PyPSA carrier.</x:v>
      </x:c>
      <x:c r="T55" s="83" t="str">
        <x:v>For 2023, distributed includes LV-connected plants and plants &lt;200 kW.</x:v>
      </x:c>
    </x:row>
    <x:row r="56">
      <x:c r="A56" s="83" t="str">
        <x:v>ZCAP-0052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Centro Sud</x:v>
      </x:c>
      <x:c r="F56" s="83" t="str">
        <x:v>Solar</x:v>
      </x:c>
      <x:c r="G56" s="83" t="str">
        <x:v>Solare utility</x:v>
      </x:c>
      <x:c r="H56" s="83" t="str">
        <x:v>Utility</x:v>
      </x:c>
      <x:c r="I56" s="143" t="n">
        <x:v>14.6</x:v>
      </x:c>
      <x:c r="J56" s="83" t="str">
        <x:v>GW</x:v>
      </x:c>
      <x:c r="K56" s="83" t="str">
        <x:v>Assunzione di scenario</x:v>
      </x:c>
      <x:c r="L56" s="83" t="str">
        <x:v>S09</x:v>
      </x:c>
      <x:c r="M56" s="83" t="str">
        <x:v>Documento_Descrizione_Scenari_2024_8dce2430d44d101.pdf</x:v>
      </x:c>
      <x:c r="N56" s="83" t="n">
        <x:v>60</x:v>
      </x:c>
      <x:c r="O56" s="83" t="n">
        <x:v>58</x:v>
      </x:c>
      <x:c r="P56" s="83" t="str">
        <x:v>Tabella 14</x:v>
      </x:c>
      <x:c r="Q56" s="83" t="str">
        <x:v>Direct table extraction; visual/text verification</x:v>
      </x:c>
      <x:c r="R56" s="83" t="str">
        <x:v>A - Direct</x:v>
      </x:c>
      <x:c r="S56" s="83" t="str">
        <x:v>Zonal p_nom input after mapping to PyPSA carrier.</x:v>
      </x:c>
      <x:c r="T56" s="83" t="str">
        <x:v>For 2023, distributed includes LV-connected plants and plants &lt;200 kW.</x:v>
      </x:c>
    </x:row>
    <x:row r="57">
      <x:c r="A57" s="83" t="str">
        <x:v>ZCAP-0053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Centro Sud</x:v>
      </x:c>
      <x:c r="F57" s="83" t="str">
        <x:v>Solar</x:v>
      </x:c>
      <x:c r="G57" s="83" t="str">
        <x:v>Solare utility</x:v>
      </x:c>
      <x:c r="H57" s="83" t="str">
        <x:v>Utility</x:v>
      </x:c>
      <x:c r="I57" s="143" t="n">
        <x:v>13.2</x:v>
      </x:c>
      <x:c r="J57" s="83" t="str">
        <x:v>GW</x:v>
      </x:c>
      <x:c r="K57" s="83" t="str">
        <x:v>Assunzione di scenario</x:v>
      </x:c>
      <x:c r="L57" s="83" t="str">
        <x:v>S09</x:v>
      </x:c>
      <x:c r="M57" s="83" t="str">
        <x:v>Documento_Descrizione_Scenari_2024_8dce2430d44d101.pdf</x:v>
      </x:c>
      <x:c r="N57" s="83" t="n">
        <x:v>60</x:v>
      </x:c>
      <x:c r="O57" s="83" t="n">
        <x:v>58</x:v>
      </x:c>
      <x:c r="P57" s="83" t="str">
        <x:v>Tabella 14</x:v>
      </x:c>
      <x:c r="Q57" s="83" t="str">
        <x:v>Direct table extraction; visual/text verification</x:v>
      </x:c>
      <x:c r="R57" s="83" t="str">
        <x:v>A - Direct</x:v>
      </x:c>
      <x:c r="S57" s="83" t="str">
        <x:v>Zonal p_nom input after mapping to PyPSA carrier.</x:v>
      </x:c>
      <x:c r="T57" s="83" t="str">
        <x:v>For 2023, distributed includes LV-connected plants and plants &lt;200 kW.</x:v>
      </x:c>
    </x:row>
    <x:row r="58">
      <x:c r="A58" s="83" t="str">
        <x:v>ZCAP-0054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Centro Sud</x:v>
      </x:c>
      <x:c r="F58" s="83" t="str">
        <x:v>Solar</x:v>
      </x:c>
      <x:c r="G58" s="83" t="str">
        <x:v>Solare utility</x:v>
      </x:c>
      <x:c r="H58" s="83" t="str">
        <x:v>Utility</x:v>
      </x:c>
      <x:c r="I58" s="143" t="n">
        <x:v>12.5</x:v>
      </x:c>
      <x:c r="J58" s="83" t="str">
        <x:v>GW</x:v>
      </x:c>
      <x:c r="K58" s="83" t="str">
        <x:v>Assunzione di scenario</x:v>
      </x:c>
      <x:c r="L58" s="83" t="str">
        <x:v>S09</x:v>
      </x:c>
      <x:c r="M58" s="83" t="str">
        <x:v>Documento_Descrizione_Scenari_2024_8dce2430d44d101.pdf</x:v>
      </x:c>
      <x:c r="N58" s="83" t="n">
        <x:v>60</x:v>
      </x:c>
      <x:c r="O58" s="83" t="n">
        <x:v>58</x:v>
      </x:c>
      <x:c r="P58" s="83" t="str">
        <x:v>Tabella 14</x:v>
      </x:c>
      <x:c r="Q58" s="83" t="str">
        <x:v>Direct table extraction; visual/text verification</x:v>
      </x:c>
      <x:c r="R58" s="83" t="str">
        <x:v>A - Direct</x:v>
      </x:c>
      <x:c r="S58" s="83" t="str">
        <x:v>Zonal p_nom input after mapping to PyPSA carrier.</x:v>
      </x:c>
      <x:c r="T58" s="83" t="str">
        <x:v>For 2023, distributed includes LV-connected plants and plants &lt;200 kW.</x:v>
      </x:c>
    </x:row>
    <x:row r="59">
      <x:c r="A59" s="83" t="str">
        <x:v>ZCAP-0055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Sud</x:v>
      </x:c>
      <x:c r="F59" s="83" t="str">
        <x:v>Solar</x:v>
      </x:c>
      <x:c r="G59" s="83" t="str">
        <x:v>Solare distribuito</x:v>
      </x:c>
      <x:c r="H59" s="83" t="str">
        <x:v>Distribuito</x:v>
      </x:c>
      <x:c r="I59" s="143" t="n">
        <x:v>0.7</x:v>
      </x:c>
      <x:c r="J59" s="83" t="str">
        <x:v>GW</x:v>
      </x:c>
      <x:c r="K59" s="83" t="str">
        <x:v>Dato osservato storico</x:v>
      </x:c>
      <x:c r="L59" s="83" t="str">
        <x:v>S09</x:v>
      </x:c>
      <x:c r="M59" s="83" t="str">
        <x:v>Documento_Descrizione_Scenari_2024_8dce2430d44d101.pdf</x:v>
      </x:c>
      <x:c r="N59" s="83" t="n">
        <x:v>60</x:v>
      </x:c>
      <x:c r="O59" s="83" t="n">
        <x:v>58</x:v>
      </x:c>
      <x:c r="P59" s="83" t="str">
        <x:v>Tabella 14</x:v>
      </x:c>
      <x:c r="Q59" s="83" t="str">
        <x:v>Direct table extraction; visual/text verification</x:v>
      </x:c>
      <x:c r="R59" s="83" t="str">
        <x:v>A - Direct</x:v>
      </x:c>
      <x:c r="S59" s="83" t="str">
        <x:v>Zonal p_nom input after mapping to PyPSA carrier.</x:v>
      </x:c>
      <x:c r="T59" s="83" t="str">
        <x:v>For 2023, distributed includes LV-connected plants and plants &lt;200 kW.</x:v>
      </x:c>
    </x:row>
    <x:row r="60">
      <x:c r="A60" s="83" t="str">
        <x:v>ZCAP-0056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Sud</x:v>
      </x:c>
      <x:c r="F60" s="83" t="str">
        <x:v>Solar</x:v>
      </x:c>
      <x:c r="G60" s="83" t="str">
        <x:v>Solare distribuito</x:v>
      </x:c>
      <x:c r="H60" s="83" t="str">
        <x:v>Distribuito</x:v>
      </x:c>
      <x:c r="I60" s="143" t="n">
        <x:v>1</x:v>
      </x:c>
      <x:c r="J60" s="83" t="str">
        <x:v>GW</x:v>
      </x:c>
      <x:c r="K60" s="83" t="str">
        <x:v>Assunzione di scenario</x:v>
      </x:c>
      <x:c r="L60" s="83" t="str">
        <x:v>S09</x:v>
      </x:c>
      <x:c r="M60" s="83" t="str">
        <x:v>Documento_Descrizione_Scenari_2024_8dce2430d44d101.pdf</x:v>
      </x:c>
      <x:c r="N60" s="83" t="n">
        <x:v>60</x:v>
      </x:c>
      <x:c r="O60" s="83" t="n">
        <x:v>58</x:v>
      </x:c>
      <x:c r="P60" s="83" t="str">
        <x:v>Tabella 14</x:v>
      </x:c>
      <x:c r="Q60" s="83" t="str">
        <x:v>Direct table extraction; visual/text verification</x:v>
      </x:c>
      <x:c r="R60" s="83" t="str">
        <x:v>A - Direct</x:v>
      </x:c>
      <x:c r="S60" s="83" t="str">
        <x:v>Zonal p_nom input after mapping to PyPSA carrier.</x:v>
      </x:c>
      <x:c r="T60" s="83" t="str">
        <x:v>For 2023, distributed includes LV-connected plants and plants &lt;200 kW.</x:v>
      </x:c>
    </x:row>
    <x:row r="61">
      <x:c r="A61" s="83" t="str">
        <x:v>ZCAP-0057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Sud</x:v>
      </x:c>
      <x:c r="F61" s="83" t="str">
        <x:v>Solar</x:v>
      </x:c>
      <x:c r="G61" s="83" t="str">
        <x:v>Solare distribuito</x:v>
      </x:c>
      <x:c r="H61" s="83" t="str">
        <x:v>Distribuito</x:v>
      </x:c>
      <x:c r="I61" s="143" t="n">
        <x:v>1</x:v>
      </x:c>
      <x:c r="J61" s="83" t="str">
        <x:v>GW</x:v>
      </x:c>
      <x:c r="K61" s="83" t="str">
        <x:v>Assunzione di scenario</x:v>
      </x:c>
      <x:c r="L61" s="83" t="str">
        <x:v>S09</x:v>
      </x:c>
      <x:c r="M61" s="83" t="str">
        <x:v>Documento_Descrizione_Scenari_2024_8dce2430d44d101.pdf</x:v>
      </x:c>
      <x:c r="N61" s="83" t="n">
        <x:v>60</x:v>
      </x:c>
      <x:c r="O61" s="83" t="n">
        <x:v>58</x:v>
      </x:c>
      <x:c r="P61" s="83" t="str">
        <x:v>Tabella 14</x:v>
      </x:c>
      <x:c r="Q61" s="83" t="str">
        <x:v>Direct table extraction; visual/text verification</x:v>
      </x:c>
      <x:c r="R61" s="83" t="str">
        <x:v>A - Direct</x:v>
      </x:c>
      <x:c r="S61" s="83" t="str">
        <x:v>Zonal p_nom input after mapping to PyPSA carrier.</x:v>
      </x:c>
      <x:c r="T61" s="83" t="str">
        <x:v>For 2023, distributed includes LV-connected plants and plants &lt;200 kW.</x:v>
      </x:c>
    </x:row>
    <x:row r="62">
      <x:c r="A62" s="83" t="str">
        <x:v>ZCAP-0058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Sud</x:v>
      </x:c>
      <x:c r="F62" s="83" t="str">
        <x:v>Solar</x:v>
      </x:c>
      <x:c r="G62" s="83" t="str">
        <x:v>Solare distribuito</x:v>
      </x:c>
      <x:c r="H62" s="83" t="str">
        <x:v>Distribuito</x:v>
      </x:c>
      <x:c r="I62" s="143" t="n">
        <x:v>1.4</x:v>
      </x:c>
      <x:c r="J62" s="83" t="str">
        <x:v>GW</x:v>
      </x:c>
      <x:c r="K62" s="83" t="str">
        <x:v>Assunzione di scenario</x:v>
      </x:c>
      <x:c r="L62" s="83" t="str">
        <x:v>S09</x:v>
      </x:c>
      <x:c r="M62" s="83" t="str">
        <x:v>Documento_Descrizione_Scenari_2024_8dce2430d44d101.pdf</x:v>
      </x:c>
      <x:c r="N62" s="83" t="n">
        <x:v>60</x:v>
      </x:c>
      <x:c r="O62" s="83" t="n">
        <x:v>58</x:v>
      </x:c>
      <x:c r="P62" s="83" t="str">
        <x:v>Tabella 14</x:v>
      </x:c>
      <x:c r="Q62" s="83" t="str">
        <x:v>Direct table extraction; visual/text verification</x:v>
      </x:c>
      <x:c r="R62" s="83" t="str">
        <x:v>A - Direct</x:v>
      </x:c>
      <x:c r="S62" s="83" t="str">
        <x:v>Zonal p_nom input after mapping to PyPSA carrier.</x:v>
      </x:c>
      <x:c r="T62" s="83" t="str">
        <x:v>For 2023, distributed includes LV-connected plants and plants &lt;200 kW.</x:v>
      </x:c>
    </x:row>
    <x:row r="63">
      <x:c r="A63" s="83" t="str">
        <x:v>ZCAP-0059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Sud</x:v>
      </x:c>
      <x:c r="F63" s="83" t="str">
        <x:v>Solar</x:v>
      </x:c>
      <x:c r="G63" s="83" t="str">
        <x:v>Solare distribuito</x:v>
      </x:c>
      <x:c r="H63" s="83" t="str">
        <x:v>Distribuito</x:v>
      </x:c>
      <x:c r="I63" s="143" t="n">
        <x:v>1.5</x:v>
      </x:c>
      <x:c r="J63" s="83" t="str">
        <x:v>GW</x:v>
      </x:c>
      <x:c r="K63" s="83" t="str">
        <x:v>Assunzione di scenario</x:v>
      </x:c>
      <x:c r="L63" s="83" t="str">
        <x:v>S09</x:v>
      </x:c>
      <x:c r="M63" s="83" t="str">
        <x:v>Documento_Descrizione_Scenari_2024_8dce2430d44d101.pdf</x:v>
      </x:c>
      <x:c r="N63" s="83" t="n">
        <x:v>60</x:v>
      </x:c>
      <x:c r="O63" s="83" t="n">
        <x:v>58</x:v>
      </x:c>
      <x:c r="P63" s="83" t="str">
        <x:v>Tabella 14</x:v>
      </x:c>
      <x:c r="Q63" s="83" t="str">
        <x:v>Direct table extraction; visual/text verification</x:v>
      </x:c>
      <x:c r="R63" s="83" t="str">
        <x:v>A - Direct</x:v>
      </x:c>
      <x:c r="S63" s="83" t="str">
        <x:v>Zonal p_nom input after mapping to PyPSA carrier.</x:v>
      </x:c>
      <x:c r="T63" s="83" t="str">
        <x:v>For 2023, distributed includes LV-connected plants and plants &lt;200 kW.</x:v>
      </x:c>
    </x:row>
    <x:row r="64">
      <x:c r="A64" s="83" t="str">
        <x:v>ZCAP-0060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Sud</x:v>
      </x:c>
      <x:c r="F64" s="83" t="str">
        <x:v>Solar</x:v>
      </x:c>
      <x:c r="G64" s="83" t="str">
        <x:v>Solare distribuito</x:v>
      </x:c>
      <x:c r="H64" s="83" t="str">
        <x:v>Distribuito</x:v>
      </x:c>
      <x:c r="I64" s="143" t="n">
        <x:v>1.4</x:v>
      </x:c>
      <x:c r="J64" s="83" t="str">
        <x:v>GW</x:v>
      </x:c>
      <x:c r="K64" s="83" t="str">
        <x:v>Assunzione di scenario</x:v>
      </x:c>
      <x:c r="L64" s="83" t="str">
        <x:v>S09</x:v>
      </x:c>
      <x:c r="M64" s="83" t="str">
        <x:v>Documento_Descrizione_Scenari_2024_8dce2430d44d101.pdf</x:v>
      </x:c>
      <x:c r="N64" s="83" t="n">
        <x:v>60</x:v>
      </x:c>
      <x:c r="O64" s="83" t="n">
        <x:v>58</x:v>
      </x:c>
      <x:c r="P64" s="83" t="str">
        <x:v>Tabella 14</x:v>
      </x:c>
      <x:c r="Q64" s="83" t="str">
        <x:v>Direct table extraction; visual/text verification</x:v>
      </x:c>
      <x:c r="R64" s="83" t="str">
        <x:v>A - Direct</x:v>
      </x:c>
      <x:c r="S64" s="83" t="str">
        <x:v>Zonal p_nom input after mapping to PyPSA carrier.</x:v>
      </x:c>
      <x:c r="T64" s="83" t="str">
        <x:v>For 2023, distributed includes LV-connected plants and plants &lt;200 kW.</x:v>
      </x:c>
    </x:row>
    <x:row r="65">
      <x:c r="A65" s="83" t="str">
        <x:v>ZCAP-0061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Sud</x:v>
      </x:c>
      <x:c r="F65" s="83" t="str">
        <x:v>Solar</x:v>
      </x:c>
      <x:c r="G65" s="83" t="str">
        <x:v>Solare distribuito</x:v>
      </x:c>
      <x:c r="H65" s="83" t="str">
        <x:v>Distribuito</x:v>
      </x:c>
      <x:c r="I65" s="143" t="n">
        <x:v>1.7</x:v>
      </x:c>
      <x:c r="J65" s="83" t="str">
        <x:v>GW</x:v>
      </x:c>
      <x:c r="K65" s="83" t="str">
        <x:v>Assunzione di scenario</x:v>
      </x:c>
      <x:c r="L65" s="83" t="str">
        <x:v>S09</x:v>
      </x:c>
      <x:c r="M65" s="83" t="str">
        <x:v>Documento_Descrizione_Scenari_2024_8dce2430d44d101.pdf</x:v>
      </x:c>
      <x:c r="N65" s="83" t="n">
        <x:v>60</x:v>
      </x:c>
      <x:c r="O65" s="83" t="n">
        <x:v>58</x:v>
      </x:c>
      <x:c r="P65" s="83" t="str">
        <x:v>Tabella 14</x:v>
      </x:c>
      <x:c r="Q65" s="83" t="str">
        <x:v>Direct table extraction; visual/text verification</x:v>
      </x:c>
      <x:c r="R65" s="83" t="str">
        <x:v>A - Direct</x:v>
      </x:c>
      <x:c r="S65" s="83" t="str">
        <x:v>Zonal p_nom input after mapping to PyPSA carrier.</x:v>
      </x:c>
      <x:c r="T65" s="83" t="str">
        <x:v>For 2023, distributed includes LV-connected plants and plants &lt;200 kW.</x:v>
      </x:c>
    </x:row>
    <x:row r="66">
      <x:c r="A66" s="83" t="str">
        <x:v>ZCAP-0062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Sud</x:v>
      </x:c>
      <x:c r="F66" s="83" t="str">
        <x:v>Solar</x:v>
      </x:c>
      <x:c r="G66" s="83" t="str">
        <x:v>Solare distribuito</x:v>
      </x:c>
      <x:c r="H66" s="83" t="str">
        <x:v>Distribuito</x:v>
      </x:c>
      <x:c r="I66" s="143" t="n">
        <x:v>1.7</x:v>
      </x:c>
      <x:c r="J66" s="83" t="str">
        <x:v>GW</x:v>
      </x:c>
      <x:c r="K66" s="83" t="str">
        <x:v>Assunzione di scenario</x:v>
      </x:c>
      <x:c r="L66" s="83" t="str">
        <x:v>S09</x:v>
      </x:c>
      <x:c r="M66" s="83" t="str">
        <x:v>Documento_Descrizione_Scenari_2024_8dce2430d44d101.pdf</x:v>
      </x:c>
      <x:c r="N66" s="83" t="n">
        <x:v>60</x:v>
      </x:c>
      <x:c r="O66" s="83" t="n">
        <x:v>58</x:v>
      </x:c>
      <x:c r="P66" s="83" t="str">
        <x:v>Tabella 14</x:v>
      </x:c>
      <x:c r="Q66" s="83" t="str">
        <x:v>Direct table extraction; visual/text verification</x:v>
      </x:c>
      <x:c r="R66" s="83" t="str">
        <x:v>A - Direct</x:v>
      </x:c>
      <x:c r="S66" s="83" t="str">
        <x:v>Zonal p_nom input after mapping to PyPSA carrier.</x:v>
      </x:c>
      <x:c r="T66" s="83" t="str">
        <x:v>For 2023, distributed includes LV-connected plants and plants &lt;200 kW.</x:v>
      </x:c>
    </x:row>
    <x:row r="67">
      <x:c r="A67" s="83" t="str">
        <x:v>ZCAP-0063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Sud</x:v>
      </x:c>
      <x:c r="F67" s="83" t="str">
        <x:v>Solar</x:v>
      </x:c>
      <x:c r="G67" s="83" t="str">
        <x:v>Solare distribuito</x:v>
      </x:c>
      <x:c r="H67" s="83" t="str">
        <x:v>Distribuito</x:v>
      </x:c>
      <x:c r="I67" s="143" t="n">
        <x:v>1.6</x:v>
      </x:c>
      <x:c r="J67" s="83" t="str">
        <x:v>GW</x:v>
      </x:c>
      <x:c r="K67" s="83" t="str">
        <x:v>Assunzione di scenario</x:v>
      </x:c>
      <x:c r="L67" s="83" t="str">
        <x:v>S09</x:v>
      </x:c>
      <x:c r="M67" s="83" t="str">
        <x:v>Documento_Descrizione_Scenari_2024_8dce2430d44d101.pdf</x:v>
      </x:c>
      <x:c r="N67" s="83" t="n">
        <x:v>60</x:v>
      </x:c>
      <x:c r="O67" s="83" t="n">
        <x:v>58</x:v>
      </x:c>
      <x:c r="P67" s="83" t="str">
        <x:v>Tabella 14</x:v>
      </x:c>
      <x:c r="Q67" s="83" t="str">
        <x:v>Direct table extraction; visual/text verification</x:v>
      </x:c>
      <x:c r="R67" s="83" t="str">
        <x:v>A - Direct</x:v>
      </x:c>
      <x:c r="S67" s="83" t="str">
        <x:v>Zonal p_nom input after mapping to PyPSA carrier.</x:v>
      </x:c>
      <x:c r="T67" s="83" t="str">
        <x:v>For 2023, distributed includes LV-connected plants and plants &lt;200 kW.</x:v>
      </x:c>
    </x:row>
    <x:row r="68">
      <x:c r="A68" s="83" t="str">
        <x:v>ZCAP-0064</x:v>
      </x:c>
      <x:c r="B68" s="83" t="str">
        <x:v>HIST_2023</x:v>
      </x:c>
      <x:c r="C68" s="83" t="n">
        <x:v>2023</x:v>
      </x:c>
      <x:c r="D68" s="83" t="str">
        <x:v>Storico 2023</x:v>
      </x:c>
      <x:c r="E68" s="83" t="str">
        <x:v>Sud</x:v>
      </x:c>
      <x:c r="F68" s="83" t="str">
        <x:v>Solar</x:v>
      </x:c>
      <x:c r="G68" s="83" t="str">
        <x:v>Solare utility</x:v>
      </x:c>
      <x:c r="H68" s="83" t="str">
        <x:v>Utility</x:v>
      </x:c>
      <x:c r="I68" s="143" t="n">
        <x:v>3.3</x:v>
      </x:c>
      <x:c r="J68" s="83" t="str">
        <x:v>GW</x:v>
      </x:c>
      <x:c r="K68" s="83" t="str">
        <x:v>Dato osservato storico</x:v>
      </x:c>
      <x:c r="L68" s="83" t="str">
        <x:v>S09</x:v>
      </x:c>
      <x:c r="M68" s="83" t="str">
        <x:v>Documento_Descrizione_Scenari_2024_8dce2430d44d101.pdf</x:v>
      </x:c>
      <x:c r="N68" s="83" t="n">
        <x:v>60</x:v>
      </x:c>
      <x:c r="O68" s="83" t="n">
        <x:v>58</x:v>
      </x:c>
      <x:c r="P68" s="83" t="str">
        <x:v>Tabella 14</x:v>
      </x:c>
      <x:c r="Q68" s="83" t="str">
        <x:v>Direct table extraction; visual/text verification</x:v>
      </x:c>
      <x:c r="R68" s="83" t="str">
        <x:v>A - Direct</x:v>
      </x:c>
      <x:c r="S68" s="83" t="str">
        <x:v>Zonal p_nom input after mapping to PyPSA carrier.</x:v>
      </x:c>
      <x:c r="T68" s="83" t="str">
        <x:v>For 2023, distributed includes LV-connected plants and plants &lt;200 kW.</x:v>
      </x:c>
    </x:row>
    <x:row r="69">
      <x:c r="A69" s="83" t="str">
        <x:v>ZCAP-0065</x:v>
      </x:c>
      <x:c r="B69" s="83" t="str">
        <x:v>PNIEC_POLICY_2030</x:v>
      </x:c>
      <x:c r="C69" s="83" t="n">
        <x:v>2030</x:v>
      </x:c>
      <x:c r="D69" s="83" t="str">
        <x:v>PNIEC Policy 2030</x:v>
      </x:c>
      <x:c r="E69" s="83" t="str">
        <x:v>Sud</x:v>
      </x:c>
      <x:c r="F69" s="83" t="str">
        <x:v>Solar</x:v>
      </x:c>
      <x:c r="G69" s="83" t="str">
        <x:v>Solare utility</x:v>
      </x:c>
      <x:c r="H69" s="83" t="str">
        <x:v>Utility</x:v>
      </x:c>
      <x:c r="I69" s="143" t="n">
        <x:v>6.3</x:v>
      </x:c>
      <x:c r="J69" s="83" t="str">
        <x:v>GW</x:v>
      </x:c>
      <x:c r="K69" s="83" t="str">
        <x:v>Assunzione di scenario</x:v>
      </x:c>
      <x:c r="L69" s="83" t="str">
        <x:v>S09</x:v>
      </x:c>
      <x:c r="M69" s="83" t="str">
        <x:v>Documento_Descrizione_Scenari_2024_8dce2430d44d101.pdf</x:v>
      </x:c>
      <x:c r="N69" s="83" t="n">
        <x:v>60</x:v>
      </x:c>
      <x:c r="O69" s="83" t="n">
        <x:v>58</x:v>
      </x:c>
      <x:c r="P69" s="83" t="str">
        <x:v>Tabella 14</x:v>
      </x:c>
      <x:c r="Q69" s="83" t="str">
        <x:v>Direct table extraction; visual/text verification</x:v>
      </x:c>
      <x:c r="R69" s="83" t="str">
        <x:v>A - Direct</x:v>
      </x:c>
      <x:c r="S69" s="83" t="str">
        <x:v>Zonal p_nom input after mapping to PyPSA carrier.</x:v>
      </x:c>
      <x:c r="T69" s="83" t="str">
        <x:v>For 2023, distributed includes LV-connected plants and plants &lt;200 kW.</x:v>
      </x:c>
    </x:row>
    <x:row r="70">
      <x:c r="A70" s="83" t="str">
        <x:v>ZCAP-0066</x:v>
      </x:c>
      <x:c r="B70" s="83" t="str">
        <x:v>PNIEC_SLOW_2030</x:v>
      </x:c>
      <x:c r="C70" s="83" t="n">
        <x:v>2030</x:v>
      </x:c>
      <x:c r="D70" s="83" t="str">
        <x:v>PNIEC Slow 2030</x:v>
      </x:c>
      <x:c r="E70" s="83" t="str">
        <x:v>Sud</x:v>
      </x:c>
      <x:c r="F70" s="83" t="str">
        <x:v>Solar</x:v>
      </x:c>
      <x:c r="G70" s="83" t="str">
        <x:v>Solare utility</x:v>
      </x:c>
      <x:c r="H70" s="83" t="str">
        <x:v>Utility</x:v>
      </x:c>
      <x:c r="I70" s="143" t="n">
        <x:v>5.5</x:v>
      </x:c>
      <x:c r="J70" s="83" t="str">
        <x:v>GW</x:v>
      </x:c>
      <x:c r="K70" s="83" t="str">
        <x:v>Assunzione di scenario</x:v>
      </x:c>
      <x:c r="L70" s="83" t="str">
        <x:v>S09</x:v>
      </x:c>
      <x:c r="M70" s="83" t="str">
        <x:v>Documento_Descrizione_Scenari_2024_8dce2430d44d101.pdf</x:v>
      </x:c>
      <x:c r="N70" s="83" t="n">
        <x:v>60</x:v>
      </x:c>
      <x:c r="O70" s="83" t="n">
        <x:v>58</x:v>
      </x:c>
      <x:c r="P70" s="83" t="str">
        <x:v>Tabella 14</x:v>
      </x:c>
      <x:c r="Q70" s="83" t="str">
        <x:v>Direct table extraction; visual/text verification</x:v>
      </x:c>
      <x:c r="R70" s="83" t="str">
        <x:v>A - Direct</x:v>
      </x:c>
      <x:c r="S70" s="83" t="str">
        <x:v>Zonal p_nom input after mapping to PyPSA carrier.</x:v>
      </x:c>
      <x:c r="T70" s="83" t="str">
        <x:v>For 2023, distributed includes LV-connected plants and plants &lt;200 kW.</x:v>
      </x:c>
    </x:row>
    <x:row r="71">
      <x:c r="A71" s="83" t="str">
        <x:v>ZCAP-0067</x:v>
      </x:c>
      <x:c r="B71" s="83" t="str">
        <x:v>DE_IT_2035</x:v>
      </x:c>
      <x:c r="C71" s="83" t="n">
        <x:v>2035</x:v>
      </x:c>
      <x:c r="D71" s="83" t="str">
        <x:v>DE-IT 2035</x:v>
      </x:c>
      <x:c r="E71" s="83" t="str">
        <x:v>Sud</x:v>
      </x:c>
      <x:c r="F71" s="83" t="str">
        <x:v>Solar</x:v>
      </x:c>
      <x:c r="G71" s="83" t="str">
        <x:v>Solare utility</x:v>
      </x:c>
      <x:c r="H71" s="83" t="str">
        <x:v>Utility</x:v>
      </x:c>
      <x:c r="I71" s="143" t="n">
        <x:v>12.8</x:v>
      </x:c>
      <x:c r="J71" s="83" t="str">
        <x:v>GW</x:v>
      </x:c>
      <x:c r="K71" s="83" t="str">
        <x:v>Assunzione di scenario</x:v>
      </x:c>
      <x:c r="L71" s="83" t="str">
        <x:v>S09</x:v>
      </x:c>
      <x:c r="M71" s="83" t="str">
        <x:v>Documento_Descrizione_Scenari_2024_8dce2430d44d101.pdf</x:v>
      </x:c>
      <x:c r="N71" s="83" t="n">
        <x:v>60</x:v>
      </x:c>
      <x:c r="O71" s="83" t="n">
        <x:v>58</x:v>
      </x:c>
      <x:c r="P71" s="83" t="str">
        <x:v>Tabella 14</x:v>
      </x:c>
      <x:c r="Q71" s="83" t="str">
        <x:v>Direct table extraction; visual/text verification</x:v>
      </x:c>
      <x:c r="R71" s="83" t="str">
        <x:v>A - Direct</x:v>
      </x:c>
      <x:c r="S71" s="83" t="str">
        <x:v>Zonal p_nom input after mapping to PyPSA carrier.</x:v>
      </x:c>
      <x:c r="T71" s="83" t="str">
        <x:v>For 2023, distributed includes LV-connected plants and plants &lt;200 kW.</x:v>
      </x:c>
    </x:row>
    <x:row r="72">
      <x:c r="A72" s="83" t="str">
        <x:v>ZCAP-0068</x:v>
      </x:c>
      <x:c r="B72" s="83" t="str">
        <x:v>GA_IT_2035</x:v>
      </x:c>
      <x:c r="C72" s="83" t="n">
        <x:v>2035</x:v>
      </x:c>
      <x:c r="D72" s="83" t="str">
        <x:v>GA-IT 2035</x:v>
      </x:c>
      <x:c r="E72" s="83" t="str">
        <x:v>Sud</x:v>
      </x:c>
      <x:c r="F72" s="83" t="str">
        <x:v>Solar</x:v>
      </x:c>
      <x:c r="G72" s="83" t="str">
        <x:v>Solare utility</x:v>
      </x:c>
      <x:c r="H72" s="83" t="str">
        <x:v>Utility</x:v>
      </x:c>
      <x:c r="I72" s="143" t="n">
        <x:v>11.1</x:v>
      </x:c>
      <x:c r="J72" s="83" t="str">
        <x:v>GW</x:v>
      </x:c>
      <x:c r="K72" s="83" t="str">
        <x:v>Assunzione di scenario</x:v>
      </x:c>
      <x:c r="L72" s="83" t="str">
        <x:v>S09</x:v>
      </x:c>
      <x:c r="M72" s="83" t="str">
        <x:v>Documento_Descrizione_Scenari_2024_8dce2430d44d101.pdf</x:v>
      </x:c>
      <x:c r="N72" s="83" t="n">
        <x:v>60</x:v>
      </x:c>
      <x:c r="O72" s="83" t="n">
        <x:v>58</x:v>
      </x:c>
      <x:c r="P72" s="83" t="str">
        <x:v>Tabella 14</x:v>
      </x:c>
      <x:c r="Q72" s="83" t="str">
        <x:v>Direct table extraction; visual/text verification</x:v>
      </x:c>
      <x:c r="R72" s="83" t="str">
        <x:v>A - Direct</x:v>
      </x:c>
      <x:c r="S72" s="83" t="str">
        <x:v>Zonal p_nom input after mapping to PyPSA carrier.</x:v>
      </x:c>
      <x:c r="T72" s="83" t="str">
        <x:v>For 2023, distributed includes LV-connected plants and plants &lt;200 kW.</x:v>
      </x:c>
    </x:row>
    <x:row r="73">
      <x:c r="A73" s="83" t="str">
        <x:v>ZCAP-0069</x:v>
      </x:c>
      <x:c r="B73" s="83" t="str">
        <x:v>PNIEC_SLOW_2035</x:v>
      </x:c>
      <x:c r="C73" s="83" t="n">
        <x:v>2035</x:v>
      </x:c>
      <x:c r="D73" s="83" t="str">
        <x:v>PNIEC Slow 2035</x:v>
      </x:c>
      <x:c r="E73" s="83" t="str">
        <x:v>Sud</x:v>
      </x:c>
      <x:c r="F73" s="83" t="str">
        <x:v>Solar</x:v>
      </x:c>
      <x:c r="G73" s="83" t="str">
        <x:v>Solare utility</x:v>
      </x:c>
      <x:c r="H73" s="83" t="str">
        <x:v>Utility</x:v>
      </x:c>
      <x:c r="I73" s="143" t="n">
        <x:v>10.4</x:v>
      </x:c>
      <x:c r="J73" s="83" t="str">
        <x:v>GW</x:v>
      </x:c>
      <x:c r="K73" s="83" t="str">
        <x:v>Assunzione di scenario</x:v>
      </x:c>
      <x:c r="L73" s="83" t="str">
        <x:v>S09</x:v>
      </x:c>
      <x:c r="M73" s="83" t="str">
        <x:v>Documento_Descrizione_Scenari_2024_8dce2430d44d101.pdf</x:v>
      </x:c>
      <x:c r="N73" s="83" t="n">
        <x:v>60</x:v>
      </x:c>
      <x:c r="O73" s="83" t="n">
        <x:v>58</x:v>
      </x:c>
      <x:c r="P73" s="83" t="str">
        <x:v>Tabella 14</x:v>
      </x:c>
      <x:c r="Q73" s="83" t="str">
        <x:v>Direct table extraction; visual/text verification</x:v>
      </x:c>
      <x:c r="R73" s="83" t="str">
        <x:v>A - Direct</x:v>
      </x:c>
      <x:c r="S73" s="83" t="str">
        <x:v>Zonal p_nom input after mapping to PyPSA carrier.</x:v>
      </x:c>
      <x:c r="T73" s="83" t="str">
        <x:v>For 2023, distributed includes LV-connected plants and plants &lt;200 kW.</x:v>
      </x:c>
    </x:row>
    <x:row r="74">
      <x:c r="A74" s="83" t="str">
        <x:v>ZCAP-0070</x:v>
      </x:c>
      <x:c r="B74" s="83" t="str">
        <x:v>DE_IT_2040</x:v>
      </x:c>
      <x:c r="C74" s="83" t="n">
        <x:v>2040</x:v>
      </x:c>
      <x:c r="D74" s="83" t="str">
        <x:v>DE-IT 2040</x:v>
      </x:c>
      <x:c r="E74" s="83" t="str">
        <x:v>Sud</x:v>
      </x:c>
      <x:c r="F74" s="83" t="str">
        <x:v>Solar</x:v>
      </x:c>
      <x:c r="G74" s="83" t="str">
        <x:v>Solare utility</x:v>
      </x:c>
      <x:c r="H74" s="83" t="str">
        <x:v>Utility</x:v>
      </x:c>
      <x:c r="I74" s="143" t="n">
        <x:v>19.3</x:v>
      </x:c>
      <x:c r="J74" s="83" t="str">
        <x:v>GW</x:v>
      </x:c>
      <x:c r="K74" s="83" t="str">
        <x:v>Assunzione di scenario</x:v>
      </x:c>
      <x:c r="L74" s="83" t="str">
        <x:v>S09</x:v>
      </x:c>
      <x:c r="M74" s="83" t="str">
        <x:v>Documento_Descrizione_Scenari_2024_8dce2430d44d101.pdf</x:v>
      </x:c>
      <x:c r="N74" s="83" t="n">
        <x:v>60</x:v>
      </x:c>
      <x:c r="O74" s="83" t="n">
        <x:v>58</x:v>
      </x:c>
      <x:c r="P74" s="83" t="str">
        <x:v>Tabella 14</x:v>
      </x:c>
      <x:c r="Q74" s="83" t="str">
        <x:v>Direct table extraction; visual/text verification</x:v>
      </x:c>
      <x:c r="R74" s="83" t="str">
        <x:v>A - Direct</x:v>
      </x:c>
      <x:c r="S74" s="83" t="str">
        <x:v>Zonal p_nom input after mapping to PyPSA carrier.</x:v>
      </x:c>
      <x:c r="T74" s="83" t="str">
        <x:v>For 2023, distributed includes LV-connected plants and plants &lt;200 kW.</x:v>
      </x:c>
    </x:row>
    <x:row r="75">
      <x:c r="A75" s="83" t="str">
        <x:v>ZCAP-0071</x:v>
      </x:c>
      <x:c r="B75" s="83" t="str">
        <x:v>GA_IT_2040</x:v>
      </x:c>
      <x:c r="C75" s="83" t="n">
        <x:v>2040</x:v>
      </x:c>
      <x:c r="D75" s="83" t="str">
        <x:v>GA-IT 2040</x:v>
      </x:c>
      <x:c r="E75" s="83" t="str">
        <x:v>Sud</x:v>
      </x:c>
      <x:c r="F75" s="83" t="str">
        <x:v>Solar</x:v>
      </x:c>
      <x:c r="G75" s="83" t="str">
        <x:v>Solare utility</x:v>
      </x:c>
      <x:c r="H75" s="83" t="str">
        <x:v>Utility</x:v>
      </x:c>
      <x:c r="I75" s="143" t="n">
        <x:v>16</x:v>
      </x:c>
      <x:c r="J75" s="83" t="str">
        <x:v>GW</x:v>
      </x:c>
      <x:c r="K75" s="83" t="str">
        <x:v>Assunzione di scenario</x:v>
      </x:c>
      <x:c r="L75" s="83" t="str">
        <x:v>S09</x:v>
      </x:c>
      <x:c r="M75" s="83" t="str">
        <x:v>Documento_Descrizione_Scenari_2024_8dce2430d44d101.pdf</x:v>
      </x:c>
      <x:c r="N75" s="83" t="n">
        <x:v>60</x:v>
      </x:c>
      <x:c r="O75" s="83" t="n">
        <x:v>58</x:v>
      </x:c>
      <x:c r="P75" s="83" t="str">
        <x:v>Tabella 14</x:v>
      </x:c>
      <x:c r="Q75" s="83" t="str">
        <x:v>Direct table extraction; visual/text verification</x:v>
      </x:c>
      <x:c r="R75" s="83" t="str">
        <x:v>A - Direct</x:v>
      </x:c>
      <x:c r="S75" s="83" t="str">
        <x:v>Zonal p_nom input after mapping to PyPSA carrier.</x:v>
      </x:c>
      <x:c r="T75" s="83" t="str">
        <x:v>For 2023, distributed includes LV-connected plants and plants &lt;200 kW.</x:v>
      </x:c>
    </x:row>
    <x:row r="76">
      <x:c r="A76" s="83" t="str">
        <x:v>ZCAP-0072</x:v>
      </x:c>
      <x:c r="B76" s="83" t="str">
        <x:v>PNIEC_SLOW_2040</x:v>
      </x:c>
      <x:c r="C76" s="83" t="n">
        <x:v>2040</x:v>
      </x:c>
      <x:c r="D76" s="83" t="str">
        <x:v>PNIEC Slow 2040</x:v>
      </x:c>
      <x:c r="E76" s="83" t="str">
        <x:v>Sud</x:v>
      </x:c>
      <x:c r="F76" s="83" t="str">
        <x:v>Solar</x:v>
      </x:c>
      <x:c r="G76" s="83" t="str">
        <x:v>Solare utility</x:v>
      </x:c>
      <x:c r="H76" s="83" t="str">
        <x:v>Utility</x:v>
      </x:c>
      <x:c r="I76" s="143" t="n">
        <x:v>16</x:v>
      </x:c>
      <x:c r="J76" s="83" t="str">
        <x:v>GW</x:v>
      </x:c>
      <x:c r="K76" s="83" t="str">
        <x:v>Assunzione di scenario</x:v>
      </x:c>
      <x:c r="L76" s="83" t="str">
        <x:v>S09</x:v>
      </x:c>
      <x:c r="M76" s="83" t="str">
        <x:v>Documento_Descrizione_Scenari_2024_8dce2430d44d101.pdf</x:v>
      </x:c>
      <x:c r="N76" s="83" t="n">
        <x:v>60</x:v>
      </x:c>
      <x:c r="O76" s="83" t="n">
        <x:v>58</x:v>
      </x:c>
      <x:c r="P76" s="83" t="str">
        <x:v>Tabella 14</x:v>
      </x:c>
      <x:c r="Q76" s="83" t="str">
        <x:v>Direct table extraction; visual/text verification</x:v>
      </x:c>
      <x:c r="R76" s="83" t="str">
        <x:v>A - Direct</x:v>
      </x:c>
      <x:c r="S76" s="83" t="str">
        <x:v>Zonal p_nom input after mapping to PyPSA carrier.</x:v>
      </x:c>
      <x:c r="T76" s="83" t="str">
        <x:v>For 2023, distributed includes LV-connected plants and plants &lt;200 kW.</x:v>
      </x:c>
    </x:row>
    <x:row r="77">
      <x:c r="A77" s="83" t="str">
        <x:v>ZCAP-0073</x:v>
      </x:c>
      <x:c r="B77" s="83" t="str">
        <x:v>HIST_2023</x:v>
      </x:c>
      <x:c r="C77" s="83" t="n">
        <x:v>2023</x:v>
      </x:c>
      <x:c r="D77" s="83" t="str">
        <x:v>Storico 2023</x:v>
      </x:c>
      <x:c r="E77" s="83" t="str">
        <x:v>Calabria</x:v>
      </x:c>
      <x:c r="F77" s="83" t="str">
        <x:v>Solar</x:v>
      </x:c>
      <x:c r="G77" s="83" t="str">
        <x:v>Solare distribuito</x:v>
      </x:c>
      <x:c r="H77" s="83" t="str">
        <x:v>Distribuito</x:v>
      </x:c>
      <x:c r="I77" s="143" t="n">
        <x:v>0.3</x:v>
      </x:c>
      <x:c r="J77" s="83" t="str">
        <x:v>GW</x:v>
      </x:c>
      <x:c r="K77" s="83" t="str">
        <x:v>Dato osservato storico</x:v>
      </x:c>
      <x:c r="L77" s="83" t="str">
        <x:v>S09</x:v>
      </x:c>
      <x:c r="M77" s="83" t="str">
        <x:v>Documento_Descrizione_Scenari_2024_8dce2430d44d101.pdf</x:v>
      </x:c>
      <x:c r="N77" s="83" t="n">
        <x:v>60</x:v>
      </x:c>
      <x:c r="O77" s="83" t="n">
        <x:v>58</x:v>
      </x:c>
      <x:c r="P77" s="83" t="str">
        <x:v>Tabella 14</x:v>
      </x:c>
      <x:c r="Q77" s="83" t="str">
        <x:v>Direct table extraction; visual/text verification</x:v>
      </x:c>
      <x:c r="R77" s="83" t="str">
        <x:v>A - Direct</x:v>
      </x:c>
      <x:c r="S77" s="83" t="str">
        <x:v>Zonal p_nom input after mapping to PyPSA carrier.</x:v>
      </x:c>
      <x:c r="T77" s="83" t="str">
        <x:v>For 2023, distributed includes LV-connected plants and plants &lt;200 kW.</x:v>
      </x:c>
    </x:row>
    <x:row r="78">
      <x:c r="A78" s="83" t="str">
        <x:v>ZCAP-0074</x:v>
      </x:c>
      <x:c r="B78" s="83" t="str">
        <x:v>PNIEC_POLICY_2030</x:v>
      </x:c>
      <x:c r="C78" s="83" t="n">
        <x:v>2030</x:v>
      </x:c>
      <x:c r="D78" s="83" t="str">
        <x:v>PNIEC Policy 2030</x:v>
      </x:c>
      <x:c r="E78" s="83" t="str">
        <x:v>Calabria</x:v>
      </x:c>
      <x:c r="F78" s="83" t="str">
        <x:v>Solar</x:v>
      </x:c>
      <x:c r="G78" s="83" t="str">
        <x:v>Solare distribuito</x:v>
      </x:c>
      <x:c r="H78" s="83" t="str">
        <x:v>Distribuito</x:v>
      </x:c>
      <x:c r="I78" s="143" t="n">
        <x:v>0.8</x:v>
      </x:c>
      <x:c r="J78" s="83" t="str">
        <x:v>GW</x:v>
      </x:c>
      <x:c r="K78" s="83" t="str">
        <x:v>Assunzione di scenario</x:v>
      </x:c>
      <x:c r="L78" s="83" t="str">
        <x:v>S09</x:v>
      </x:c>
      <x:c r="M78" s="83" t="str">
        <x:v>Documento_Descrizione_Scenari_2024_8dce2430d44d101.pdf</x:v>
      </x:c>
      <x:c r="N78" s="83" t="n">
        <x:v>60</x:v>
      </x:c>
      <x:c r="O78" s="83" t="n">
        <x:v>58</x:v>
      </x:c>
      <x:c r="P78" s="83" t="str">
        <x:v>Tabella 14</x:v>
      </x:c>
      <x:c r="Q78" s="83" t="str">
        <x:v>Direct table extraction; visual/text verification</x:v>
      </x:c>
      <x:c r="R78" s="83" t="str">
        <x:v>A - Direct</x:v>
      </x:c>
      <x:c r="S78" s="83" t="str">
        <x:v>Zonal p_nom input after mapping to PyPSA carrier.</x:v>
      </x:c>
      <x:c r="T78" s="83" t="str">
        <x:v>For 2023, distributed includes LV-connected plants and plants &lt;200 kW.</x:v>
      </x:c>
    </x:row>
    <x:row r="79">
      <x:c r="A79" s="83" t="str">
        <x:v>ZCAP-0075</x:v>
      </x:c>
      <x:c r="B79" s="83" t="str">
        <x:v>PNIEC_SLOW_2030</x:v>
      </x:c>
      <x:c r="C79" s="83" t="n">
        <x:v>2030</x:v>
      </x:c>
      <x:c r="D79" s="83" t="str">
        <x:v>PNIEC Slow 2030</x:v>
      </x:c>
      <x:c r="E79" s="83" t="str">
        <x:v>Calabria</x:v>
      </x:c>
      <x:c r="F79" s="83" t="str">
        <x:v>Solar</x:v>
      </x:c>
      <x:c r="G79" s="83" t="str">
        <x:v>Solare distribuito</x:v>
      </x:c>
      <x:c r="H79" s="83" t="str">
        <x:v>Distribuito</x:v>
      </x:c>
      <x:c r="I79" s="143" t="n">
        <x:v>0.8</x:v>
      </x:c>
      <x:c r="J79" s="83" t="str">
        <x:v>GW</x:v>
      </x:c>
      <x:c r="K79" s="83" t="str">
        <x:v>Assunzione di scenario</x:v>
      </x:c>
      <x:c r="L79" s="83" t="str">
        <x:v>S09</x:v>
      </x:c>
      <x:c r="M79" s="83" t="str">
        <x:v>Documento_Descrizione_Scenari_2024_8dce2430d44d101.pdf</x:v>
      </x:c>
      <x:c r="N79" s="83" t="n">
        <x:v>60</x:v>
      </x:c>
      <x:c r="O79" s="83" t="n">
        <x:v>58</x:v>
      </x:c>
      <x:c r="P79" s="83" t="str">
        <x:v>Tabella 14</x:v>
      </x:c>
      <x:c r="Q79" s="83" t="str">
        <x:v>Direct table extraction; visual/text verification</x:v>
      </x:c>
      <x:c r="R79" s="83" t="str">
        <x:v>A - Direct</x:v>
      </x:c>
      <x:c r="S79" s="83" t="str">
        <x:v>Zonal p_nom input after mapping to PyPSA carrier.</x:v>
      </x:c>
      <x:c r="T79" s="83" t="str">
        <x:v>For 2023, distributed includes LV-connected plants and plants &lt;200 kW.</x:v>
      </x:c>
    </x:row>
    <x:row r="80">
      <x:c r="A80" s="83" t="str">
        <x:v>ZCAP-0076</x:v>
      </x:c>
      <x:c r="B80" s="83" t="str">
        <x:v>DE_IT_2035</x:v>
      </x:c>
      <x:c r="C80" s="83" t="n">
        <x:v>2035</x:v>
      </x:c>
      <x:c r="D80" s="83" t="str">
        <x:v>DE-IT 2035</x:v>
      </x:c>
      <x:c r="E80" s="83" t="str">
        <x:v>Calabria</x:v>
      </x:c>
      <x:c r="F80" s="83" t="str">
        <x:v>Solar</x:v>
      </x:c>
      <x:c r="G80" s="83" t="str">
        <x:v>Solare distribuito</x:v>
      </x:c>
      <x:c r="H80" s="83" t="str">
        <x:v>Distribuito</x:v>
      </x:c>
      <x:c r="I80" s="143" t="n">
        <x:v>1</x:v>
      </x:c>
      <x:c r="J80" s="83" t="str">
        <x:v>GW</x:v>
      </x:c>
      <x:c r="K80" s="83" t="str">
        <x:v>Assunzione di scenario</x:v>
      </x:c>
      <x:c r="L80" s="83" t="str">
        <x:v>S09</x:v>
      </x:c>
      <x:c r="M80" s="83" t="str">
        <x:v>Documento_Descrizione_Scenari_2024_8dce2430d44d101.pdf</x:v>
      </x:c>
      <x:c r="N80" s="83" t="n">
        <x:v>60</x:v>
      </x:c>
      <x:c r="O80" s="83" t="n">
        <x:v>58</x:v>
      </x:c>
      <x:c r="P80" s="83" t="str">
        <x:v>Tabella 14</x:v>
      </x:c>
      <x:c r="Q80" s="83" t="str">
        <x:v>Direct table extraction; visual/text verification</x:v>
      </x:c>
      <x:c r="R80" s="83" t="str">
        <x:v>A - Direct</x:v>
      </x:c>
      <x:c r="S80" s="83" t="str">
        <x:v>Zonal p_nom input after mapping to PyPSA carrier.</x:v>
      </x:c>
      <x:c r="T80" s="83" t="str">
        <x:v>For 2023, distributed includes LV-connected plants and plants &lt;200 kW.</x:v>
      </x:c>
    </x:row>
    <x:row r="81">
      <x:c r="A81" s="83" t="str">
        <x:v>ZCAP-0077</x:v>
      </x:c>
      <x:c r="B81" s="83" t="str">
        <x:v>GA_IT_2035</x:v>
      </x:c>
      <x:c r="C81" s="83" t="n">
        <x:v>2035</x:v>
      </x:c>
      <x:c r="D81" s="83" t="str">
        <x:v>GA-IT 2035</x:v>
      </x:c>
      <x:c r="E81" s="83" t="str">
        <x:v>Calabria</x:v>
      </x:c>
      <x:c r="F81" s="83" t="str">
        <x:v>Solar</x:v>
      </x:c>
      <x:c r="G81" s="83" t="str">
        <x:v>Solare distribuito</x:v>
      </x:c>
      <x:c r="H81" s="83" t="str">
        <x:v>Distribuito</x:v>
      </x:c>
      <x:c r="I81" s="143" t="n">
        <x:v>1.1</x:v>
      </x:c>
      <x:c r="J81" s="83" t="str">
        <x:v>GW</x:v>
      </x:c>
      <x:c r="K81" s="83" t="str">
        <x:v>Assunzione di scenario</x:v>
      </x:c>
      <x:c r="L81" s="83" t="str">
        <x:v>S09</x:v>
      </x:c>
      <x:c r="M81" s="83" t="str">
        <x:v>Documento_Descrizione_Scenari_2024_8dce2430d44d101.pdf</x:v>
      </x:c>
      <x:c r="N81" s="83" t="n">
        <x:v>60</x:v>
      </x:c>
      <x:c r="O81" s="83" t="n">
        <x:v>58</x:v>
      </x:c>
      <x:c r="P81" s="83" t="str">
        <x:v>Tabella 14</x:v>
      </x:c>
      <x:c r="Q81" s="83" t="str">
        <x:v>Direct table extraction; visual/text verification</x:v>
      </x:c>
      <x:c r="R81" s="83" t="str">
        <x:v>A - Direct</x:v>
      </x:c>
      <x:c r="S81" s="83" t="str">
        <x:v>Zonal p_nom input after mapping to PyPSA carrier.</x:v>
      </x:c>
      <x:c r="T81" s="83" t="str">
        <x:v>For 2023, distributed includes LV-connected plants and plants &lt;200 kW.</x:v>
      </x:c>
    </x:row>
    <x:row r="82">
      <x:c r="A82" s="83" t="str">
        <x:v>ZCAP-0078</x:v>
      </x:c>
      <x:c r="B82" s="83" t="str">
        <x:v>PNIEC_SLOW_2035</x:v>
      </x:c>
      <x:c r="C82" s="83" t="n">
        <x:v>2035</x:v>
      </x:c>
      <x:c r="D82" s="83" t="str">
        <x:v>PNIEC Slow 2035</x:v>
      </x:c>
      <x:c r="E82" s="83" t="str">
        <x:v>Calabria</x:v>
      </x:c>
      <x:c r="F82" s="83" t="str">
        <x:v>Solar</x:v>
      </x:c>
      <x:c r="G82" s="83" t="str">
        <x:v>Solare distribuito</x:v>
      </x:c>
      <x:c r="H82" s="83" t="str">
        <x:v>Distribuito</x:v>
      </x:c>
      <x:c r="I82" s="143" t="n">
        <x:v>1</x:v>
      </x:c>
      <x:c r="J82" s="83" t="str">
        <x:v>GW</x:v>
      </x:c>
      <x:c r="K82" s="83" t="str">
        <x:v>Assunzione di scenario</x:v>
      </x:c>
      <x:c r="L82" s="83" t="str">
        <x:v>S09</x:v>
      </x:c>
      <x:c r="M82" s="83" t="str">
        <x:v>Documento_Descrizione_Scenari_2024_8dce2430d44d101.pdf</x:v>
      </x:c>
      <x:c r="N82" s="83" t="n">
        <x:v>60</x:v>
      </x:c>
      <x:c r="O82" s="83" t="n">
        <x:v>58</x:v>
      </x:c>
      <x:c r="P82" s="83" t="str">
        <x:v>Tabella 14</x:v>
      </x:c>
      <x:c r="Q82" s="83" t="str">
        <x:v>Direct table extraction; visual/text verification</x:v>
      </x:c>
      <x:c r="R82" s="83" t="str">
        <x:v>A - Direct</x:v>
      </x:c>
      <x:c r="S82" s="83" t="str">
        <x:v>Zonal p_nom input after mapping to PyPSA carrier.</x:v>
      </x:c>
      <x:c r="T82" s="83" t="str">
        <x:v>For 2023, distributed includes LV-connected plants and plants &lt;200 kW.</x:v>
      </x:c>
    </x:row>
    <x:row r="83">
      <x:c r="A83" s="83" t="str">
        <x:v>ZCAP-0079</x:v>
      </x:c>
      <x:c r="B83" s="83" t="str">
        <x:v>DE_IT_2040</x:v>
      </x:c>
      <x:c r="C83" s="83" t="n">
        <x:v>2040</x:v>
      </x:c>
      <x:c r="D83" s="83" t="str">
        <x:v>DE-IT 2040</x:v>
      </x:c>
      <x:c r="E83" s="83" t="str">
        <x:v>Calabria</x:v>
      </x:c>
      <x:c r="F83" s="83" t="str">
        <x:v>Solar</x:v>
      </x:c>
      <x:c r="G83" s="83" t="str">
        <x:v>Solare distribuito</x:v>
      </x:c>
      <x:c r="H83" s="83" t="str">
        <x:v>Distribuito</x:v>
      </x:c>
      <x:c r="I83" s="143" t="n">
        <x:v>1.1</x:v>
      </x:c>
      <x:c r="J83" s="83" t="str">
        <x:v>GW</x:v>
      </x:c>
      <x:c r="K83" s="83" t="str">
        <x:v>Assunzione di scenario</x:v>
      </x:c>
      <x:c r="L83" s="83" t="str">
        <x:v>S09</x:v>
      </x:c>
      <x:c r="M83" s="83" t="str">
        <x:v>Documento_Descrizione_Scenari_2024_8dce2430d44d101.pdf</x:v>
      </x:c>
      <x:c r="N83" s="83" t="n">
        <x:v>60</x:v>
      </x:c>
      <x:c r="O83" s="83" t="n">
        <x:v>58</x:v>
      </x:c>
      <x:c r="P83" s="83" t="str">
        <x:v>Tabella 14</x:v>
      </x:c>
      <x:c r="Q83" s="83" t="str">
        <x:v>Direct table extraction; visual/text verification</x:v>
      </x:c>
      <x:c r="R83" s="83" t="str">
        <x:v>A - Direct</x:v>
      </x:c>
      <x:c r="S83" s="83" t="str">
        <x:v>Zonal p_nom input after mapping to PyPSA carrier.</x:v>
      </x:c>
      <x:c r="T83" s="83" t="str">
        <x:v>For 2023, distributed includes LV-connected plants and plants &lt;200 kW.</x:v>
      </x:c>
    </x:row>
    <x:row r="84">
      <x:c r="A84" s="83" t="str">
        <x:v>ZCAP-0080</x:v>
      </x:c>
      <x:c r="B84" s="83" t="str">
        <x:v>GA_IT_2040</x:v>
      </x:c>
      <x:c r="C84" s="83" t="n">
        <x:v>2040</x:v>
      </x:c>
      <x:c r="D84" s="83" t="str">
        <x:v>GA-IT 2040</x:v>
      </x:c>
      <x:c r="E84" s="83" t="str">
        <x:v>Calabria</x:v>
      </x:c>
      <x:c r="F84" s="83" t="str">
        <x:v>Solar</x:v>
      </x:c>
      <x:c r="G84" s="83" t="str">
        <x:v>Solare distribuito</x:v>
      </x:c>
      <x:c r="H84" s="83" t="str">
        <x:v>Distribuito</x:v>
      </x:c>
      <x:c r="I84" s="143" t="n">
        <x:v>1.2</x:v>
      </x:c>
      <x:c r="J84" s="83" t="str">
        <x:v>GW</x:v>
      </x:c>
      <x:c r="K84" s="83" t="str">
        <x:v>Assunzione di scenario</x:v>
      </x:c>
      <x:c r="L84" s="83" t="str">
        <x:v>S09</x:v>
      </x:c>
      <x:c r="M84" s="83" t="str">
        <x:v>Documento_Descrizione_Scenari_2024_8dce2430d44d101.pdf</x:v>
      </x:c>
      <x:c r="N84" s="83" t="n">
        <x:v>60</x:v>
      </x:c>
      <x:c r="O84" s="83" t="n">
        <x:v>58</x:v>
      </x:c>
      <x:c r="P84" s="83" t="str">
        <x:v>Tabella 14</x:v>
      </x:c>
      <x:c r="Q84" s="83" t="str">
        <x:v>Direct table extraction; visual/text verification</x:v>
      </x:c>
      <x:c r="R84" s="83" t="str">
        <x:v>A - Direct</x:v>
      </x:c>
      <x:c r="S84" s="83" t="str">
        <x:v>Zonal p_nom input after mapping to PyPSA carrier.</x:v>
      </x:c>
      <x:c r="T84" s="83" t="str">
        <x:v>For 2023, distributed includes LV-connected plants and plants &lt;200 kW.</x:v>
      </x:c>
    </x:row>
    <x:row r="85">
      <x:c r="A85" s="83" t="str">
        <x:v>ZCAP-0081</x:v>
      </x:c>
      <x:c r="B85" s="83" t="str">
        <x:v>PNIEC_SLOW_2040</x:v>
      </x:c>
      <x:c r="C85" s="83" t="n">
        <x:v>2040</x:v>
      </x:c>
      <x:c r="D85" s="83" t="str">
        <x:v>PNIEC Slow 2040</x:v>
      </x:c>
      <x:c r="E85" s="83" t="str">
        <x:v>Calabria</x:v>
      </x:c>
      <x:c r="F85" s="83" t="str">
        <x:v>Solar</x:v>
      </x:c>
      <x:c r="G85" s="83" t="str">
        <x:v>Solare distribuito</x:v>
      </x:c>
      <x:c r="H85" s="83" t="str">
        <x:v>Distribuito</x:v>
      </x:c>
      <x:c r="I85" s="143" t="n">
        <x:v>1.1</x:v>
      </x:c>
      <x:c r="J85" s="83" t="str">
        <x:v>GW</x:v>
      </x:c>
      <x:c r="K85" s="83" t="str">
        <x:v>Assunzione di scenario</x:v>
      </x:c>
      <x:c r="L85" s="83" t="str">
        <x:v>S09</x:v>
      </x:c>
      <x:c r="M85" s="83" t="str">
        <x:v>Documento_Descrizione_Scenari_2024_8dce2430d44d101.pdf</x:v>
      </x:c>
      <x:c r="N85" s="83" t="n">
        <x:v>60</x:v>
      </x:c>
      <x:c r="O85" s="83" t="n">
        <x:v>58</x:v>
      </x:c>
      <x:c r="P85" s="83" t="str">
        <x:v>Tabella 14</x:v>
      </x:c>
      <x:c r="Q85" s="83" t="str">
        <x:v>Direct table extraction; visual/text verification</x:v>
      </x:c>
      <x:c r="R85" s="83" t="str">
        <x:v>A - Direct</x:v>
      </x:c>
      <x:c r="S85" s="83" t="str">
        <x:v>Zonal p_nom input after mapping to PyPSA carrier.</x:v>
      </x:c>
      <x:c r="T85" s="83" t="str">
        <x:v>For 2023, distributed includes LV-connected plants and plants &lt;200 kW.</x:v>
      </x:c>
    </x:row>
    <x:row r="86">
      <x:c r="A86" s="83" t="str">
        <x:v>ZCAP-0082</x:v>
      </x:c>
      <x:c r="B86" s="83" t="str">
        <x:v>HIST_2023</x:v>
      </x:c>
      <x:c r="C86" s="83" t="n">
        <x:v>2023</x:v>
      </x:c>
      <x:c r="D86" s="83" t="str">
        <x:v>Storico 2023</x:v>
      </x:c>
      <x:c r="E86" s="83" t="str">
        <x:v>Calabria</x:v>
      </x:c>
      <x:c r="F86" s="83" t="str">
        <x:v>Solar</x:v>
      </x:c>
      <x:c r="G86" s="83" t="str">
        <x:v>Solare utility</x:v>
      </x:c>
      <x:c r="H86" s="83" t="str">
        <x:v>Utility</x:v>
      </x:c>
      <x:c r="I86" s="143" t="n">
        <x:v>0.4</x:v>
      </x:c>
      <x:c r="J86" s="83" t="str">
        <x:v>GW</x:v>
      </x:c>
      <x:c r="K86" s="83" t="str">
        <x:v>Dato osservato storico</x:v>
      </x:c>
      <x:c r="L86" s="83" t="str">
        <x:v>S09</x:v>
      </x:c>
      <x:c r="M86" s="83" t="str">
        <x:v>Documento_Descrizione_Scenari_2024_8dce2430d44d101.pdf</x:v>
      </x:c>
      <x:c r="N86" s="83" t="n">
        <x:v>60</x:v>
      </x:c>
      <x:c r="O86" s="83" t="n">
        <x:v>58</x:v>
      </x:c>
      <x:c r="P86" s="83" t="str">
        <x:v>Tabella 14</x:v>
      </x:c>
      <x:c r="Q86" s="83" t="str">
        <x:v>Direct table extraction; visual/text verification</x:v>
      </x:c>
      <x:c r="R86" s="83" t="str">
        <x:v>A - Direct</x:v>
      </x:c>
      <x:c r="S86" s="83" t="str">
        <x:v>Zonal p_nom input after mapping to PyPSA carrier.</x:v>
      </x:c>
      <x:c r="T86" s="83" t="str">
        <x:v>For 2023, distributed includes LV-connected plants and plants &lt;200 kW.</x:v>
      </x:c>
    </x:row>
    <x:row r="87">
      <x:c r="A87" s="83" t="str">
        <x:v>ZCAP-0083</x:v>
      </x:c>
      <x:c r="B87" s="83" t="str">
        <x:v>PNIEC_POLICY_2030</x:v>
      </x:c>
      <x:c r="C87" s="83" t="n">
        <x:v>2030</x:v>
      </x:c>
      <x:c r="D87" s="83" t="str">
        <x:v>PNIEC Policy 2030</x:v>
      </x:c>
      <x:c r="E87" s="83" t="str">
        <x:v>Calabria</x:v>
      </x:c>
      <x:c r="F87" s="83" t="str">
        <x:v>Solar</x:v>
      </x:c>
      <x:c r="G87" s="83" t="str">
        <x:v>Solare utility</x:v>
      </x:c>
      <x:c r="H87" s="83" t="str">
        <x:v>Utility</x:v>
      </x:c>
      <x:c r="I87" s="143" t="n">
        <x:v>1.6</x:v>
      </x:c>
      <x:c r="J87" s="83" t="str">
        <x:v>GW</x:v>
      </x:c>
      <x:c r="K87" s="83" t="str">
        <x:v>Assunzione di scenario</x:v>
      </x:c>
      <x:c r="L87" s="83" t="str">
        <x:v>S09</x:v>
      </x:c>
      <x:c r="M87" s="83" t="str">
        <x:v>Documento_Descrizione_Scenari_2024_8dce2430d44d101.pdf</x:v>
      </x:c>
      <x:c r="N87" s="83" t="n">
        <x:v>60</x:v>
      </x:c>
      <x:c r="O87" s="83" t="n">
        <x:v>58</x:v>
      </x:c>
      <x:c r="P87" s="83" t="str">
        <x:v>Tabella 14</x:v>
      </x:c>
      <x:c r="Q87" s="83" t="str">
        <x:v>Direct table extraction; visual/text verification</x:v>
      </x:c>
      <x:c r="R87" s="83" t="str">
        <x:v>A - Direct</x:v>
      </x:c>
      <x:c r="S87" s="83" t="str">
        <x:v>Zonal p_nom input after mapping to PyPSA carrier.</x:v>
      </x:c>
      <x:c r="T87" s="83" t="str">
        <x:v>For 2023, distributed includes LV-connected plants and plants &lt;200 kW.</x:v>
      </x:c>
    </x:row>
    <x:row r="88">
      <x:c r="A88" s="83" t="str">
        <x:v>ZCAP-0084</x:v>
      </x:c>
      <x:c r="B88" s="83" t="str">
        <x:v>PNIEC_SLOW_2030</x:v>
      </x:c>
      <x:c r="C88" s="83" t="n">
        <x:v>2030</x:v>
      </x:c>
      <x:c r="D88" s="83" t="str">
        <x:v>PNIEC Slow 2030</x:v>
      </x:c>
      <x:c r="E88" s="83" t="str">
        <x:v>Calabria</x:v>
      </x:c>
      <x:c r="F88" s="83" t="str">
        <x:v>Solar</x:v>
      </x:c>
      <x:c r="G88" s="83" t="str">
        <x:v>Solare utility</x:v>
      </x:c>
      <x:c r="H88" s="83" t="str">
        <x:v>Utility</x:v>
      </x:c>
      <x:c r="I88" s="143" t="n">
        <x:v>1.3</x:v>
      </x:c>
      <x:c r="J88" s="83" t="str">
        <x:v>GW</x:v>
      </x:c>
      <x:c r="K88" s="83" t="str">
        <x:v>Assunzione di scenario</x:v>
      </x:c>
      <x:c r="L88" s="83" t="str">
        <x:v>S09</x:v>
      </x:c>
      <x:c r="M88" s="83" t="str">
        <x:v>Documento_Descrizione_Scenari_2024_8dce2430d44d101.pdf</x:v>
      </x:c>
      <x:c r="N88" s="83" t="n">
        <x:v>60</x:v>
      </x:c>
      <x:c r="O88" s="83" t="n">
        <x:v>58</x:v>
      </x:c>
      <x:c r="P88" s="83" t="str">
        <x:v>Tabella 14</x:v>
      </x:c>
      <x:c r="Q88" s="83" t="str">
        <x:v>Direct table extraction; visual/text verification</x:v>
      </x:c>
      <x:c r="R88" s="83" t="str">
        <x:v>A - Direct</x:v>
      </x:c>
      <x:c r="S88" s="83" t="str">
        <x:v>Zonal p_nom input after mapping to PyPSA carrier.</x:v>
      </x:c>
      <x:c r="T88" s="83" t="str">
        <x:v>For 2023, distributed includes LV-connected plants and plants &lt;200 kW.</x:v>
      </x:c>
    </x:row>
    <x:row r="89">
      <x:c r="A89" s="83" t="str">
        <x:v>ZCAP-0085</x:v>
      </x:c>
      <x:c r="B89" s="83" t="str">
        <x:v>DE_IT_2035</x:v>
      </x:c>
      <x:c r="C89" s="83" t="n">
        <x:v>2035</x:v>
      </x:c>
      <x:c r="D89" s="83" t="str">
        <x:v>DE-IT 2035</x:v>
      </x:c>
      <x:c r="E89" s="83" t="str">
        <x:v>Calabria</x:v>
      </x:c>
      <x:c r="F89" s="83" t="str">
        <x:v>Solar</x:v>
      </x:c>
      <x:c r="G89" s="83" t="str">
        <x:v>Solare utility</x:v>
      </x:c>
      <x:c r="H89" s="83" t="str">
        <x:v>Utility</x:v>
      </x:c>
      <x:c r="I89" s="143" t="n">
        <x:v>2</x:v>
      </x:c>
      <x:c r="J89" s="83" t="str">
        <x:v>GW</x:v>
      </x:c>
      <x:c r="K89" s="83" t="str">
        <x:v>Assunzione di scenario</x:v>
      </x:c>
      <x:c r="L89" s="83" t="str">
        <x:v>S09</x:v>
      </x:c>
      <x:c r="M89" s="83" t="str">
        <x:v>Documento_Descrizione_Scenari_2024_8dce2430d44d101.pdf</x:v>
      </x:c>
      <x:c r="N89" s="83" t="n">
        <x:v>60</x:v>
      </x:c>
      <x:c r="O89" s="83" t="n">
        <x:v>58</x:v>
      </x:c>
      <x:c r="P89" s="83" t="str">
        <x:v>Tabella 14</x:v>
      </x:c>
      <x:c r="Q89" s="83" t="str">
        <x:v>Direct table extraction; visual/text verification</x:v>
      </x:c>
      <x:c r="R89" s="83" t="str">
        <x:v>A - Direct</x:v>
      </x:c>
      <x:c r="S89" s="83" t="str">
        <x:v>Zonal p_nom input after mapping to PyPSA carrier.</x:v>
      </x:c>
      <x:c r="T89" s="83" t="str">
        <x:v>For 2023, distributed includes LV-connected plants and plants &lt;200 kW.</x:v>
      </x:c>
    </x:row>
    <x:row r="90">
      <x:c r="A90" s="83" t="str">
        <x:v>ZCAP-0086</x:v>
      </x:c>
      <x:c r="B90" s="83" t="str">
        <x:v>GA_IT_2035</x:v>
      </x:c>
      <x:c r="C90" s="83" t="n">
        <x:v>2035</x:v>
      </x:c>
      <x:c r="D90" s="83" t="str">
        <x:v>GA-IT 2035</x:v>
      </x:c>
      <x:c r="E90" s="83" t="str">
        <x:v>Calabria</x:v>
      </x:c>
      <x:c r="F90" s="83" t="str">
        <x:v>Solar</x:v>
      </x:c>
      <x:c r="G90" s="83" t="str">
        <x:v>Solare utility</x:v>
      </x:c>
      <x:c r="H90" s="83" t="str">
        <x:v>Utility</x:v>
      </x:c>
      <x:c r="I90" s="143" t="n">
        <x:v>1.8</x:v>
      </x:c>
      <x:c r="J90" s="83" t="str">
        <x:v>GW</x:v>
      </x:c>
      <x:c r="K90" s="83" t="str">
        <x:v>Assunzione di scenario</x:v>
      </x:c>
      <x:c r="L90" s="83" t="str">
        <x:v>S09</x:v>
      </x:c>
      <x:c r="M90" s="83" t="str">
        <x:v>Documento_Descrizione_Scenari_2024_8dce2430d44d101.pdf</x:v>
      </x:c>
      <x:c r="N90" s="83" t="n">
        <x:v>60</x:v>
      </x:c>
      <x:c r="O90" s="83" t="n">
        <x:v>58</x:v>
      </x:c>
      <x:c r="P90" s="83" t="str">
        <x:v>Tabella 14</x:v>
      </x:c>
      <x:c r="Q90" s="83" t="str">
        <x:v>Direct table extraction; visual/text verification</x:v>
      </x:c>
      <x:c r="R90" s="83" t="str">
        <x:v>A - Direct</x:v>
      </x:c>
      <x:c r="S90" s="83" t="str">
        <x:v>Zonal p_nom input after mapping to PyPSA carrier.</x:v>
      </x:c>
      <x:c r="T90" s="83" t="str">
        <x:v>For 2023, distributed includes LV-connected plants and plants &lt;200 kW.</x:v>
      </x:c>
    </x:row>
    <x:row r="91">
      <x:c r="A91" s="83" t="str">
        <x:v>ZCAP-0087</x:v>
      </x:c>
      <x:c r="B91" s="83" t="str">
        <x:v>PNIEC_SLOW_2035</x:v>
      </x:c>
      <x:c r="C91" s="83" t="n">
        <x:v>2035</x:v>
      </x:c>
      <x:c r="D91" s="83" t="str">
        <x:v>PNIEC Slow 2035</x:v>
      </x:c>
      <x:c r="E91" s="83" t="str">
        <x:v>Calabria</x:v>
      </x:c>
      <x:c r="F91" s="83" t="str">
        <x:v>Solar</x:v>
      </x:c>
      <x:c r="G91" s="83" t="str">
        <x:v>Solare utility</x:v>
      </x:c>
      <x:c r="H91" s="83" t="str">
        <x:v>Utility</x:v>
      </x:c>
      <x:c r="I91" s="143" t="n">
        <x:v>1.7</x:v>
      </x:c>
      <x:c r="J91" s="83" t="str">
        <x:v>GW</x:v>
      </x:c>
      <x:c r="K91" s="83" t="str">
        <x:v>Assunzione di scenario</x:v>
      </x:c>
      <x:c r="L91" s="83" t="str">
        <x:v>S09</x:v>
      </x:c>
      <x:c r="M91" s="83" t="str">
        <x:v>Documento_Descrizione_Scenari_2024_8dce2430d44d101.pdf</x:v>
      </x:c>
      <x:c r="N91" s="83" t="n">
        <x:v>60</x:v>
      </x:c>
      <x:c r="O91" s="83" t="n">
        <x:v>58</x:v>
      </x:c>
      <x:c r="P91" s="83" t="str">
        <x:v>Tabella 14</x:v>
      </x:c>
      <x:c r="Q91" s="83" t="str">
        <x:v>Direct table extraction; visual/text verification</x:v>
      </x:c>
      <x:c r="R91" s="83" t="str">
        <x:v>A - Direct</x:v>
      </x:c>
      <x:c r="S91" s="83" t="str">
        <x:v>Zonal p_nom input after mapping to PyPSA carrier.</x:v>
      </x:c>
      <x:c r="T91" s="83" t="str">
        <x:v>For 2023, distributed includes LV-connected plants and plants &lt;200 kW.</x:v>
      </x:c>
    </x:row>
    <x:row r="92">
      <x:c r="A92" s="83" t="str">
        <x:v>ZCAP-0088</x:v>
      </x:c>
      <x:c r="B92" s="83" t="str">
        <x:v>DE_IT_2040</x:v>
      </x:c>
      <x:c r="C92" s="83" t="n">
        <x:v>2040</x:v>
      </x:c>
      <x:c r="D92" s="83" t="str">
        <x:v>DE-IT 2040</x:v>
      </x:c>
      <x:c r="E92" s="83" t="str">
        <x:v>Calabria</x:v>
      </x:c>
      <x:c r="F92" s="83" t="str">
        <x:v>Solar</x:v>
      </x:c>
      <x:c r="G92" s="83" t="str">
        <x:v>Solare utility</x:v>
      </x:c>
      <x:c r="H92" s="83" t="str">
        <x:v>Utility</x:v>
      </x:c>
      <x:c r="I92" s="143" t="n">
        <x:v>2.5</x:v>
      </x:c>
      <x:c r="J92" s="83" t="str">
        <x:v>GW</x:v>
      </x:c>
      <x:c r="K92" s="83" t="str">
        <x:v>Assunzione di scenario</x:v>
      </x:c>
      <x:c r="L92" s="83" t="str">
        <x:v>S09</x:v>
      </x:c>
      <x:c r="M92" s="83" t="str">
        <x:v>Documento_Descrizione_Scenari_2024_8dce2430d44d101.pdf</x:v>
      </x:c>
      <x:c r="N92" s="83" t="n">
        <x:v>60</x:v>
      </x:c>
      <x:c r="O92" s="83" t="n">
        <x:v>58</x:v>
      </x:c>
      <x:c r="P92" s="83" t="str">
        <x:v>Tabella 14</x:v>
      </x:c>
      <x:c r="Q92" s="83" t="str">
        <x:v>Direct table extraction; visual/text verification</x:v>
      </x:c>
      <x:c r="R92" s="83" t="str">
        <x:v>A - Direct</x:v>
      </x:c>
      <x:c r="S92" s="83" t="str">
        <x:v>Zonal p_nom input after mapping to PyPSA carrier.</x:v>
      </x:c>
      <x:c r="T92" s="83" t="str">
        <x:v>For 2023, distributed includes LV-connected plants and plants &lt;200 kW.</x:v>
      </x:c>
    </x:row>
    <x:row r="93">
      <x:c r="A93" s="83" t="str">
        <x:v>ZCAP-0089</x:v>
      </x:c>
      <x:c r="B93" s="83" t="str">
        <x:v>GA_IT_2040</x:v>
      </x:c>
      <x:c r="C93" s="83" t="n">
        <x:v>2040</x:v>
      </x:c>
      <x:c r="D93" s="83" t="str">
        <x:v>GA-IT 2040</x:v>
      </x:c>
      <x:c r="E93" s="83" t="str">
        <x:v>Calabria</x:v>
      </x:c>
      <x:c r="F93" s="83" t="str">
        <x:v>Solar</x:v>
      </x:c>
      <x:c r="G93" s="83" t="str">
        <x:v>Solare utility</x:v>
      </x:c>
      <x:c r="H93" s="83" t="str">
        <x:v>Utility</x:v>
      </x:c>
      <x:c r="I93" s="143" t="n">
        <x:v>2.2</x:v>
      </x:c>
      <x:c r="J93" s="83" t="str">
        <x:v>GW</x:v>
      </x:c>
      <x:c r="K93" s="83" t="str">
        <x:v>Assunzione di scenario</x:v>
      </x:c>
      <x:c r="L93" s="83" t="str">
        <x:v>S09</x:v>
      </x:c>
      <x:c r="M93" s="83" t="str">
        <x:v>Documento_Descrizione_Scenari_2024_8dce2430d44d101.pdf</x:v>
      </x:c>
      <x:c r="N93" s="83" t="n">
        <x:v>60</x:v>
      </x:c>
      <x:c r="O93" s="83" t="n">
        <x:v>58</x:v>
      </x:c>
      <x:c r="P93" s="83" t="str">
        <x:v>Tabella 14</x:v>
      </x:c>
      <x:c r="Q93" s="83" t="str">
        <x:v>Direct table extraction; visual/text verification</x:v>
      </x:c>
      <x:c r="R93" s="83" t="str">
        <x:v>A - Direct</x:v>
      </x:c>
      <x:c r="S93" s="83" t="str">
        <x:v>Zonal p_nom input after mapping to PyPSA carrier.</x:v>
      </x:c>
      <x:c r="T93" s="83" t="str">
        <x:v>For 2023, distributed includes LV-connected plants and plants &lt;200 kW.</x:v>
      </x:c>
    </x:row>
    <x:row r="94">
      <x:c r="A94" s="83" t="str">
        <x:v>ZCAP-0090</x:v>
      </x:c>
      <x:c r="B94" s="83" t="str">
        <x:v>PNIEC_SLOW_2040</x:v>
      </x:c>
      <x:c r="C94" s="83" t="n">
        <x:v>2040</x:v>
      </x:c>
      <x:c r="D94" s="83" t="str">
        <x:v>PNIEC Slow 2040</x:v>
      </x:c>
      <x:c r="E94" s="83" t="str">
        <x:v>Calabria</x:v>
      </x:c>
      <x:c r="F94" s="83" t="str">
        <x:v>Solar</x:v>
      </x:c>
      <x:c r="G94" s="83" t="str">
        <x:v>Solare utility</x:v>
      </x:c>
      <x:c r="H94" s="83" t="str">
        <x:v>Utility</x:v>
      </x:c>
      <x:c r="I94" s="143" t="n">
        <x:v>2.2</x:v>
      </x:c>
      <x:c r="J94" s="83" t="str">
        <x:v>GW</x:v>
      </x:c>
      <x:c r="K94" s="83" t="str">
        <x:v>Assunzione di scenario</x:v>
      </x:c>
      <x:c r="L94" s="83" t="str">
        <x:v>S09</x:v>
      </x:c>
      <x:c r="M94" s="83" t="str">
        <x:v>Documento_Descrizione_Scenari_2024_8dce2430d44d101.pdf</x:v>
      </x:c>
      <x:c r="N94" s="83" t="n">
        <x:v>60</x:v>
      </x:c>
      <x:c r="O94" s="83" t="n">
        <x:v>58</x:v>
      </x:c>
      <x:c r="P94" s="83" t="str">
        <x:v>Tabella 14</x:v>
      </x:c>
      <x:c r="Q94" s="83" t="str">
        <x:v>Direct table extraction; visual/text verification</x:v>
      </x:c>
      <x:c r="R94" s="83" t="str">
        <x:v>A - Direct</x:v>
      </x:c>
      <x:c r="S94" s="83" t="str">
        <x:v>Zonal p_nom input after mapping to PyPSA carrier.</x:v>
      </x:c>
      <x:c r="T94" s="83" t="str">
        <x:v>For 2023, distributed includes LV-connected plants and plants &lt;200 kW.</x:v>
      </x:c>
    </x:row>
    <x:row r="95">
      <x:c r="A95" s="83" t="str">
        <x:v>ZCAP-0091</x:v>
      </x:c>
      <x:c r="B95" s="83" t="str">
        <x:v>HIST_2023</x:v>
      </x:c>
      <x:c r="C95" s="83" t="n">
        <x:v>2023</x:v>
      </x:c>
      <x:c r="D95" s="83" t="str">
        <x:v>Storico 2023</x:v>
      </x:c>
      <x:c r="E95" s="83" t="str">
        <x:v>Sicilia</x:v>
      </x:c>
      <x:c r="F95" s="83" t="str">
        <x:v>Solar</x:v>
      </x:c>
      <x:c r="G95" s="83" t="str">
        <x:v>Solare distribuito</x:v>
      </x:c>
      <x:c r="H95" s="83" t="str">
        <x:v>Distribuito</x:v>
      </x:c>
      <x:c r="I95" s="143" t="n">
        <x:v>0.6</x:v>
      </x:c>
      <x:c r="J95" s="83" t="str">
        <x:v>GW</x:v>
      </x:c>
      <x:c r="K95" s="83" t="str">
        <x:v>Dato osservato storico</x:v>
      </x:c>
      <x:c r="L95" s="83" t="str">
        <x:v>S09</x:v>
      </x:c>
      <x:c r="M95" s="83" t="str">
        <x:v>Documento_Descrizione_Scenari_2024_8dce2430d44d101.pdf</x:v>
      </x:c>
      <x:c r="N95" s="83" t="n">
        <x:v>60</x:v>
      </x:c>
      <x:c r="O95" s="83" t="n">
        <x:v>58</x:v>
      </x:c>
      <x:c r="P95" s="83" t="str">
        <x:v>Tabella 14</x:v>
      </x:c>
      <x:c r="Q95" s="83" t="str">
        <x:v>Direct table extraction; visual/text verification</x:v>
      </x:c>
      <x:c r="R95" s="83" t="str">
        <x:v>A - Direct</x:v>
      </x:c>
      <x:c r="S95" s="83" t="str">
        <x:v>Zonal p_nom input after mapping to PyPSA carrier.</x:v>
      </x:c>
      <x:c r="T95" s="83" t="str">
        <x:v>For 2023, distributed includes LV-connected plants and plants &lt;200 kW.</x:v>
      </x:c>
    </x:row>
    <x:row r="96">
      <x:c r="A96" s="83" t="str">
        <x:v>ZCAP-0092</x:v>
      </x:c>
      <x:c r="B96" s="83" t="str">
        <x:v>PNIEC_POLICY_2030</x:v>
      </x:c>
      <x:c r="C96" s="83" t="n">
        <x:v>2030</x:v>
      </x:c>
      <x:c r="D96" s="83" t="str">
        <x:v>PNIEC Policy 2030</x:v>
      </x:c>
      <x:c r="E96" s="83" t="str">
        <x:v>Sicilia</x:v>
      </x:c>
      <x:c r="F96" s="83" t="str">
        <x:v>Solar</x:v>
      </x:c>
      <x:c r="G96" s="83" t="str">
        <x:v>Solare distribuito</x:v>
      </x:c>
      <x:c r="H96" s="83" t="str">
        <x:v>Distribuito</x:v>
      </x:c>
      <x:c r="I96" s="143" t="n">
        <x:v>2.1</x:v>
      </x:c>
      <x:c r="J96" s="83" t="str">
        <x:v>GW</x:v>
      </x:c>
      <x:c r="K96" s="83" t="str">
        <x:v>Assunzione di scenario</x:v>
      </x:c>
      <x:c r="L96" s="83" t="str">
        <x:v>S09</x:v>
      </x:c>
      <x:c r="M96" s="83" t="str">
        <x:v>Documento_Descrizione_Scenari_2024_8dce2430d44d101.pdf</x:v>
      </x:c>
      <x:c r="N96" s="83" t="n">
        <x:v>60</x:v>
      </x:c>
      <x:c r="O96" s="83" t="n">
        <x:v>58</x:v>
      </x:c>
      <x:c r="P96" s="83" t="str">
        <x:v>Tabella 14</x:v>
      </x:c>
      <x:c r="Q96" s="83" t="str">
        <x:v>Direct table extraction; visual/text verification</x:v>
      </x:c>
      <x:c r="R96" s="83" t="str">
        <x:v>A - Direct</x:v>
      </x:c>
      <x:c r="S96" s="83" t="str">
        <x:v>Zonal p_nom input after mapping to PyPSA carrier.</x:v>
      </x:c>
      <x:c r="T96" s="83" t="str">
        <x:v>For 2023, distributed includes LV-connected plants and plants &lt;200 kW.</x:v>
      </x:c>
    </x:row>
    <x:row r="97">
      <x:c r="A97" s="83" t="str">
        <x:v>ZCAP-0093</x:v>
      </x:c>
      <x:c r="B97" s="83" t="str">
        <x:v>PNIEC_SLOW_2030</x:v>
      </x:c>
      <x:c r="C97" s="83" t="n">
        <x:v>2030</x:v>
      </x:c>
      <x:c r="D97" s="83" t="str">
        <x:v>PNIEC Slow 2030</x:v>
      </x:c>
      <x:c r="E97" s="83" t="str">
        <x:v>Sicilia</x:v>
      </x:c>
      <x:c r="F97" s="83" t="str">
        <x:v>Solar</x:v>
      </x:c>
      <x:c r="G97" s="83" t="str">
        <x:v>Solare distribuito</x:v>
      </x:c>
      <x:c r="H97" s="83" t="str">
        <x:v>Distribuito</x:v>
      </x:c>
      <x:c r="I97" s="143" t="n">
        <x:v>2.1</x:v>
      </x:c>
      <x:c r="J97" s="83" t="str">
        <x:v>GW</x:v>
      </x:c>
      <x:c r="K97" s="83" t="str">
        <x:v>Assunzione di scenario</x:v>
      </x:c>
      <x:c r="L97" s="83" t="str">
        <x:v>S09</x:v>
      </x:c>
      <x:c r="M97" s="83" t="str">
        <x:v>Documento_Descrizione_Scenari_2024_8dce2430d44d101.pdf</x:v>
      </x:c>
      <x:c r="N97" s="83" t="n">
        <x:v>60</x:v>
      </x:c>
      <x:c r="O97" s="83" t="n">
        <x:v>58</x:v>
      </x:c>
      <x:c r="P97" s="83" t="str">
        <x:v>Tabella 14</x:v>
      </x:c>
      <x:c r="Q97" s="83" t="str">
        <x:v>Direct table extraction; visual/text verification</x:v>
      </x:c>
      <x:c r="R97" s="83" t="str">
        <x:v>A - Direct</x:v>
      </x:c>
      <x:c r="S97" s="83" t="str">
        <x:v>Zonal p_nom input after mapping to PyPSA carrier.</x:v>
      </x:c>
      <x:c r="T97" s="83" t="str">
        <x:v>For 2023, distributed includes LV-connected plants and plants &lt;200 kW.</x:v>
      </x:c>
    </x:row>
    <x:row r="98">
      <x:c r="A98" s="83" t="str">
        <x:v>ZCAP-0094</x:v>
      </x:c>
      <x:c r="B98" s="83" t="str">
        <x:v>DE_IT_2035</x:v>
      </x:c>
      <x:c r="C98" s="83" t="n">
        <x:v>2035</x:v>
      </x:c>
      <x:c r="D98" s="83" t="str">
        <x:v>DE-IT 2035</x:v>
      </x:c>
      <x:c r="E98" s="83" t="str">
        <x:v>Sicilia</x:v>
      </x:c>
      <x:c r="F98" s="83" t="str">
        <x:v>Solar</x:v>
      </x:c>
      <x:c r="G98" s="83" t="str">
        <x:v>Solare distribuito</x:v>
      </x:c>
      <x:c r="H98" s="83" t="str">
        <x:v>Distribuito</x:v>
      </x:c>
      <x:c r="I98" s="143" t="n">
        <x:v>2.7</x:v>
      </x:c>
      <x:c r="J98" s="83" t="str">
        <x:v>GW</x:v>
      </x:c>
      <x:c r="K98" s="83" t="str">
        <x:v>Assunzione di scenario</x:v>
      </x:c>
      <x:c r="L98" s="83" t="str">
        <x:v>S09</x:v>
      </x:c>
      <x:c r="M98" s="83" t="str">
        <x:v>Documento_Descrizione_Scenari_2024_8dce2430d44d101.pdf</x:v>
      </x:c>
      <x:c r="N98" s="83" t="n">
        <x:v>60</x:v>
      </x:c>
      <x:c r="O98" s="83" t="n">
        <x:v>58</x:v>
      </x:c>
      <x:c r="P98" s="83" t="str">
        <x:v>Tabella 14</x:v>
      </x:c>
      <x:c r="Q98" s="83" t="str">
        <x:v>Direct table extraction; visual/text verification</x:v>
      </x:c>
      <x:c r="R98" s="83" t="str">
        <x:v>A - Direct</x:v>
      </x:c>
      <x:c r="S98" s="83" t="str">
        <x:v>Zonal p_nom input after mapping to PyPSA carrier.</x:v>
      </x:c>
      <x:c r="T98" s="83" t="str">
        <x:v>For 2023, distributed includes LV-connected plants and plants &lt;200 kW.</x:v>
      </x:c>
    </x:row>
    <x:row r="99">
      <x:c r="A99" s="83" t="str">
        <x:v>ZCAP-0095</x:v>
      </x:c>
      <x:c r="B99" s="83" t="str">
        <x:v>GA_IT_2035</x:v>
      </x:c>
      <x:c r="C99" s="83" t="n">
        <x:v>2035</x:v>
      </x:c>
      <x:c r="D99" s="83" t="str">
        <x:v>GA-IT 2035</x:v>
      </x:c>
      <x:c r="E99" s="83" t="str">
        <x:v>Sicilia</x:v>
      </x:c>
      <x:c r="F99" s="83" t="str">
        <x:v>Solar</x:v>
      </x:c>
      <x:c r="G99" s="83" t="str">
        <x:v>Solare distribuito</x:v>
      </x:c>
      <x:c r="H99" s="83" t="str">
        <x:v>Distribuito</x:v>
      </x:c>
      <x:c r="I99" s="143" t="n">
        <x:v>2.8</x:v>
      </x:c>
      <x:c r="J99" s="83" t="str">
        <x:v>GW</x:v>
      </x:c>
      <x:c r="K99" s="83" t="str">
        <x:v>Assunzione di scenario</x:v>
      </x:c>
      <x:c r="L99" s="83" t="str">
        <x:v>S09</x:v>
      </x:c>
      <x:c r="M99" s="83" t="str">
        <x:v>Documento_Descrizione_Scenari_2024_8dce2430d44d101.pdf</x:v>
      </x:c>
      <x:c r="N99" s="83" t="n">
        <x:v>60</x:v>
      </x:c>
      <x:c r="O99" s="83" t="n">
        <x:v>58</x:v>
      </x:c>
      <x:c r="P99" s="83" t="str">
        <x:v>Tabella 14</x:v>
      </x:c>
      <x:c r="Q99" s="83" t="str">
        <x:v>Direct table extraction; visual/text verification</x:v>
      </x:c>
      <x:c r="R99" s="83" t="str">
        <x:v>A - Direct</x:v>
      </x:c>
      <x:c r="S99" s="83" t="str">
        <x:v>Zonal p_nom input after mapping to PyPSA carrier.</x:v>
      </x:c>
      <x:c r="T99" s="83" t="str">
        <x:v>For 2023, distributed includes LV-connected plants and plants &lt;200 kW.</x:v>
      </x:c>
    </x:row>
    <x:row r="100">
      <x:c r="A100" s="83" t="str">
        <x:v>ZCAP-0096</x:v>
      </x:c>
      <x:c r="B100" s="83" t="str">
        <x:v>PNIEC_SLOW_2035</x:v>
      </x:c>
      <x:c r="C100" s="83" t="n">
        <x:v>2035</x:v>
      </x:c>
      <x:c r="D100" s="83" t="str">
        <x:v>PNIEC Slow 2035</x:v>
      </x:c>
      <x:c r="E100" s="83" t="str">
        <x:v>Sicilia</x:v>
      </x:c>
      <x:c r="F100" s="83" t="str">
        <x:v>Solar</x:v>
      </x:c>
      <x:c r="G100" s="83" t="str">
        <x:v>Solare distribuito</x:v>
      </x:c>
      <x:c r="H100" s="83" t="str">
        <x:v>Distribuito</x:v>
      </x:c>
      <x:c r="I100" s="143" t="n">
        <x:v>2.6</x:v>
      </x:c>
      <x:c r="J100" s="83" t="str">
        <x:v>GW</x:v>
      </x:c>
      <x:c r="K100" s="83" t="str">
        <x:v>Assunzione di scenario</x:v>
      </x:c>
      <x:c r="L100" s="83" t="str">
        <x:v>S09</x:v>
      </x:c>
      <x:c r="M100" s="83" t="str">
        <x:v>Documento_Descrizione_Scenari_2024_8dce2430d44d101.pdf</x:v>
      </x:c>
      <x:c r="N100" s="83" t="n">
        <x:v>60</x:v>
      </x:c>
      <x:c r="O100" s="83" t="n">
        <x:v>58</x:v>
      </x:c>
      <x:c r="P100" s="83" t="str">
        <x:v>Tabella 14</x:v>
      </x:c>
      <x:c r="Q100" s="83" t="str">
        <x:v>Direct table extraction; visual/text verification</x:v>
      </x:c>
      <x:c r="R100" s="83" t="str">
        <x:v>A - Direct</x:v>
      </x:c>
      <x:c r="S100" s="83" t="str">
        <x:v>Zonal p_nom input after mapping to PyPSA carrier.</x:v>
      </x:c>
      <x:c r="T100" s="83" t="str">
        <x:v>For 2023, distributed includes LV-connected plants and plants &lt;200 kW.</x:v>
      </x:c>
    </x:row>
    <x:row r="101">
      <x:c r="A101" s="83" t="str">
        <x:v>ZCAP-0097</x:v>
      </x:c>
      <x:c r="B101" s="83" t="str">
        <x:v>DE_IT_2040</x:v>
      </x:c>
      <x:c r="C101" s="83" t="n">
        <x:v>2040</x:v>
      </x:c>
      <x:c r="D101" s="83" t="str">
        <x:v>DE-IT 2040</x:v>
      </x:c>
      <x:c r="E101" s="83" t="str">
        <x:v>Sicilia</x:v>
      </x:c>
      <x:c r="F101" s="83" t="str">
        <x:v>Solar</x:v>
      </x:c>
      <x:c r="G101" s="83" t="str">
        <x:v>Solare distribuito</x:v>
      </x:c>
      <x:c r="H101" s="83" t="str">
        <x:v>Distribuito</x:v>
      </x:c>
      <x:c r="I101" s="143" t="n">
        <x:v>3.3</x:v>
      </x:c>
      <x:c r="J101" s="83" t="str">
        <x:v>GW</x:v>
      </x:c>
      <x:c r="K101" s="83" t="str">
        <x:v>Assunzione di scenario</x:v>
      </x:c>
      <x:c r="L101" s="83" t="str">
        <x:v>S09</x:v>
      </x:c>
      <x:c r="M101" s="83" t="str">
        <x:v>Documento_Descrizione_Scenari_2024_8dce2430d44d101.pdf</x:v>
      </x:c>
      <x:c r="N101" s="83" t="n">
        <x:v>60</x:v>
      </x:c>
      <x:c r="O101" s="83" t="n">
        <x:v>58</x:v>
      </x:c>
      <x:c r="P101" s="83" t="str">
        <x:v>Tabella 14</x:v>
      </x:c>
      <x:c r="Q101" s="83" t="str">
        <x:v>Direct table extraction; visual/text verification</x:v>
      </x:c>
      <x:c r="R101" s="83" t="str">
        <x:v>A - Direct</x:v>
      </x:c>
      <x:c r="S101" s="83" t="str">
        <x:v>Zonal p_nom input after mapping to PyPSA carrier.</x:v>
      </x:c>
      <x:c r="T101" s="83" t="str">
        <x:v>For 2023, distributed includes LV-connected plants and plants &lt;200 kW.</x:v>
      </x:c>
    </x:row>
    <x:row r="102">
      <x:c r="A102" s="83" t="str">
        <x:v>ZCAP-0098</x:v>
      </x:c>
      <x:c r="B102" s="83" t="str">
        <x:v>GA_IT_2040</x:v>
      </x:c>
      <x:c r="C102" s="83" t="n">
        <x:v>2040</x:v>
      </x:c>
      <x:c r="D102" s="83" t="str">
        <x:v>GA-IT 2040</x:v>
      </x:c>
      <x:c r="E102" s="83" t="str">
        <x:v>Sicilia</x:v>
      </x:c>
      <x:c r="F102" s="83" t="str">
        <x:v>Solar</x:v>
      </x:c>
      <x:c r="G102" s="83" t="str">
        <x:v>Solare distribuito</x:v>
      </x:c>
      <x:c r="H102" s="83" t="str">
        <x:v>Distribuito</x:v>
      </x:c>
      <x:c r="I102" s="143" t="n">
        <x:v>3.3</x:v>
      </x:c>
      <x:c r="J102" s="83" t="str">
        <x:v>GW</x:v>
      </x:c>
      <x:c r="K102" s="83" t="str">
        <x:v>Assunzione di scenario</x:v>
      </x:c>
      <x:c r="L102" s="83" t="str">
        <x:v>S09</x:v>
      </x:c>
      <x:c r="M102" s="83" t="str">
        <x:v>Documento_Descrizione_Scenari_2024_8dce2430d44d101.pdf</x:v>
      </x:c>
      <x:c r="N102" s="83" t="n">
        <x:v>60</x:v>
      </x:c>
      <x:c r="O102" s="83" t="n">
        <x:v>58</x:v>
      </x:c>
      <x:c r="P102" s="83" t="str">
        <x:v>Tabella 14</x:v>
      </x:c>
      <x:c r="Q102" s="83" t="str">
        <x:v>Direct table extraction; visual/text verification</x:v>
      </x:c>
      <x:c r="R102" s="83" t="str">
        <x:v>A - Direct</x:v>
      </x:c>
      <x:c r="S102" s="83" t="str">
        <x:v>Zonal p_nom input after mapping to PyPSA carrier.</x:v>
      </x:c>
      <x:c r="T102" s="83" t="str">
        <x:v>For 2023, distributed includes LV-connected plants and plants &lt;200 kW.</x:v>
      </x:c>
    </x:row>
    <x:row r="103">
      <x:c r="A103" s="83" t="str">
        <x:v>ZCAP-0099</x:v>
      </x:c>
      <x:c r="B103" s="83" t="str">
        <x:v>PNIEC_SLOW_2040</x:v>
      </x:c>
      <x:c r="C103" s="83" t="n">
        <x:v>2040</x:v>
      </x:c>
      <x:c r="D103" s="83" t="str">
        <x:v>PNIEC Slow 2040</x:v>
      </x:c>
      <x:c r="E103" s="83" t="str">
        <x:v>Sicilia</x:v>
      </x:c>
      <x:c r="F103" s="83" t="str">
        <x:v>Solar</x:v>
      </x:c>
      <x:c r="G103" s="83" t="str">
        <x:v>Solare distribuito</x:v>
      </x:c>
      <x:c r="H103" s="83" t="str">
        <x:v>Distribuito</x:v>
      </x:c>
      <x:c r="I103" s="143" t="n">
        <x:v>3.2</x:v>
      </x:c>
      <x:c r="J103" s="83" t="str">
        <x:v>GW</x:v>
      </x:c>
      <x:c r="K103" s="83" t="str">
        <x:v>Assunzione di scenario</x:v>
      </x:c>
      <x:c r="L103" s="83" t="str">
        <x:v>S09</x:v>
      </x:c>
      <x:c r="M103" s="83" t="str">
        <x:v>Documento_Descrizione_Scenari_2024_8dce2430d44d101.pdf</x:v>
      </x:c>
      <x:c r="N103" s="83" t="n">
        <x:v>60</x:v>
      </x:c>
      <x:c r="O103" s="83" t="n">
        <x:v>58</x:v>
      </x:c>
      <x:c r="P103" s="83" t="str">
        <x:v>Tabella 14</x:v>
      </x:c>
      <x:c r="Q103" s="83" t="str">
        <x:v>Direct table extraction; visual/text verification</x:v>
      </x:c>
      <x:c r="R103" s="83" t="str">
        <x:v>A - Direct</x:v>
      </x:c>
      <x:c r="S103" s="83" t="str">
        <x:v>Zonal p_nom input after mapping to PyPSA carrier.</x:v>
      </x:c>
      <x:c r="T103" s="83" t="str">
        <x:v>For 2023, distributed includes LV-connected plants and plants &lt;200 kW.</x:v>
      </x:c>
    </x:row>
    <x:row r="104">
      <x:c r="A104" s="83" t="str">
        <x:v>ZCAP-0100</x:v>
      </x:c>
      <x:c r="B104" s="83" t="str">
        <x:v>HIST_2023</x:v>
      </x:c>
      <x:c r="C104" s="83" t="n">
        <x:v>2023</x:v>
      </x:c>
      <x:c r="D104" s="83" t="str">
        <x:v>Storico 2023</x:v>
      </x:c>
      <x:c r="E104" s="83" t="str">
        <x:v>Sicilia</x:v>
      </x:c>
      <x:c r="F104" s="83" t="str">
        <x:v>Solar</x:v>
      </x:c>
      <x:c r="G104" s="83" t="str">
        <x:v>Solare utility</x:v>
      </x:c>
      <x:c r="H104" s="83" t="str">
        <x:v>Utility</x:v>
      </x:c>
      <x:c r="I104" s="143" t="n">
        <x:v>1.5</x:v>
      </x:c>
      <x:c r="J104" s="83" t="str">
        <x:v>GW</x:v>
      </x:c>
      <x:c r="K104" s="83" t="str">
        <x:v>Dato osservato storico</x:v>
      </x:c>
      <x:c r="L104" s="83" t="str">
        <x:v>S09</x:v>
      </x:c>
      <x:c r="M104" s="83" t="str">
        <x:v>Documento_Descrizione_Scenari_2024_8dce2430d44d101.pdf</x:v>
      </x:c>
      <x:c r="N104" s="83" t="n">
        <x:v>60</x:v>
      </x:c>
      <x:c r="O104" s="83" t="n">
        <x:v>58</x:v>
      </x:c>
      <x:c r="P104" s="83" t="str">
        <x:v>Tabella 14</x:v>
      </x:c>
      <x:c r="Q104" s="83" t="str">
        <x:v>Direct table extraction; visual/text verification</x:v>
      </x:c>
      <x:c r="R104" s="83" t="str">
        <x:v>A - Direct</x:v>
      </x:c>
      <x:c r="S104" s="83" t="str">
        <x:v>Zonal p_nom input after mapping to PyPSA carrier.</x:v>
      </x:c>
      <x:c r="T104" s="83" t="str">
        <x:v>For 2023, distributed includes LV-connected plants and plants &lt;200 kW.</x:v>
      </x:c>
    </x:row>
    <x:row r="105">
      <x:c r="A105" s="83" t="str">
        <x:v>ZCAP-0101</x:v>
      </x:c>
      <x:c r="B105" s="83" t="str">
        <x:v>PNIEC_POLICY_2030</x:v>
      </x:c>
      <x:c r="C105" s="83" t="n">
        <x:v>2030</x:v>
      </x:c>
      <x:c r="D105" s="83" t="str">
        <x:v>PNIEC Policy 2030</x:v>
      </x:c>
      <x:c r="E105" s="83" t="str">
        <x:v>Sicilia</x:v>
      </x:c>
      <x:c r="F105" s="83" t="str">
        <x:v>Solar</x:v>
      </x:c>
      <x:c r="G105" s="83" t="str">
        <x:v>Solare utility</x:v>
      </x:c>
      <x:c r="H105" s="83" t="str">
        <x:v>Utility</x:v>
      </x:c>
      <x:c r="I105" s="143" t="n">
        <x:v>6.5</x:v>
      </x:c>
      <x:c r="J105" s="83" t="str">
        <x:v>GW</x:v>
      </x:c>
      <x:c r="K105" s="83" t="str">
        <x:v>Assunzione di scenario</x:v>
      </x:c>
      <x:c r="L105" s="83" t="str">
        <x:v>S09</x:v>
      </x:c>
      <x:c r="M105" s="83" t="str">
        <x:v>Documento_Descrizione_Scenari_2024_8dce2430d44d101.pdf</x:v>
      </x:c>
      <x:c r="N105" s="83" t="n">
        <x:v>60</x:v>
      </x:c>
      <x:c r="O105" s="83" t="n">
        <x:v>58</x:v>
      </x:c>
      <x:c r="P105" s="83" t="str">
        <x:v>Tabella 14</x:v>
      </x:c>
      <x:c r="Q105" s="83" t="str">
        <x:v>Direct table extraction; visual/text verification</x:v>
      </x:c>
      <x:c r="R105" s="83" t="str">
        <x:v>A - Direct</x:v>
      </x:c>
      <x:c r="S105" s="83" t="str">
        <x:v>Zonal p_nom input after mapping to PyPSA carrier.</x:v>
      </x:c>
      <x:c r="T105" s="83" t="str">
        <x:v>For 2023, distributed includes LV-connected plants and plants &lt;200 kW.</x:v>
      </x:c>
    </x:row>
    <x:row r="106">
      <x:c r="A106" s="83" t="str">
        <x:v>ZCAP-0102</x:v>
      </x:c>
      <x:c r="B106" s="83" t="str">
        <x:v>PNIEC_SLOW_2030</x:v>
      </x:c>
      <x:c r="C106" s="83" t="n">
        <x:v>2030</x:v>
      </x:c>
      <x:c r="D106" s="83" t="str">
        <x:v>PNIEC Slow 2030</x:v>
      </x:c>
      <x:c r="E106" s="83" t="str">
        <x:v>Sicilia</x:v>
      </x:c>
      <x:c r="F106" s="83" t="str">
        <x:v>Solar</x:v>
      </x:c>
      <x:c r="G106" s="83" t="str">
        <x:v>Solare utility</x:v>
      </x:c>
      <x:c r="H106" s="83" t="str">
        <x:v>Utility</x:v>
      </x:c>
      <x:c r="I106" s="143" t="n">
        <x:v>5.6</x:v>
      </x:c>
      <x:c r="J106" s="83" t="str">
        <x:v>GW</x:v>
      </x:c>
      <x:c r="K106" s="83" t="str">
        <x:v>Assunzione di scenario</x:v>
      </x:c>
      <x:c r="L106" s="83" t="str">
        <x:v>S09</x:v>
      </x:c>
      <x:c r="M106" s="83" t="str">
        <x:v>Documento_Descrizione_Scenari_2024_8dce2430d44d101.pdf</x:v>
      </x:c>
      <x:c r="N106" s="83" t="n">
        <x:v>60</x:v>
      </x:c>
      <x:c r="O106" s="83" t="n">
        <x:v>58</x:v>
      </x:c>
      <x:c r="P106" s="83" t="str">
        <x:v>Tabella 14</x:v>
      </x:c>
      <x:c r="Q106" s="83" t="str">
        <x:v>Direct table extraction; visual/text verification</x:v>
      </x:c>
      <x:c r="R106" s="83" t="str">
        <x:v>A - Direct</x:v>
      </x:c>
      <x:c r="S106" s="83" t="str">
        <x:v>Zonal p_nom input after mapping to PyPSA carrier.</x:v>
      </x:c>
      <x:c r="T106" s="83" t="str">
        <x:v>For 2023, distributed includes LV-connected plants and plants &lt;200 kW.</x:v>
      </x:c>
    </x:row>
    <x:row r="107">
      <x:c r="A107" s="83" t="str">
        <x:v>ZCAP-0103</x:v>
      </x:c>
      <x:c r="B107" s="83" t="str">
        <x:v>DE_IT_2035</x:v>
      </x:c>
      <x:c r="C107" s="83" t="n">
        <x:v>2035</x:v>
      </x:c>
      <x:c r="D107" s="83" t="str">
        <x:v>DE-IT 2035</x:v>
      </x:c>
      <x:c r="E107" s="83" t="str">
        <x:v>Sicilia</x:v>
      </x:c>
      <x:c r="F107" s="83" t="str">
        <x:v>Solar</x:v>
      </x:c>
      <x:c r="G107" s="83" t="str">
        <x:v>Solare utility</x:v>
      </x:c>
      <x:c r="H107" s="83" t="str">
        <x:v>Utility</x:v>
      </x:c>
      <x:c r="I107" s="143" t="n">
        <x:v>9</x:v>
      </x:c>
      <x:c r="J107" s="83" t="str">
        <x:v>GW</x:v>
      </x:c>
      <x:c r="K107" s="83" t="str">
        <x:v>Assunzione di scenario</x:v>
      </x:c>
      <x:c r="L107" s="83" t="str">
        <x:v>S09</x:v>
      </x:c>
      <x:c r="M107" s="83" t="str">
        <x:v>Documento_Descrizione_Scenari_2024_8dce2430d44d101.pdf</x:v>
      </x:c>
      <x:c r="N107" s="83" t="n">
        <x:v>60</x:v>
      </x:c>
      <x:c r="O107" s="83" t="n">
        <x:v>58</x:v>
      </x:c>
      <x:c r="P107" s="83" t="str">
        <x:v>Tabella 14</x:v>
      </x:c>
      <x:c r="Q107" s="83" t="str">
        <x:v>Direct table extraction; visual/text verification</x:v>
      </x:c>
      <x:c r="R107" s="83" t="str">
        <x:v>A - Direct</x:v>
      </x:c>
      <x:c r="S107" s="83" t="str">
        <x:v>Zonal p_nom input after mapping to PyPSA carrier.</x:v>
      </x:c>
      <x:c r="T107" s="83" t="str">
        <x:v>For 2023, distributed includes LV-connected plants and plants &lt;200 kW.</x:v>
      </x:c>
    </x:row>
    <x:row r="108">
      <x:c r="A108" s="83" t="str">
        <x:v>ZCAP-0104</x:v>
      </x:c>
      <x:c r="B108" s="83" t="str">
        <x:v>GA_IT_2035</x:v>
      </x:c>
      <x:c r="C108" s="83" t="n">
        <x:v>2035</x:v>
      </x:c>
      <x:c r="D108" s="83" t="str">
        <x:v>GA-IT 2035</x:v>
      </x:c>
      <x:c r="E108" s="83" t="str">
        <x:v>Sicilia</x:v>
      </x:c>
      <x:c r="F108" s="83" t="str">
        <x:v>Solar</x:v>
      </x:c>
      <x:c r="G108" s="83" t="str">
        <x:v>Solare utility</x:v>
      </x:c>
      <x:c r="H108" s="83" t="str">
        <x:v>Utility</x:v>
      </x:c>
      <x:c r="I108" s="143" t="n">
        <x:v>8.1</x:v>
      </x:c>
      <x:c r="J108" s="83" t="str">
        <x:v>GW</x:v>
      </x:c>
      <x:c r="K108" s="83" t="str">
        <x:v>Assunzione di scenario</x:v>
      </x:c>
      <x:c r="L108" s="83" t="str">
        <x:v>S09</x:v>
      </x:c>
      <x:c r="M108" s="83" t="str">
        <x:v>Documento_Descrizione_Scenari_2024_8dce2430d44d101.pdf</x:v>
      </x:c>
      <x:c r="N108" s="83" t="n">
        <x:v>60</x:v>
      </x:c>
      <x:c r="O108" s="83" t="n">
        <x:v>58</x:v>
      </x:c>
      <x:c r="P108" s="83" t="str">
        <x:v>Tabella 14</x:v>
      </x:c>
      <x:c r="Q108" s="83" t="str">
        <x:v>Direct table extraction; visual/text verification</x:v>
      </x:c>
      <x:c r="R108" s="83" t="str">
        <x:v>A - Direct</x:v>
      </x:c>
      <x:c r="S108" s="83" t="str">
        <x:v>Zonal p_nom input after mapping to PyPSA carrier.</x:v>
      </x:c>
      <x:c r="T108" s="83" t="str">
        <x:v>For 2023, distributed includes LV-connected plants and plants &lt;200 kW.</x:v>
      </x:c>
    </x:row>
    <x:row r="109">
      <x:c r="A109" s="83" t="str">
        <x:v>ZCAP-0105</x:v>
      </x:c>
      <x:c r="B109" s="83" t="str">
        <x:v>PNIEC_SLOW_2035</x:v>
      </x:c>
      <x:c r="C109" s="83" t="n">
        <x:v>2035</x:v>
      </x:c>
      <x:c r="D109" s="83" t="str">
        <x:v>PNIEC Slow 2035</x:v>
      </x:c>
      <x:c r="E109" s="83" t="str">
        <x:v>Sicilia</x:v>
      </x:c>
      <x:c r="F109" s="83" t="str">
        <x:v>Solar</x:v>
      </x:c>
      <x:c r="G109" s="83" t="str">
        <x:v>Solare utility</x:v>
      </x:c>
      <x:c r="H109" s="83" t="str">
        <x:v>Utility</x:v>
      </x:c>
      <x:c r="I109" s="143" t="n">
        <x:v>7.7</x:v>
      </x:c>
      <x:c r="J109" s="83" t="str">
        <x:v>GW</x:v>
      </x:c>
      <x:c r="K109" s="83" t="str">
        <x:v>Assunzione di scenario</x:v>
      </x:c>
      <x:c r="L109" s="83" t="str">
        <x:v>S09</x:v>
      </x:c>
      <x:c r="M109" s="83" t="str">
        <x:v>Documento_Descrizione_Scenari_2024_8dce2430d44d101.pdf</x:v>
      </x:c>
      <x:c r="N109" s="83" t="n">
        <x:v>60</x:v>
      </x:c>
      <x:c r="O109" s="83" t="n">
        <x:v>58</x:v>
      </x:c>
      <x:c r="P109" s="83" t="str">
        <x:v>Tabella 14</x:v>
      </x:c>
      <x:c r="Q109" s="83" t="str">
        <x:v>Direct table extraction; visual/text verification</x:v>
      </x:c>
      <x:c r="R109" s="83" t="str">
        <x:v>A - Direct</x:v>
      </x:c>
      <x:c r="S109" s="83" t="str">
        <x:v>Zonal p_nom input after mapping to PyPSA carrier.</x:v>
      </x:c>
      <x:c r="T109" s="83" t="str">
        <x:v>For 2023, distributed includes LV-connected plants and plants &lt;200 kW.</x:v>
      </x:c>
    </x:row>
    <x:row r="110">
      <x:c r="A110" s="83" t="str">
        <x:v>ZCAP-0106</x:v>
      </x:c>
      <x:c r="B110" s="83" t="str">
        <x:v>DE_IT_2040</x:v>
      </x:c>
      <x:c r="C110" s="83" t="n">
        <x:v>2040</x:v>
      </x:c>
      <x:c r="D110" s="83" t="str">
        <x:v>DE-IT 2040</x:v>
      </x:c>
      <x:c r="E110" s="83" t="str">
        <x:v>Sicilia</x:v>
      </x:c>
      <x:c r="F110" s="83" t="str">
        <x:v>Solar</x:v>
      </x:c>
      <x:c r="G110" s="83" t="str">
        <x:v>Solare utility</x:v>
      </x:c>
      <x:c r="H110" s="83" t="str">
        <x:v>Utility</x:v>
      </x:c>
      <x:c r="I110" s="143" t="n">
        <x:v>11.5</x:v>
      </x:c>
      <x:c r="J110" s="83" t="str">
        <x:v>GW</x:v>
      </x:c>
      <x:c r="K110" s="83" t="str">
        <x:v>Assunzione di scenario</x:v>
      </x:c>
      <x:c r="L110" s="83" t="str">
        <x:v>S09</x:v>
      </x:c>
      <x:c r="M110" s="83" t="str">
        <x:v>Documento_Descrizione_Scenari_2024_8dce2430d44d101.pdf</x:v>
      </x:c>
      <x:c r="N110" s="83" t="n">
        <x:v>60</x:v>
      </x:c>
      <x:c r="O110" s="83" t="n">
        <x:v>58</x:v>
      </x:c>
      <x:c r="P110" s="83" t="str">
        <x:v>Tabella 14</x:v>
      </x:c>
      <x:c r="Q110" s="83" t="str">
        <x:v>Direct table extraction; visual/text verification</x:v>
      </x:c>
      <x:c r="R110" s="83" t="str">
        <x:v>A - Direct</x:v>
      </x:c>
      <x:c r="S110" s="83" t="str">
        <x:v>Zonal p_nom input after mapping to PyPSA carrier.</x:v>
      </x:c>
      <x:c r="T110" s="83" t="str">
        <x:v>For 2023, distributed includes LV-connected plants and plants &lt;200 kW.</x:v>
      </x:c>
    </x:row>
    <x:row r="111">
      <x:c r="A111" s="83" t="str">
        <x:v>ZCAP-0107</x:v>
      </x:c>
      <x:c r="B111" s="83" t="str">
        <x:v>GA_IT_2040</x:v>
      </x:c>
      <x:c r="C111" s="83" t="n">
        <x:v>2040</x:v>
      </x:c>
      <x:c r="D111" s="83" t="str">
        <x:v>GA-IT 2040</x:v>
      </x:c>
      <x:c r="E111" s="83" t="str">
        <x:v>Sicilia</x:v>
      </x:c>
      <x:c r="F111" s="83" t="str">
        <x:v>Solar</x:v>
      </x:c>
      <x:c r="G111" s="83" t="str">
        <x:v>Solare utility</x:v>
      </x:c>
      <x:c r="H111" s="83" t="str">
        <x:v>Utility</x:v>
      </x:c>
      <x:c r="I111" s="143" t="n">
        <x:v>10.1</x:v>
      </x:c>
      <x:c r="J111" s="83" t="str">
        <x:v>GW</x:v>
      </x:c>
      <x:c r="K111" s="83" t="str">
        <x:v>Assunzione di scenario</x:v>
      </x:c>
      <x:c r="L111" s="83" t="str">
        <x:v>S09</x:v>
      </x:c>
      <x:c r="M111" s="83" t="str">
        <x:v>Documento_Descrizione_Scenari_2024_8dce2430d44d101.pdf</x:v>
      </x:c>
      <x:c r="N111" s="83" t="n">
        <x:v>60</x:v>
      </x:c>
      <x:c r="O111" s="83" t="n">
        <x:v>58</x:v>
      </x:c>
      <x:c r="P111" s="83" t="str">
        <x:v>Tabella 14</x:v>
      </x:c>
      <x:c r="Q111" s="83" t="str">
        <x:v>Direct table extraction; visual/text verification</x:v>
      </x:c>
      <x:c r="R111" s="83" t="str">
        <x:v>A - Direct</x:v>
      </x:c>
      <x:c r="S111" s="83" t="str">
        <x:v>Zonal p_nom input after mapping to PyPSA carrier.</x:v>
      </x:c>
      <x:c r="T111" s="83" t="str">
        <x:v>For 2023, distributed includes LV-connected plants and plants &lt;200 kW.</x:v>
      </x:c>
    </x:row>
    <x:row r="112">
      <x:c r="A112" s="83" t="str">
        <x:v>ZCAP-0108</x:v>
      </x:c>
      <x:c r="B112" s="83" t="str">
        <x:v>PNIEC_SLOW_2040</x:v>
      </x:c>
      <x:c r="C112" s="83" t="n">
        <x:v>2040</x:v>
      </x:c>
      <x:c r="D112" s="83" t="str">
        <x:v>PNIEC Slow 2040</x:v>
      </x:c>
      <x:c r="E112" s="83" t="str">
        <x:v>Sicilia</x:v>
      </x:c>
      <x:c r="F112" s="83" t="str">
        <x:v>Solar</x:v>
      </x:c>
      <x:c r="G112" s="83" t="str">
        <x:v>Solare utility</x:v>
      </x:c>
      <x:c r="H112" s="83" t="str">
        <x:v>Utility</x:v>
      </x:c>
      <x:c r="I112" s="143" t="n">
        <x:v>10.1</x:v>
      </x:c>
      <x:c r="J112" s="83" t="str">
        <x:v>GW</x:v>
      </x:c>
      <x:c r="K112" s="83" t="str">
        <x:v>Assunzione di scenario</x:v>
      </x:c>
      <x:c r="L112" s="83" t="str">
        <x:v>S09</x:v>
      </x:c>
      <x:c r="M112" s="83" t="str">
        <x:v>Documento_Descrizione_Scenari_2024_8dce2430d44d101.pdf</x:v>
      </x:c>
      <x:c r="N112" s="83" t="n">
        <x:v>60</x:v>
      </x:c>
      <x:c r="O112" s="83" t="n">
        <x:v>58</x:v>
      </x:c>
      <x:c r="P112" s="83" t="str">
        <x:v>Tabella 14</x:v>
      </x:c>
      <x:c r="Q112" s="83" t="str">
        <x:v>Direct table extraction; visual/text verification</x:v>
      </x:c>
      <x:c r="R112" s="83" t="str">
        <x:v>A - Direct</x:v>
      </x:c>
      <x:c r="S112" s="83" t="str">
        <x:v>Zonal p_nom input after mapping to PyPSA carrier.</x:v>
      </x:c>
      <x:c r="T112" s="83" t="str">
        <x:v>For 2023, distributed includes LV-connected plants and plants &lt;200 kW.</x:v>
      </x:c>
    </x:row>
    <x:row r="113">
      <x:c r="A113" s="83" t="str">
        <x:v>ZCAP-0109</x:v>
      </x:c>
      <x:c r="B113" s="83" t="str">
        <x:v>HIST_2023</x:v>
      </x:c>
      <x:c r="C113" s="83" t="n">
        <x:v>2023</x:v>
      </x:c>
      <x:c r="D113" s="83" t="str">
        <x:v>Storico 2023</x:v>
      </x:c>
      <x:c r="E113" s="83" t="str">
        <x:v>Sardegna</x:v>
      </x:c>
      <x:c r="F113" s="83" t="str">
        <x:v>Solar</x:v>
      </x:c>
      <x:c r="G113" s="83" t="str">
        <x:v>Solare distribuito</x:v>
      </x:c>
      <x:c r="H113" s="83" t="str">
        <x:v>Distribuito</x:v>
      </x:c>
      <x:c r="I113" s="143" t="n">
        <x:v>0.4</x:v>
      </x:c>
      <x:c r="J113" s="83" t="str">
        <x:v>GW</x:v>
      </x:c>
      <x:c r="K113" s="83" t="str">
        <x:v>Dato osservato storico</x:v>
      </x:c>
      <x:c r="L113" s="83" t="str">
        <x:v>S09</x:v>
      </x:c>
      <x:c r="M113" s="83" t="str">
        <x:v>Documento_Descrizione_Scenari_2024_8dce2430d44d101.pdf</x:v>
      </x:c>
      <x:c r="N113" s="83" t="n">
        <x:v>60</x:v>
      </x:c>
      <x:c r="O113" s="83" t="n">
        <x:v>58</x:v>
      </x:c>
      <x:c r="P113" s="83" t="str">
        <x:v>Tabella 14</x:v>
      </x:c>
      <x:c r="Q113" s="83" t="str">
        <x:v>Direct table extraction; visual/text verification</x:v>
      </x:c>
      <x:c r="R113" s="83" t="str">
        <x:v>A - Direct</x:v>
      </x:c>
      <x:c r="S113" s="83" t="str">
        <x:v>Zonal p_nom input after mapping to PyPSA carrier.</x:v>
      </x:c>
      <x:c r="T113" s="83" t="str">
        <x:v>For 2023, distributed includes LV-connected plants and plants &lt;200 kW.</x:v>
      </x:c>
    </x:row>
    <x:row r="114">
      <x:c r="A114" s="83" t="str">
        <x:v>ZCAP-0110</x:v>
      </x:c>
      <x:c r="B114" s="83" t="str">
        <x:v>PNIEC_POLICY_2030</x:v>
      </x:c>
      <x:c r="C114" s="83" t="n">
        <x:v>2030</x:v>
      </x:c>
      <x:c r="D114" s="83" t="str">
        <x:v>PNIEC Policy 2030</x:v>
      </x:c>
      <x:c r="E114" s="83" t="str">
        <x:v>Sardegna</x:v>
      </x:c>
      <x:c r="F114" s="83" t="str">
        <x:v>Solar</x:v>
      </x:c>
      <x:c r="G114" s="83" t="str">
        <x:v>Solare distribuito</x:v>
      </x:c>
      <x:c r="H114" s="83" t="str">
        <x:v>Distribuito</x:v>
      </x:c>
      <x:c r="I114" s="143" t="n">
        <x:v>1.1</x:v>
      </x:c>
      <x:c r="J114" s="83" t="str">
        <x:v>GW</x:v>
      </x:c>
      <x:c r="K114" s="83" t="str">
        <x:v>Assunzione di scenario</x:v>
      </x:c>
      <x:c r="L114" s="83" t="str">
        <x:v>S09</x:v>
      </x:c>
      <x:c r="M114" s="83" t="str">
        <x:v>Documento_Descrizione_Scenari_2024_8dce2430d44d101.pdf</x:v>
      </x:c>
      <x:c r="N114" s="83" t="n">
        <x:v>60</x:v>
      </x:c>
      <x:c r="O114" s="83" t="n">
        <x:v>58</x:v>
      </x:c>
      <x:c r="P114" s="83" t="str">
        <x:v>Tabella 14</x:v>
      </x:c>
      <x:c r="Q114" s="83" t="str">
        <x:v>Direct table extraction; visual/text verification</x:v>
      </x:c>
      <x:c r="R114" s="83" t="str">
        <x:v>A - Direct</x:v>
      </x:c>
      <x:c r="S114" s="83" t="str">
        <x:v>Zonal p_nom input after mapping to PyPSA carrier.</x:v>
      </x:c>
      <x:c r="T114" s="83" t="str">
        <x:v>For 2023, distributed includes LV-connected plants and plants &lt;200 kW.</x:v>
      </x:c>
    </x:row>
    <x:row r="115">
      <x:c r="A115" s="83" t="str">
        <x:v>ZCAP-0111</x:v>
      </x:c>
      <x:c r="B115" s="83" t="str">
        <x:v>PNIEC_SLOW_2030</x:v>
      </x:c>
      <x:c r="C115" s="83" t="n">
        <x:v>2030</x:v>
      </x:c>
      <x:c r="D115" s="83" t="str">
        <x:v>PNIEC Slow 2030</x:v>
      </x:c>
      <x:c r="E115" s="83" t="str">
        <x:v>Sardegna</x:v>
      </x:c>
      <x:c r="F115" s="83" t="str">
        <x:v>Solar</x:v>
      </x:c>
      <x:c r="G115" s="83" t="str">
        <x:v>Solare distribuito</x:v>
      </x:c>
      <x:c r="H115" s="83" t="str">
        <x:v>Distribuito</x:v>
      </x:c>
      <x:c r="I115" s="143" t="n">
        <x:v>1.1</x:v>
      </x:c>
      <x:c r="J115" s="83" t="str">
        <x:v>GW</x:v>
      </x:c>
      <x:c r="K115" s="83" t="str">
        <x:v>Assunzione di scenario</x:v>
      </x:c>
      <x:c r="L115" s="83" t="str">
        <x:v>S09</x:v>
      </x:c>
      <x:c r="M115" s="83" t="str">
        <x:v>Documento_Descrizione_Scenari_2024_8dce2430d44d101.pdf</x:v>
      </x:c>
      <x:c r="N115" s="83" t="n">
        <x:v>60</x:v>
      </x:c>
      <x:c r="O115" s="83" t="n">
        <x:v>58</x:v>
      </x:c>
      <x:c r="P115" s="83" t="str">
        <x:v>Tabella 14</x:v>
      </x:c>
      <x:c r="Q115" s="83" t="str">
        <x:v>Direct table extraction; visual/text verification</x:v>
      </x:c>
      <x:c r="R115" s="83" t="str">
        <x:v>A - Direct</x:v>
      </x:c>
      <x:c r="S115" s="83" t="str">
        <x:v>Zonal p_nom input after mapping to PyPSA carrier.</x:v>
      </x:c>
      <x:c r="T115" s="83" t="str">
        <x:v>For 2023, distributed includes LV-connected plants and plants &lt;200 kW.</x:v>
      </x:c>
    </x:row>
    <x:row r="116">
      <x:c r="A116" s="83" t="str">
        <x:v>ZCAP-0112</x:v>
      </x:c>
      <x:c r="B116" s="83" t="str">
        <x:v>DE_IT_2035</x:v>
      </x:c>
      <x:c r="C116" s="83" t="n">
        <x:v>2035</x:v>
      </x:c>
      <x:c r="D116" s="83" t="str">
        <x:v>DE-IT 2035</x:v>
      </x:c>
      <x:c r="E116" s="83" t="str">
        <x:v>Sardegna</x:v>
      </x:c>
      <x:c r="F116" s="83" t="str">
        <x:v>Solar</x:v>
      </x:c>
      <x:c r="G116" s="83" t="str">
        <x:v>Solare distribuito</x:v>
      </x:c>
      <x:c r="H116" s="83" t="str">
        <x:v>Distribuito</x:v>
      </x:c>
      <x:c r="I116" s="143" t="n">
        <x:v>1.4</x:v>
      </x:c>
      <x:c r="J116" s="83" t="str">
        <x:v>GW</x:v>
      </x:c>
      <x:c r="K116" s="83" t="str">
        <x:v>Assunzione di scenario</x:v>
      </x:c>
      <x:c r="L116" s="83" t="str">
        <x:v>S09</x:v>
      </x:c>
      <x:c r="M116" s="83" t="str">
        <x:v>Documento_Descrizione_Scenari_2024_8dce2430d44d101.pdf</x:v>
      </x:c>
      <x:c r="N116" s="83" t="n">
        <x:v>60</x:v>
      </x:c>
      <x:c r="O116" s="83" t="n">
        <x:v>58</x:v>
      </x:c>
      <x:c r="P116" s="83" t="str">
        <x:v>Tabella 14</x:v>
      </x:c>
      <x:c r="Q116" s="83" t="str">
        <x:v>Direct table extraction; visual/text verification</x:v>
      </x:c>
      <x:c r="R116" s="83" t="str">
        <x:v>A - Direct</x:v>
      </x:c>
      <x:c r="S116" s="83" t="str">
        <x:v>Zonal p_nom input after mapping to PyPSA carrier.</x:v>
      </x:c>
      <x:c r="T116" s="83" t="str">
        <x:v>For 2023, distributed includes LV-connected plants and plants &lt;200 kW.</x:v>
      </x:c>
    </x:row>
    <x:row r="117">
      <x:c r="A117" s="83" t="str">
        <x:v>ZCAP-0113</x:v>
      </x:c>
      <x:c r="B117" s="83" t="str">
        <x:v>GA_IT_2035</x:v>
      </x:c>
      <x:c r="C117" s="83" t="n">
        <x:v>2035</x:v>
      </x:c>
      <x:c r="D117" s="83" t="str">
        <x:v>GA-IT 2035</x:v>
      </x:c>
      <x:c r="E117" s="83" t="str">
        <x:v>Sardegna</x:v>
      </x:c>
      <x:c r="F117" s="83" t="str">
        <x:v>Solar</x:v>
      </x:c>
      <x:c r="G117" s="83" t="str">
        <x:v>Solare distribuito</x:v>
      </x:c>
      <x:c r="H117" s="83" t="str">
        <x:v>Distribuito</x:v>
      </x:c>
      <x:c r="I117" s="143" t="n">
        <x:v>1.5</x:v>
      </x:c>
      <x:c r="J117" s="83" t="str">
        <x:v>GW</x:v>
      </x:c>
      <x:c r="K117" s="83" t="str">
        <x:v>Assunzione di scenario</x:v>
      </x:c>
      <x:c r="L117" s="83" t="str">
        <x:v>S09</x:v>
      </x:c>
      <x:c r="M117" s="83" t="str">
        <x:v>Documento_Descrizione_Scenari_2024_8dce2430d44d101.pdf</x:v>
      </x:c>
      <x:c r="N117" s="83" t="n">
        <x:v>60</x:v>
      </x:c>
      <x:c r="O117" s="83" t="n">
        <x:v>58</x:v>
      </x:c>
      <x:c r="P117" s="83" t="str">
        <x:v>Tabella 14</x:v>
      </x:c>
      <x:c r="Q117" s="83" t="str">
        <x:v>Direct table extraction; visual/text verification</x:v>
      </x:c>
      <x:c r="R117" s="83" t="str">
        <x:v>A - Direct</x:v>
      </x:c>
      <x:c r="S117" s="83" t="str">
        <x:v>Zonal p_nom input after mapping to PyPSA carrier.</x:v>
      </x:c>
      <x:c r="T117" s="83" t="str">
        <x:v>For 2023, distributed includes LV-connected plants and plants &lt;200 kW.</x:v>
      </x:c>
    </x:row>
    <x:row r="118">
      <x:c r="A118" s="83" t="str">
        <x:v>ZCAP-0114</x:v>
      </x:c>
      <x:c r="B118" s="83" t="str">
        <x:v>PNIEC_SLOW_2035</x:v>
      </x:c>
      <x:c r="C118" s="83" t="n">
        <x:v>2035</x:v>
      </x:c>
      <x:c r="D118" s="83" t="str">
        <x:v>PNIEC Slow 2035</x:v>
      </x:c>
      <x:c r="E118" s="83" t="str">
        <x:v>Sardegna</x:v>
      </x:c>
      <x:c r="F118" s="83" t="str">
        <x:v>Solar</x:v>
      </x:c>
      <x:c r="G118" s="83" t="str">
        <x:v>Solare distribuito</x:v>
      </x:c>
      <x:c r="H118" s="83" t="str">
        <x:v>Distribuito</x:v>
      </x:c>
      <x:c r="I118" s="143" t="n">
        <x:v>1.4</x:v>
      </x:c>
      <x:c r="J118" s="83" t="str">
        <x:v>GW</x:v>
      </x:c>
      <x:c r="K118" s="83" t="str">
        <x:v>Assunzione di scenario</x:v>
      </x:c>
      <x:c r="L118" s="83" t="str">
        <x:v>S09</x:v>
      </x:c>
      <x:c r="M118" s="83" t="str">
        <x:v>Documento_Descrizione_Scenari_2024_8dce2430d44d101.pdf</x:v>
      </x:c>
      <x:c r="N118" s="83" t="n">
        <x:v>60</x:v>
      </x:c>
      <x:c r="O118" s="83" t="n">
        <x:v>58</x:v>
      </x:c>
      <x:c r="P118" s="83" t="str">
        <x:v>Tabella 14</x:v>
      </x:c>
      <x:c r="Q118" s="83" t="str">
        <x:v>Direct table extraction; visual/text verification</x:v>
      </x:c>
      <x:c r="R118" s="83" t="str">
        <x:v>A - Direct</x:v>
      </x:c>
      <x:c r="S118" s="83" t="str">
        <x:v>Zonal p_nom input after mapping to PyPSA carrier.</x:v>
      </x:c>
      <x:c r="T118" s="83" t="str">
        <x:v>For 2023, distributed includes LV-connected plants and plants &lt;200 kW.</x:v>
      </x:c>
    </x:row>
    <x:row r="119">
      <x:c r="A119" s="83" t="str">
        <x:v>ZCAP-0115</x:v>
      </x:c>
      <x:c r="B119" s="83" t="str">
        <x:v>DE_IT_2040</x:v>
      </x:c>
      <x:c r="C119" s="83" t="n">
        <x:v>2040</x:v>
      </x:c>
      <x:c r="D119" s="83" t="str">
        <x:v>DE-IT 2040</x:v>
      </x:c>
      <x:c r="E119" s="83" t="str">
        <x:v>Sardegna</x:v>
      </x:c>
      <x:c r="F119" s="83" t="str">
        <x:v>Solar</x:v>
      </x:c>
      <x:c r="G119" s="83" t="str">
        <x:v>Solare distribuito</x:v>
      </x:c>
      <x:c r="H119" s="83" t="str">
        <x:v>Distribuito</x:v>
      </x:c>
      <x:c r="I119" s="143" t="n">
        <x:v>1.7</x:v>
      </x:c>
      <x:c r="J119" s="83" t="str">
        <x:v>GW</x:v>
      </x:c>
      <x:c r="K119" s="83" t="str">
        <x:v>Assunzione di scenario</x:v>
      </x:c>
      <x:c r="L119" s="83" t="str">
        <x:v>S09</x:v>
      </x:c>
      <x:c r="M119" s="83" t="str">
        <x:v>Documento_Descrizione_Scenari_2024_8dce2430d44d101.pdf</x:v>
      </x:c>
      <x:c r="N119" s="83" t="n">
        <x:v>60</x:v>
      </x:c>
      <x:c r="O119" s="83" t="n">
        <x:v>58</x:v>
      </x:c>
      <x:c r="P119" s="83" t="str">
        <x:v>Tabella 14</x:v>
      </x:c>
      <x:c r="Q119" s="83" t="str">
        <x:v>Direct table extraction; visual/text verification</x:v>
      </x:c>
      <x:c r="R119" s="83" t="str">
        <x:v>A - Direct</x:v>
      </x:c>
      <x:c r="S119" s="83" t="str">
        <x:v>Zonal p_nom input after mapping to PyPSA carrier.</x:v>
      </x:c>
      <x:c r="T119" s="83" t="str">
        <x:v>For 2023, distributed includes LV-connected plants and plants &lt;200 kW.</x:v>
      </x:c>
    </x:row>
    <x:row r="120">
      <x:c r="A120" s="83" t="str">
        <x:v>ZCAP-0116</x:v>
      </x:c>
      <x:c r="B120" s="83" t="str">
        <x:v>GA_IT_2040</x:v>
      </x:c>
      <x:c r="C120" s="83" t="n">
        <x:v>2040</x:v>
      </x:c>
      <x:c r="D120" s="83" t="str">
        <x:v>GA-IT 2040</x:v>
      </x:c>
      <x:c r="E120" s="83" t="str">
        <x:v>Sardegna</x:v>
      </x:c>
      <x:c r="F120" s="83" t="str">
        <x:v>Solar</x:v>
      </x:c>
      <x:c r="G120" s="83" t="str">
        <x:v>Solare distribuito</x:v>
      </x:c>
      <x:c r="H120" s="83" t="str">
        <x:v>Distribuito</x:v>
      </x:c>
      <x:c r="I120" s="143" t="n">
        <x:v>1.8</x:v>
      </x:c>
      <x:c r="J120" s="83" t="str">
        <x:v>GW</x:v>
      </x:c>
      <x:c r="K120" s="83" t="str">
        <x:v>Assunzione di scenario</x:v>
      </x:c>
      <x:c r="L120" s="83" t="str">
        <x:v>S09</x:v>
      </x:c>
      <x:c r="M120" s="83" t="str">
        <x:v>Documento_Descrizione_Scenari_2024_8dce2430d44d101.pdf</x:v>
      </x:c>
      <x:c r="N120" s="83" t="n">
        <x:v>60</x:v>
      </x:c>
      <x:c r="O120" s="83" t="n">
        <x:v>58</x:v>
      </x:c>
      <x:c r="P120" s="83" t="str">
        <x:v>Tabella 14</x:v>
      </x:c>
      <x:c r="Q120" s="83" t="str">
        <x:v>Direct table extraction; visual/text verification</x:v>
      </x:c>
      <x:c r="R120" s="83" t="str">
        <x:v>A - Direct</x:v>
      </x:c>
      <x:c r="S120" s="83" t="str">
        <x:v>Zonal p_nom input after mapping to PyPSA carrier.</x:v>
      </x:c>
      <x:c r="T120" s="83" t="str">
        <x:v>For 2023, distributed includes LV-connected plants and plants &lt;200 kW.</x:v>
      </x:c>
    </x:row>
    <x:row r="121">
      <x:c r="A121" s="83" t="str">
        <x:v>ZCAP-0117</x:v>
      </x:c>
      <x:c r="B121" s="83" t="str">
        <x:v>PNIEC_SLOW_2040</x:v>
      </x:c>
      <x:c r="C121" s="83" t="n">
        <x:v>2040</x:v>
      </x:c>
      <x:c r="D121" s="83" t="str">
        <x:v>PNIEC Slow 2040</x:v>
      </x:c>
      <x:c r="E121" s="83" t="str">
        <x:v>Sardegna</x:v>
      </x:c>
      <x:c r="F121" s="83" t="str">
        <x:v>Solar</x:v>
      </x:c>
      <x:c r="G121" s="83" t="str">
        <x:v>Solare distribuito</x:v>
      </x:c>
      <x:c r="H121" s="83" t="str">
        <x:v>Distribuito</x:v>
      </x:c>
      <x:c r="I121" s="143" t="n">
        <x:v>1.6</x:v>
      </x:c>
      <x:c r="J121" s="83" t="str">
        <x:v>GW</x:v>
      </x:c>
      <x:c r="K121" s="83" t="str">
        <x:v>Assunzione di scenario</x:v>
      </x:c>
      <x:c r="L121" s="83" t="str">
        <x:v>S09</x:v>
      </x:c>
      <x:c r="M121" s="83" t="str">
        <x:v>Documento_Descrizione_Scenari_2024_8dce2430d44d101.pdf</x:v>
      </x:c>
      <x:c r="N121" s="83" t="n">
        <x:v>60</x:v>
      </x:c>
      <x:c r="O121" s="83" t="n">
        <x:v>58</x:v>
      </x:c>
      <x:c r="P121" s="83" t="str">
        <x:v>Tabella 14</x:v>
      </x:c>
      <x:c r="Q121" s="83" t="str">
        <x:v>Direct table extraction; visual/text verification</x:v>
      </x:c>
      <x:c r="R121" s="83" t="str">
        <x:v>A - Direct</x:v>
      </x:c>
      <x:c r="S121" s="83" t="str">
        <x:v>Zonal p_nom input after mapping to PyPSA carrier.</x:v>
      </x:c>
      <x:c r="T121" s="83" t="str">
        <x:v>For 2023, distributed includes LV-connected plants and plants &lt;200 kW.</x:v>
      </x:c>
    </x:row>
    <x:row r="122">
      <x:c r="A122" s="83" t="str">
        <x:v>ZCAP-0118</x:v>
      </x:c>
      <x:c r="B122" s="83" t="str">
        <x:v>HIST_2023</x:v>
      </x:c>
      <x:c r="C122" s="83" t="n">
        <x:v>2023</x:v>
      </x:c>
      <x:c r="D122" s="83" t="str">
        <x:v>Storico 2023</x:v>
      </x:c>
      <x:c r="E122" s="83" t="str">
        <x:v>Sardegna</x:v>
      </x:c>
      <x:c r="F122" s="83" t="str">
        <x:v>Solar</x:v>
      </x:c>
      <x:c r="G122" s="83" t="str">
        <x:v>Solare utility</x:v>
      </x:c>
      <x:c r="H122" s="83" t="str">
        <x:v>Utility</x:v>
      </x:c>
      <x:c r="I122" s="143" t="n">
        <x:v>1</x:v>
      </x:c>
      <x:c r="J122" s="83" t="str">
        <x:v>GW</x:v>
      </x:c>
      <x:c r="K122" s="83" t="str">
        <x:v>Dato osservato storico</x:v>
      </x:c>
      <x:c r="L122" s="83" t="str">
        <x:v>S09</x:v>
      </x:c>
      <x:c r="M122" s="83" t="str">
        <x:v>Documento_Descrizione_Scenari_2024_8dce2430d44d101.pdf</x:v>
      </x:c>
      <x:c r="N122" s="83" t="n">
        <x:v>60</x:v>
      </x:c>
      <x:c r="O122" s="83" t="n">
        <x:v>58</x:v>
      </x:c>
      <x:c r="P122" s="83" t="str">
        <x:v>Tabella 14</x:v>
      </x:c>
      <x:c r="Q122" s="83" t="str">
        <x:v>Direct table extraction; visual/text verification</x:v>
      </x:c>
      <x:c r="R122" s="83" t="str">
        <x:v>A - Direct</x:v>
      </x:c>
      <x:c r="S122" s="83" t="str">
        <x:v>Zonal p_nom input after mapping to PyPSA carrier.</x:v>
      </x:c>
      <x:c r="T122" s="83" t="str">
        <x:v>For 2023, distributed includes LV-connected plants and plants &lt;200 kW.</x:v>
      </x:c>
    </x:row>
    <x:row r="123">
      <x:c r="A123" s="83" t="str">
        <x:v>ZCAP-0119</x:v>
      </x:c>
      <x:c r="B123" s="83" t="str">
        <x:v>PNIEC_POLICY_2030</x:v>
      </x:c>
      <x:c r="C123" s="83" t="n">
        <x:v>2030</x:v>
      </x:c>
      <x:c r="D123" s="83" t="str">
        <x:v>PNIEC Policy 2030</x:v>
      </x:c>
      <x:c r="E123" s="83" t="str">
        <x:v>Sardegna</x:v>
      </x:c>
      <x:c r="F123" s="83" t="str">
        <x:v>Solar</x:v>
      </x:c>
      <x:c r="G123" s="83" t="str">
        <x:v>Solare utility</x:v>
      </x:c>
      <x:c r="H123" s="83" t="str">
        <x:v>Utility</x:v>
      </x:c>
      <x:c r="I123" s="143" t="n">
        <x:v>4.1</x:v>
      </x:c>
      <x:c r="J123" s="83" t="str">
        <x:v>GW</x:v>
      </x:c>
      <x:c r="K123" s="83" t="str">
        <x:v>Assunzione di scenario</x:v>
      </x:c>
      <x:c r="L123" s="83" t="str">
        <x:v>S09</x:v>
      </x:c>
      <x:c r="M123" s="83" t="str">
        <x:v>Documento_Descrizione_Scenari_2024_8dce2430d44d101.pdf</x:v>
      </x:c>
      <x:c r="N123" s="83" t="n">
        <x:v>60</x:v>
      </x:c>
      <x:c r="O123" s="83" t="n">
        <x:v>58</x:v>
      </x:c>
      <x:c r="P123" s="83" t="str">
        <x:v>Tabella 14</x:v>
      </x:c>
      <x:c r="Q123" s="83" t="str">
        <x:v>Direct table extraction; visual/text verification</x:v>
      </x:c>
      <x:c r="R123" s="83" t="str">
        <x:v>A - Direct</x:v>
      </x:c>
      <x:c r="S123" s="83" t="str">
        <x:v>Zonal p_nom input after mapping to PyPSA carrier.</x:v>
      </x:c>
      <x:c r="T123" s="83" t="str">
        <x:v>For 2023, distributed includes LV-connected plants and plants &lt;200 kW.</x:v>
      </x:c>
    </x:row>
    <x:row r="124">
      <x:c r="A124" s="83" t="str">
        <x:v>ZCAP-0120</x:v>
      </x:c>
      <x:c r="B124" s="83" t="str">
        <x:v>PNIEC_SLOW_2030</x:v>
      </x:c>
      <x:c r="C124" s="83" t="n">
        <x:v>2030</x:v>
      </x:c>
      <x:c r="D124" s="83" t="str">
        <x:v>PNIEC Slow 2030</x:v>
      </x:c>
      <x:c r="E124" s="83" t="str">
        <x:v>Sardegna</x:v>
      </x:c>
      <x:c r="F124" s="83" t="str">
        <x:v>Solar</x:v>
      </x:c>
      <x:c r="G124" s="83" t="str">
        <x:v>Solare utility</x:v>
      </x:c>
      <x:c r="H124" s="83" t="str">
        <x:v>Utility</x:v>
      </x:c>
      <x:c r="I124" s="143" t="n">
        <x:v>3.5</x:v>
      </x:c>
      <x:c r="J124" s="83" t="str">
        <x:v>GW</x:v>
      </x:c>
      <x:c r="K124" s="83" t="str">
        <x:v>Assunzione di scenario</x:v>
      </x:c>
      <x:c r="L124" s="83" t="str">
        <x:v>S09</x:v>
      </x:c>
      <x:c r="M124" s="83" t="str">
        <x:v>Documento_Descrizione_Scenari_2024_8dce2430d44d101.pdf</x:v>
      </x:c>
      <x:c r="N124" s="83" t="n">
        <x:v>60</x:v>
      </x:c>
      <x:c r="O124" s="83" t="n">
        <x:v>58</x:v>
      </x:c>
      <x:c r="P124" s="83" t="str">
        <x:v>Tabella 14</x:v>
      </x:c>
      <x:c r="Q124" s="83" t="str">
        <x:v>Direct table extraction; visual/text verification</x:v>
      </x:c>
      <x:c r="R124" s="83" t="str">
        <x:v>A - Direct</x:v>
      </x:c>
      <x:c r="S124" s="83" t="str">
        <x:v>Zonal p_nom input after mapping to PyPSA carrier.</x:v>
      </x:c>
      <x:c r="T124" s="83" t="str">
        <x:v>For 2023, distributed includes LV-connected plants and plants &lt;200 kW.</x:v>
      </x:c>
    </x:row>
    <x:row r="125">
      <x:c r="A125" s="83" t="str">
        <x:v>ZCAP-0121</x:v>
      </x:c>
      <x:c r="B125" s="83" t="str">
        <x:v>DE_IT_2035</x:v>
      </x:c>
      <x:c r="C125" s="83" t="n">
        <x:v>2035</x:v>
      </x:c>
      <x:c r="D125" s="83" t="str">
        <x:v>DE-IT 2035</x:v>
      </x:c>
      <x:c r="E125" s="83" t="str">
        <x:v>Sardegna</x:v>
      </x:c>
      <x:c r="F125" s="83" t="str">
        <x:v>Solar</x:v>
      </x:c>
      <x:c r="G125" s="83" t="str">
        <x:v>Solare utility</x:v>
      </x:c>
      <x:c r="H125" s="83" t="str">
        <x:v>Utility</x:v>
      </x:c>
      <x:c r="I125" s="143" t="n">
        <x:v>5.9</x:v>
      </x:c>
      <x:c r="J125" s="83" t="str">
        <x:v>GW</x:v>
      </x:c>
      <x:c r="K125" s="83" t="str">
        <x:v>Assunzione di scenario</x:v>
      </x:c>
      <x:c r="L125" s="83" t="str">
        <x:v>S09</x:v>
      </x:c>
      <x:c r="M125" s="83" t="str">
        <x:v>Documento_Descrizione_Scenari_2024_8dce2430d44d101.pdf</x:v>
      </x:c>
      <x:c r="N125" s="83" t="n">
        <x:v>60</x:v>
      </x:c>
      <x:c r="O125" s="83" t="n">
        <x:v>58</x:v>
      </x:c>
      <x:c r="P125" s="83" t="str">
        <x:v>Tabella 14</x:v>
      </x:c>
      <x:c r="Q125" s="83" t="str">
        <x:v>Direct table extraction; visual/text verification</x:v>
      </x:c>
      <x:c r="R125" s="83" t="str">
        <x:v>A - Direct</x:v>
      </x:c>
      <x:c r="S125" s="83" t="str">
        <x:v>Zonal p_nom input after mapping to PyPSA carrier.</x:v>
      </x:c>
      <x:c r="T125" s="83" t="str">
        <x:v>For 2023, distributed includes LV-connected plants and plants &lt;200 kW.</x:v>
      </x:c>
    </x:row>
    <x:row r="126">
      <x:c r="A126" s="83" t="str">
        <x:v>ZCAP-0122</x:v>
      </x:c>
      <x:c r="B126" s="83" t="str">
        <x:v>GA_IT_2035</x:v>
      </x:c>
      <x:c r="C126" s="83" t="n">
        <x:v>2035</x:v>
      </x:c>
      <x:c r="D126" s="83" t="str">
        <x:v>GA-IT 2035</x:v>
      </x:c>
      <x:c r="E126" s="83" t="str">
        <x:v>Sardegna</x:v>
      </x:c>
      <x:c r="F126" s="83" t="str">
        <x:v>Solar</x:v>
      </x:c>
      <x:c r="G126" s="83" t="str">
        <x:v>Solare utility</x:v>
      </x:c>
      <x:c r="H126" s="83" t="str">
        <x:v>Utility</x:v>
      </x:c>
      <x:c r="I126" s="143" t="n">
        <x:v>5.3</x:v>
      </x:c>
      <x:c r="J126" s="83" t="str">
        <x:v>GW</x:v>
      </x:c>
      <x:c r="K126" s="83" t="str">
        <x:v>Assunzione di scenario</x:v>
      </x:c>
      <x:c r="L126" s="83" t="str">
        <x:v>S09</x:v>
      </x:c>
      <x:c r="M126" s="83" t="str">
        <x:v>Documento_Descrizione_Scenari_2024_8dce2430d44d101.pdf</x:v>
      </x:c>
      <x:c r="N126" s="83" t="n">
        <x:v>60</x:v>
      </x:c>
      <x:c r="O126" s="83" t="n">
        <x:v>58</x:v>
      </x:c>
      <x:c r="P126" s="83" t="str">
        <x:v>Tabella 14</x:v>
      </x:c>
      <x:c r="Q126" s="83" t="str">
        <x:v>Direct table extraction; visual/text verification</x:v>
      </x:c>
      <x:c r="R126" s="83" t="str">
        <x:v>A - Direct</x:v>
      </x:c>
      <x:c r="S126" s="83" t="str">
        <x:v>Zonal p_nom input after mapping to PyPSA carrier.</x:v>
      </x:c>
      <x:c r="T126" s="83" t="str">
        <x:v>For 2023, distributed includes LV-connected plants and plants &lt;200 kW.</x:v>
      </x:c>
    </x:row>
    <x:row r="127">
      <x:c r="A127" s="83" t="str">
        <x:v>ZCAP-0123</x:v>
      </x:c>
      <x:c r="B127" s="83" t="str">
        <x:v>PNIEC_SLOW_2035</x:v>
      </x:c>
      <x:c r="C127" s="83" t="n">
        <x:v>2035</x:v>
      </x:c>
      <x:c r="D127" s="83" t="str">
        <x:v>PNIEC Slow 2035</x:v>
      </x:c>
      <x:c r="E127" s="83" t="str">
        <x:v>Sardegna</x:v>
      </x:c>
      <x:c r="F127" s="83" t="str">
        <x:v>Solar</x:v>
      </x:c>
      <x:c r="G127" s="83" t="str">
        <x:v>Solare utility</x:v>
      </x:c>
      <x:c r="H127" s="83" t="str">
        <x:v>Utility</x:v>
      </x:c>
      <x:c r="I127" s="143" t="n">
        <x:v>4.9</x:v>
      </x:c>
      <x:c r="J127" s="83" t="str">
        <x:v>GW</x:v>
      </x:c>
      <x:c r="K127" s="83" t="str">
        <x:v>Assunzione di scenario</x:v>
      </x:c>
      <x:c r="L127" s="83" t="str">
        <x:v>S09</x:v>
      </x:c>
      <x:c r="M127" s="83" t="str">
        <x:v>Documento_Descrizione_Scenari_2024_8dce2430d44d101.pdf</x:v>
      </x:c>
      <x:c r="N127" s="83" t="n">
        <x:v>60</x:v>
      </x:c>
      <x:c r="O127" s="83" t="n">
        <x:v>58</x:v>
      </x:c>
      <x:c r="P127" s="83" t="str">
        <x:v>Tabella 14</x:v>
      </x:c>
      <x:c r="Q127" s="83" t="str">
        <x:v>Direct table extraction; visual/text verification</x:v>
      </x:c>
      <x:c r="R127" s="83" t="str">
        <x:v>A - Direct</x:v>
      </x:c>
      <x:c r="S127" s="83" t="str">
        <x:v>Zonal p_nom input after mapping to PyPSA carrier.</x:v>
      </x:c>
      <x:c r="T127" s="83" t="str">
        <x:v>For 2023, distributed includes LV-connected plants and plants &lt;200 kW.</x:v>
      </x:c>
    </x:row>
    <x:row r="128">
      <x:c r="A128" s="83" t="str">
        <x:v>ZCAP-0124</x:v>
      </x:c>
      <x:c r="B128" s="83" t="str">
        <x:v>DE_IT_2040</x:v>
      </x:c>
      <x:c r="C128" s="83" t="n">
        <x:v>2040</x:v>
      </x:c>
      <x:c r="D128" s="83" t="str">
        <x:v>DE-IT 2040</x:v>
      </x:c>
      <x:c r="E128" s="83" t="str">
        <x:v>Sardegna</x:v>
      </x:c>
      <x:c r="F128" s="83" t="str">
        <x:v>Solar</x:v>
      </x:c>
      <x:c r="G128" s="83" t="str">
        <x:v>Solare utility</x:v>
      </x:c>
      <x:c r="H128" s="83" t="str">
        <x:v>Utility</x:v>
      </x:c>
      <x:c r="I128" s="143" t="n">
        <x:v>7.7</x:v>
      </x:c>
      <x:c r="J128" s="83" t="str">
        <x:v>GW</x:v>
      </x:c>
      <x:c r="K128" s="83" t="str">
        <x:v>Assunzione di scenario</x:v>
      </x:c>
      <x:c r="L128" s="83" t="str">
        <x:v>S09</x:v>
      </x:c>
      <x:c r="M128" s="83" t="str">
        <x:v>Documento_Descrizione_Scenari_2024_8dce2430d44d101.pdf</x:v>
      </x:c>
      <x:c r="N128" s="83" t="n">
        <x:v>60</x:v>
      </x:c>
      <x:c r="O128" s="83" t="n">
        <x:v>58</x:v>
      </x:c>
      <x:c r="P128" s="83" t="str">
        <x:v>Tabella 14</x:v>
      </x:c>
      <x:c r="Q128" s="83" t="str">
        <x:v>Direct table extraction; visual/text verification</x:v>
      </x:c>
      <x:c r="R128" s="83" t="str">
        <x:v>A - Direct</x:v>
      </x:c>
      <x:c r="S128" s="83" t="str">
        <x:v>Zonal p_nom input after mapping to PyPSA carrier.</x:v>
      </x:c>
      <x:c r="T128" s="83" t="str">
        <x:v>For 2023, distributed includes LV-connected plants and plants &lt;200 kW.</x:v>
      </x:c>
    </x:row>
    <x:row r="129">
      <x:c r="A129" s="83" t="str">
        <x:v>ZCAP-0125</x:v>
      </x:c>
      <x:c r="B129" s="83" t="str">
        <x:v>GA_IT_2040</x:v>
      </x:c>
      <x:c r="C129" s="83" t="n">
        <x:v>2040</x:v>
      </x:c>
      <x:c r="D129" s="83" t="str">
        <x:v>GA-IT 2040</x:v>
      </x:c>
      <x:c r="E129" s="83" t="str">
        <x:v>Sardegna</x:v>
      </x:c>
      <x:c r="F129" s="83" t="str">
        <x:v>Solar</x:v>
      </x:c>
      <x:c r="G129" s="83" t="str">
        <x:v>Solare utility</x:v>
      </x:c>
      <x:c r="H129" s="83" t="str">
        <x:v>Utility</x:v>
      </x:c>
      <x:c r="I129" s="143" t="n">
        <x:v>6.6</x:v>
      </x:c>
      <x:c r="J129" s="83" t="str">
        <x:v>GW</x:v>
      </x:c>
      <x:c r="K129" s="83" t="str">
        <x:v>Assunzione di scenario</x:v>
      </x:c>
      <x:c r="L129" s="83" t="str">
        <x:v>S09</x:v>
      </x:c>
      <x:c r="M129" s="83" t="str">
        <x:v>Documento_Descrizione_Scenari_2024_8dce2430d44d101.pdf</x:v>
      </x:c>
      <x:c r="N129" s="83" t="n">
        <x:v>60</x:v>
      </x:c>
      <x:c r="O129" s="83" t="n">
        <x:v>58</x:v>
      </x:c>
      <x:c r="P129" s="83" t="str">
        <x:v>Tabella 14</x:v>
      </x:c>
      <x:c r="Q129" s="83" t="str">
        <x:v>Direct table extraction; visual/text verification</x:v>
      </x:c>
      <x:c r="R129" s="83" t="str">
        <x:v>A - Direct</x:v>
      </x:c>
      <x:c r="S129" s="83" t="str">
        <x:v>Zonal p_nom input after mapping to PyPSA carrier.</x:v>
      </x:c>
      <x:c r="T129" s="83" t="str">
        <x:v>For 2023, distributed includes LV-connected plants and plants &lt;200 kW.</x:v>
      </x:c>
    </x:row>
    <x:row r="130">
      <x:c r="A130" s="83" t="str">
        <x:v>ZCAP-0126</x:v>
      </x:c>
      <x:c r="B130" s="83" t="str">
        <x:v>PNIEC_SLOW_2040</x:v>
      </x:c>
      <x:c r="C130" s="83" t="n">
        <x:v>2040</x:v>
      </x:c>
      <x:c r="D130" s="83" t="str">
        <x:v>PNIEC Slow 2040</x:v>
      </x:c>
      <x:c r="E130" s="83" t="str">
        <x:v>Sardegna</x:v>
      </x:c>
      <x:c r="F130" s="83" t="str">
        <x:v>Solar</x:v>
      </x:c>
      <x:c r="G130" s="83" t="str">
        <x:v>Solare utility</x:v>
      </x:c>
      <x:c r="H130" s="83" t="str">
        <x:v>Utility</x:v>
      </x:c>
      <x:c r="I130" s="143" t="n">
        <x:v>6.4</x:v>
      </x:c>
      <x:c r="J130" s="83" t="str">
        <x:v>GW</x:v>
      </x:c>
      <x:c r="K130" s="83" t="str">
        <x:v>Assunzione di scenario</x:v>
      </x:c>
      <x:c r="L130" s="83" t="str">
        <x:v>S09</x:v>
      </x:c>
      <x:c r="M130" s="83" t="str">
        <x:v>Documento_Descrizione_Scenari_2024_8dce2430d44d101.pdf</x:v>
      </x:c>
      <x:c r="N130" s="83" t="n">
        <x:v>60</x:v>
      </x:c>
      <x:c r="O130" s="83" t="n">
        <x:v>58</x:v>
      </x:c>
      <x:c r="P130" s="83" t="str">
        <x:v>Tabella 14</x:v>
      </x:c>
      <x:c r="Q130" s="83" t="str">
        <x:v>Direct table extraction; visual/text verification</x:v>
      </x:c>
      <x:c r="R130" s="83" t="str">
        <x:v>A - Direct</x:v>
      </x:c>
      <x:c r="S130" s="83" t="str">
        <x:v>Zonal p_nom input after mapping to PyPSA carrier.</x:v>
      </x:c>
      <x:c r="T130" s="83" t="str">
        <x:v>For 2023, distributed includes LV-connected plants and plants &lt;200 kW.</x:v>
      </x:c>
    </x:row>
    <x:row r="131">
      <x:c r="A131" s="83" t="str">
        <x:v>ZCAP-0127</x:v>
      </x:c>
      <x:c r="B131" s="83" t="str">
        <x:v>HIST_2023</x:v>
      </x:c>
      <x:c r="C131" s="83" t="n">
        <x:v>2023</x:v>
      </x:c>
      <x:c r="D131" s="83" t="str">
        <x:v>Storico 2023</x:v>
      </x:c>
      <x:c r="E131" s="83" t="str">
        <x:v>Nord</x:v>
      </x:c>
      <x:c r="F131" s="83" t="str">
        <x:v>Wind</x:v>
      </x:c>
      <x:c r="G131" s="83" t="str">
        <x:v>Eolico onshore</x:v>
      </x:c>
      <x:c r="H131" s="83" t="str">
        <x:v>Distribuito</x:v>
      </x:c>
      <x:c r="I131" s="143" t="n">
        <x:v>0.2</x:v>
      </x:c>
      <x:c r="J131" s="83" t="str">
        <x:v>GW</x:v>
      </x:c>
      <x:c r="K131" s="83" t="str">
        <x:v>Dato osservato storico</x:v>
      </x:c>
      <x:c r="L131" s="83" t="str">
        <x:v>S09</x:v>
      </x:c>
      <x:c r="M131" s="83" t="str">
        <x:v>Documento_Descrizione_Scenari_2024_8dce2430d44d101.pdf</x:v>
      </x:c>
      <x:c r="N131" s="83" t="n">
        <x:v>61</x:v>
      </x:c>
      <x:c r="O131" s="83" t="n">
        <x:v>59</x:v>
      </x:c>
      <x:c r="P131" s="83" t="str">
        <x:v>Tabella 15</x:v>
      </x:c>
      <x:c r="Q131" s="83" t="str">
        <x:v>Direct table extraction; visual/text verification</x:v>
      </x:c>
      <x:c r="R131" s="83" t="str">
        <x:v>A - Direct</x:v>
      </x:c>
      <x:c r="S131" s="83" t="str">
        <x:v>Zonal p_nom input after mapping to PyPSA carrier.</x:v>
      </x:c>
      <x:c r="T131" s="83" t="str">
        <x:v>Table source labels rows as Distribuito/Utility; standardized as onshore/offshore.</x:v>
      </x:c>
    </x:row>
    <x:row r="132">
      <x:c r="A132" s="83" t="str">
        <x:v>ZCAP-0128</x:v>
      </x:c>
      <x:c r="B132" s="83" t="str">
        <x:v>PNIEC_POLICY_2030</x:v>
      </x:c>
      <x:c r="C132" s="83" t="n">
        <x:v>2030</x:v>
      </x:c>
      <x:c r="D132" s="83" t="str">
        <x:v>PNIEC Policy 2030</x:v>
      </x:c>
      <x:c r="E132" s="83" t="str">
        <x:v>Nord</x:v>
      </x:c>
      <x:c r="F132" s="83" t="str">
        <x:v>Wind</x:v>
      </x:c>
      <x:c r="G132" s="83" t="str">
        <x:v>Eolico onshore</x:v>
      </x:c>
      <x:c r="H132" s="83" t="str">
        <x:v>Distribuito</x:v>
      </x:c>
      <x:c r="I132" s="143" t="n">
        <x:v>0.4</x:v>
      </x:c>
      <x:c r="J132" s="83" t="str">
        <x:v>GW</x:v>
      </x:c>
      <x:c r="K132" s="83" t="str">
        <x:v>Assunzione di scenario</x:v>
      </x:c>
      <x:c r="L132" s="83" t="str">
        <x:v>S09</x:v>
      </x:c>
      <x:c r="M132" s="83" t="str">
        <x:v>Documento_Descrizione_Scenari_2024_8dce2430d44d101.pdf</x:v>
      </x:c>
      <x:c r="N132" s="83" t="n">
        <x:v>61</x:v>
      </x:c>
      <x:c r="O132" s="83" t="n">
        <x:v>59</x:v>
      </x:c>
      <x:c r="P132" s="83" t="str">
        <x:v>Tabella 15</x:v>
      </x:c>
      <x:c r="Q132" s="83" t="str">
        <x:v>Direct table extraction; visual/text verification</x:v>
      </x:c>
      <x:c r="R132" s="83" t="str">
        <x:v>A - Direct</x:v>
      </x:c>
      <x:c r="S132" s="83" t="str">
        <x:v>Zonal p_nom input after mapping to PyPSA carrier.</x:v>
      </x:c>
      <x:c r="T132" s="83" t="str">
        <x:v>Table source labels rows as Distribuito/Utility; standardized as onshore/offshore.</x:v>
      </x:c>
    </x:row>
    <x:row r="133">
      <x:c r="A133" s="83" t="str">
        <x:v>ZCAP-0129</x:v>
      </x:c>
      <x:c r="B133" s="83" t="str">
        <x:v>PNIEC_SLOW_2030</x:v>
      </x:c>
      <x:c r="C133" s="83" t="n">
        <x:v>2030</x:v>
      </x:c>
      <x:c r="D133" s="83" t="str">
        <x:v>PNIEC Slow 2030</x:v>
      </x:c>
      <x:c r="E133" s="83" t="str">
        <x:v>Nord</x:v>
      </x:c>
      <x:c r="F133" s="83" t="str">
        <x:v>Wind</x:v>
      </x:c>
      <x:c r="G133" s="83" t="str">
        <x:v>Eolico onshore</x:v>
      </x:c>
      <x:c r="H133" s="83" t="str">
        <x:v>Distribuito</x:v>
      </x:c>
      <x:c r="I133" s="143" t="n">
        <x:v>0.4</x:v>
      </x:c>
      <x:c r="J133" s="83" t="str">
        <x:v>GW</x:v>
      </x:c>
      <x:c r="K133" s="83" t="str">
        <x:v>Assunzione di scenario</x:v>
      </x:c>
      <x:c r="L133" s="83" t="str">
        <x:v>S09</x:v>
      </x:c>
      <x:c r="M133" s="83" t="str">
        <x:v>Documento_Descrizione_Scenari_2024_8dce2430d44d101.pdf</x:v>
      </x:c>
      <x:c r="N133" s="83" t="n">
        <x:v>61</x:v>
      </x:c>
      <x:c r="O133" s="83" t="n">
        <x:v>59</x:v>
      </x:c>
      <x:c r="P133" s="83" t="str">
        <x:v>Tabella 15</x:v>
      </x:c>
      <x:c r="Q133" s="83" t="str">
        <x:v>Direct table extraction; visual/text verification</x:v>
      </x:c>
      <x:c r="R133" s="83" t="str">
        <x:v>A - Direct</x:v>
      </x:c>
      <x:c r="S133" s="83" t="str">
        <x:v>Zonal p_nom input after mapping to PyPSA carrier.</x:v>
      </x:c>
      <x:c r="T133" s="83" t="str">
        <x:v>Table source labels rows as Distribuito/Utility; standardized as onshore/offshore.</x:v>
      </x:c>
    </x:row>
    <x:row r="134">
      <x:c r="A134" s="83" t="str">
        <x:v>ZCAP-0130</x:v>
      </x:c>
      <x:c r="B134" s="83" t="str">
        <x:v>DE_IT_2035</x:v>
      </x:c>
      <x:c r="C134" s="83" t="n">
        <x:v>2035</x:v>
      </x:c>
      <x:c r="D134" s="83" t="str">
        <x:v>DE-IT 2035</x:v>
      </x:c>
      <x:c r="E134" s="83" t="str">
        <x:v>Nord</x:v>
      </x:c>
      <x:c r="F134" s="83" t="str">
        <x:v>Wind</x:v>
      </x:c>
      <x:c r="G134" s="83" t="str">
        <x:v>Eolico onshore</x:v>
      </x:c>
      <x:c r="H134" s="83" t="str">
        <x:v>Distribuito</x:v>
      </x:c>
      <x:c r="I134" s="143" t="n">
        <x:v>0.5</x:v>
      </x:c>
      <x:c r="J134" s="83" t="str">
        <x:v>GW</x:v>
      </x:c>
      <x:c r="K134" s="83" t="str">
        <x:v>Assunzione di scenario</x:v>
      </x:c>
      <x:c r="L134" s="83" t="str">
        <x:v>S09</x:v>
      </x:c>
      <x:c r="M134" s="83" t="str">
        <x:v>Documento_Descrizione_Scenari_2024_8dce2430d44d101.pdf</x:v>
      </x:c>
      <x:c r="N134" s="83" t="n">
        <x:v>61</x:v>
      </x:c>
      <x:c r="O134" s="83" t="n">
        <x:v>59</x:v>
      </x:c>
      <x:c r="P134" s="83" t="str">
        <x:v>Tabella 15</x:v>
      </x:c>
      <x:c r="Q134" s="83" t="str">
        <x:v>Direct table extraction; visual/text verification</x:v>
      </x:c>
      <x:c r="R134" s="83" t="str">
        <x:v>A - Direct</x:v>
      </x:c>
      <x:c r="S134" s="83" t="str">
        <x:v>Zonal p_nom input after mapping to PyPSA carrier.</x:v>
      </x:c>
      <x:c r="T134" s="83" t="str">
        <x:v>Table source labels rows as Distribuito/Utility; standardized as onshore/offshore.</x:v>
      </x:c>
    </x:row>
    <x:row r="135">
      <x:c r="A135" s="83" t="str">
        <x:v>ZCAP-0131</x:v>
      </x:c>
      <x:c r="B135" s="83" t="str">
        <x:v>GA_IT_2035</x:v>
      </x:c>
      <x:c r="C135" s="83" t="n">
        <x:v>2035</x:v>
      </x:c>
      <x:c r="D135" s="83" t="str">
        <x:v>GA-IT 2035</x:v>
      </x:c>
      <x:c r="E135" s="83" t="str">
        <x:v>Nord</x:v>
      </x:c>
      <x:c r="F135" s="83" t="str">
        <x:v>Wind</x:v>
      </x:c>
      <x:c r="G135" s="83" t="str">
        <x:v>Eolico onshore</x:v>
      </x:c>
      <x:c r="H135" s="83" t="str">
        <x:v>Distribuito</x:v>
      </x:c>
      <x:c r="I135" s="143" t="n">
        <x:v>0.5</x:v>
      </x:c>
      <x:c r="J135" s="83" t="str">
        <x:v>GW</x:v>
      </x:c>
      <x:c r="K135" s="83" t="str">
        <x:v>Assunzione di scenario</x:v>
      </x:c>
      <x:c r="L135" s="83" t="str">
        <x:v>S09</x:v>
      </x:c>
      <x:c r="M135" s="83" t="str">
        <x:v>Documento_Descrizione_Scenari_2024_8dce2430d44d101.pdf</x:v>
      </x:c>
      <x:c r="N135" s="83" t="n">
        <x:v>61</x:v>
      </x:c>
      <x:c r="O135" s="83" t="n">
        <x:v>59</x:v>
      </x:c>
      <x:c r="P135" s="83" t="str">
        <x:v>Tabella 15</x:v>
      </x:c>
      <x:c r="Q135" s="83" t="str">
        <x:v>Direct table extraction; visual/text verification</x:v>
      </x:c>
      <x:c r="R135" s="83" t="str">
        <x:v>A - Direct</x:v>
      </x:c>
      <x:c r="S135" s="83" t="str">
        <x:v>Zonal p_nom input after mapping to PyPSA carrier.</x:v>
      </x:c>
      <x:c r="T135" s="83" t="str">
        <x:v>Table source labels rows as Distribuito/Utility; standardized as onshore/offshore.</x:v>
      </x:c>
    </x:row>
    <x:row r="136">
      <x:c r="A136" s="83" t="str">
        <x:v>ZCAP-0132</x:v>
      </x:c>
      <x:c r="B136" s="83" t="str">
        <x:v>PNIEC_SLOW_2035</x:v>
      </x:c>
      <x:c r="C136" s="83" t="n">
        <x:v>2035</x:v>
      </x:c>
      <x:c r="D136" s="83" t="str">
        <x:v>PNIEC Slow 2035</x:v>
      </x:c>
      <x:c r="E136" s="83" t="str">
        <x:v>Nord</x:v>
      </x:c>
      <x:c r="F136" s="83" t="str">
        <x:v>Wind</x:v>
      </x:c>
      <x:c r="G136" s="83" t="str">
        <x:v>Eolico onshore</x:v>
      </x:c>
      <x:c r="H136" s="83" t="str">
        <x:v>Distribuito</x:v>
      </x:c>
      <x:c r="I136" s="143" t="n">
        <x:v>0.5</x:v>
      </x:c>
      <x:c r="J136" s="83" t="str">
        <x:v>GW</x:v>
      </x:c>
      <x:c r="K136" s="83" t="str">
        <x:v>Assunzione di scenario</x:v>
      </x:c>
      <x:c r="L136" s="83" t="str">
        <x:v>S09</x:v>
      </x:c>
      <x:c r="M136" s="83" t="str">
        <x:v>Documento_Descrizione_Scenari_2024_8dce2430d44d101.pdf</x:v>
      </x:c>
      <x:c r="N136" s="83" t="n">
        <x:v>61</x:v>
      </x:c>
      <x:c r="O136" s="83" t="n">
        <x:v>59</x:v>
      </x:c>
      <x:c r="P136" s="83" t="str">
        <x:v>Tabella 15</x:v>
      </x:c>
      <x:c r="Q136" s="83" t="str">
        <x:v>Direct table extraction; visual/text verification</x:v>
      </x:c>
      <x:c r="R136" s="83" t="str">
        <x:v>A - Direct</x:v>
      </x:c>
      <x:c r="S136" s="83" t="str">
        <x:v>Zonal p_nom input after mapping to PyPSA carrier.</x:v>
      </x:c>
      <x:c r="T136" s="83" t="str">
        <x:v>Table source labels rows as Distribuito/Utility; standardized as onshore/offshore.</x:v>
      </x:c>
    </x:row>
    <x:row r="137">
      <x:c r="A137" s="83" t="str">
        <x:v>ZCAP-0133</x:v>
      </x:c>
      <x:c r="B137" s="83" t="str">
        <x:v>DE_IT_2040</x:v>
      </x:c>
      <x:c r="C137" s="83" t="n">
        <x:v>2040</x:v>
      </x:c>
      <x:c r="D137" s="83" t="str">
        <x:v>DE-IT 2040</x:v>
      </x:c>
      <x:c r="E137" s="83" t="str">
        <x:v>Nord</x:v>
      </x:c>
      <x:c r="F137" s="83" t="str">
        <x:v>Wind</x:v>
      </x:c>
      <x:c r="G137" s="83" t="str">
        <x:v>Eolico onshore</x:v>
      </x:c>
      <x:c r="H137" s="83" t="str">
        <x:v>Distribuito</x:v>
      </x:c>
      <x:c r="I137" s="143" t="n">
        <x:v>0.6</x:v>
      </x:c>
      <x:c r="J137" s="83" t="str">
        <x:v>GW</x:v>
      </x:c>
      <x:c r="K137" s="83" t="str">
        <x:v>Assunzione di scenario</x:v>
      </x:c>
      <x:c r="L137" s="83" t="str">
        <x:v>S09</x:v>
      </x:c>
      <x:c r="M137" s="83" t="str">
        <x:v>Documento_Descrizione_Scenari_2024_8dce2430d44d101.pdf</x:v>
      </x:c>
      <x:c r="N137" s="83" t="n">
        <x:v>61</x:v>
      </x:c>
      <x:c r="O137" s="83" t="n">
        <x:v>59</x:v>
      </x:c>
      <x:c r="P137" s="83" t="str">
        <x:v>Tabella 15</x:v>
      </x:c>
      <x:c r="Q137" s="83" t="str">
        <x:v>Direct table extraction; visual/text verification</x:v>
      </x:c>
      <x:c r="R137" s="83" t="str">
        <x:v>A - Direct</x:v>
      </x:c>
      <x:c r="S137" s="83" t="str">
        <x:v>Zonal p_nom input after mapping to PyPSA carrier.</x:v>
      </x:c>
      <x:c r="T137" s="83" t="str">
        <x:v>Table source labels rows as Distribuito/Utility; standardized as onshore/offshore.</x:v>
      </x:c>
    </x:row>
    <x:row r="138">
      <x:c r="A138" s="83" t="str">
        <x:v>ZCAP-0134</x:v>
      </x:c>
      <x:c r="B138" s="83" t="str">
        <x:v>GA_IT_2040</x:v>
      </x:c>
      <x:c r="C138" s="83" t="n">
        <x:v>2040</x:v>
      </x:c>
      <x:c r="D138" s="83" t="str">
        <x:v>GA-IT 2040</x:v>
      </x:c>
      <x:c r="E138" s="83" t="str">
        <x:v>Nord</x:v>
      </x:c>
      <x:c r="F138" s="83" t="str">
        <x:v>Wind</x:v>
      </x:c>
      <x:c r="G138" s="83" t="str">
        <x:v>Eolico onshore</x:v>
      </x:c>
      <x:c r="H138" s="83" t="str">
        <x:v>Distribuito</x:v>
      </x:c>
      <x:c r="I138" s="143" t="n">
        <x:v>0.5</x:v>
      </x:c>
      <x:c r="J138" s="83" t="str">
        <x:v>GW</x:v>
      </x:c>
      <x:c r="K138" s="83" t="str">
        <x:v>Assunzione di scenario</x:v>
      </x:c>
      <x:c r="L138" s="83" t="str">
        <x:v>S09</x:v>
      </x:c>
      <x:c r="M138" s="83" t="str">
        <x:v>Documento_Descrizione_Scenari_2024_8dce2430d44d101.pdf</x:v>
      </x:c>
      <x:c r="N138" s="83" t="n">
        <x:v>61</x:v>
      </x:c>
      <x:c r="O138" s="83" t="n">
        <x:v>59</x:v>
      </x:c>
      <x:c r="P138" s="83" t="str">
        <x:v>Tabella 15</x:v>
      </x:c>
      <x:c r="Q138" s="83" t="str">
        <x:v>Direct table extraction; visual/text verification</x:v>
      </x:c>
      <x:c r="R138" s="83" t="str">
        <x:v>A - Direct</x:v>
      </x:c>
      <x:c r="S138" s="83" t="str">
        <x:v>Zonal p_nom input after mapping to PyPSA carrier.</x:v>
      </x:c>
      <x:c r="T138" s="83" t="str">
        <x:v>Table source labels rows as Distribuito/Utility; standardized as onshore/offshore.</x:v>
      </x:c>
    </x:row>
    <x:row r="139">
      <x:c r="A139" s="83" t="str">
        <x:v>ZCAP-0135</x:v>
      </x:c>
      <x:c r="B139" s="83" t="str">
        <x:v>PNIEC_SLOW_2040</x:v>
      </x:c>
      <x:c r="C139" s="83" t="n">
        <x:v>2040</x:v>
      </x:c>
      <x:c r="D139" s="83" t="str">
        <x:v>PNIEC Slow 2040</x:v>
      </x:c>
      <x:c r="E139" s="83" t="str">
        <x:v>Nord</x:v>
      </x:c>
      <x:c r="F139" s="83" t="str">
        <x:v>Wind</x:v>
      </x:c>
      <x:c r="G139" s="83" t="str">
        <x:v>Eolico onshore</x:v>
      </x:c>
      <x:c r="H139" s="83" t="str">
        <x:v>Distribuito</x:v>
      </x:c>
      <x:c r="I139" s="143" t="n">
        <x:v>0.6</x:v>
      </x:c>
      <x:c r="J139" s="83" t="str">
        <x:v>GW</x:v>
      </x:c>
      <x:c r="K139" s="83" t="str">
        <x:v>Assunzione di scenario</x:v>
      </x:c>
      <x:c r="L139" s="83" t="str">
        <x:v>S09</x:v>
      </x:c>
      <x:c r="M139" s="83" t="str">
        <x:v>Documento_Descrizione_Scenari_2024_8dce2430d44d101.pdf</x:v>
      </x:c>
      <x:c r="N139" s="83" t="n">
        <x:v>61</x:v>
      </x:c>
      <x:c r="O139" s="83" t="n">
        <x:v>59</x:v>
      </x:c>
      <x:c r="P139" s="83" t="str">
        <x:v>Tabella 15</x:v>
      </x:c>
      <x:c r="Q139" s="83" t="str">
        <x:v>Direct table extraction; visual/text verification</x:v>
      </x:c>
      <x:c r="R139" s="83" t="str">
        <x:v>A - Direct</x:v>
      </x:c>
      <x:c r="S139" s="83" t="str">
        <x:v>Zonal p_nom input after mapping to PyPSA carrier.</x:v>
      </x:c>
      <x:c r="T139" s="83" t="str">
        <x:v>Table source labels rows as Distribuito/Utility; standardized as onshore/offshore.</x:v>
      </x:c>
    </x:row>
    <x:row r="140">
      <x:c r="A140" s="83" t="str">
        <x:v>ZCAP-0136</x:v>
      </x:c>
      <x:c r="B140" s="83" t="str">
        <x:v>HIST_2023</x:v>
      </x:c>
      <x:c r="C140" s="83" t="n">
        <x:v>2023</x:v>
      </x:c>
      <x:c r="D140" s="83" t="str">
        <x:v>Storico 2023</x:v>
      </x:c>
      <x:c r="E140" s="83" t="str">
        <x:v>Nord</x:v>
      </x:c>
      <x:c r="F140" s="83" t="str">
        <x:v>Wind</x:v>
      </x:c>
      <x:c r="G140" s="83" t="str">
        <x:v>Eolico offshore</x:v>
      </x:c>
      <x:c r="H140" s="83" t="str">
        <x:v>Utility</x:v>
      </x:c>
      <x:c r="I140" s="143" t="n">
        <x:v>0</x:v>
      </x:c>
      <x:c r="J140" s="83" t="str">
        <x:v>GW</x:v>
      </x:c>
      <x:c r="K140" s="83" t="str">
        <x:v>Dato osservato storico</x:v>
      </x:c>
      <x:c r="L140" s="83" t="str">
        <x:v>S09</x:v>
      </x:c>
      <x:c r="M140" s="83" t="str">
        <x:v>Documento_Descrizione_Scenari_2024_8dce2430d44d101.pdf</x:v>
      </x:c>
      <x:c r="N140" s="83" t="n">
        <x:v>61</x:v>
      </x:c>
      <x:c r="O140" s="83" t="n">
        <x:v>59</x:v>
      </x:c>
      <x:c r="P140" s="83" t="str">
        <x:v>Tabella 15</x:v>
      </x:c>
      <x:c r="Q140" s="83" t="str">
        <x:v>Direct table extraction; visual/text verification</x:v>
      </x:c>
      <x:c r="R140" s="83" t="str">
        <x:v>A - Direct</x:v>
      </x:c>
      <x:c r="S140" s="83" t="str">
        <x:v>Zonal p_nom input after mapping to PyPSA carrier.</x:v>
      </x:c>
      <x:c r="T140" s="83" t="str">
        <x:v>Table source labels rows as Distribuito/Utility; standardized as onshore/offshore.</x:v>
      </x:c>
    </x:row>
    <x:row r="141">
      <x:c r="A141" s="83" t="str">
        <x:v>ZCAP-0137</x:v>
      </x:c>
      <x:c r="B141" s="83" t="str">
        <x:v>PNIEC_POLICY_2030</x:v>
      </x:c>
      <x:c r="C141" s="83" t="n">
        <x:v>2030</x:v>
      </x:c>
      <x:c r="D141" s="83" t="str">
        <x:v>PNIEC Policy 2030</x:v>
      </x:c>
      <x:c r="E141" s="83" t="str">
        <x:v>Nord</x:v>
      </x:c>
      <x:c r="F141" s="83" t="str">
        <x:v>Wind</x:v>
      </x:c>
      <x:c r="G141" s="83" t="str">
        <x:v>Eolico offshore</x:v>
      </x:c>
      <x:c r="H141" s="83" t="str">
        <x:v>Utility</x:v>
      </x:c>
      <x:c r="I141" s="143" t="n">
        <x:v>0.2</x:v>
      </x:c>
      <x:c r="J141" s="83" t="str">
        <x:v>GW</x:v>
      </x:c>
      <x:c r="K141" s="83" t="str">
        <x:v>Assunzione di scenario</x:v>
      </x:c>
      <x:c r="L141" s="83" t="str">
        <x:v>S09</x:v>
      </x:c>
      <x:c r="M141" s="83" t="str">
        <x:v>Documento_Descrizione_Scenari_2024_8dce2430d44d101.pdf</x:v>
      </x:c>
      <x:c r="N141" s="83" t="n">
        <x:v>61</x:v>
      </x:c>
      <x:c r="O141" s="83" t="n">
        <x:v>59</x:v>
      </x:c>
      <x:c r="P141" s="83" t="str">
        <x:v>Tabella 15</x:v>
      </x:c>
      <x:c r="Q141" s="83" t="str">
        <x:v>Direct table extraction; visual/text verification</x:v>
      </x:c>
      <x:c r="R141" s="83" t="str">
        <x:v>A - Direct</x:v>
      </x:c>
      <x:c r="S141" s="83" t="str">
        <x:v>Zonal p_nom input after mapping to PyPSA carrier.</x:v>
      </x:c>
      <x:c r="T141" s="83" t="str">
        <x:v>Table source labels rows as Distribuito/Utility; standardized as onshore/offshore.</x:v>
      </x:c>
    </x:row>
    <x:row r="142">
      <x:c r="A142" s="83" t="str">
        <x:v>ZCAP-0138</x:v>
      </x:c>
      <x:c r="B142" s="83" t="str">
        <x:v>PNIEC_SLOW_2030</x:v>
      </x:c>
      <x:c r="C142" s="83" t="n">
        <x:v>2030</x:v>
      </x:c>
      <x:c r="D142" s="83" t="str">
        <x:v>PNIEC Slow 2030</x:v>
      </x:c>
      <x:c r="E142" s="83" t="str">
        <x:v>Nord</x:v>
      </x:c>
      <x:c r="F142" s="83" t="str">
        <x:v>Wind</x:v>
      </x:c>
      <x:c r="G142" s="83" t="str">
        <x:v>Eolico offshore</x:v>
      </x:c>
      <x:c r="H142" s="83" t="str">
        <x:v>Utility</x:v>
      </x:c>
      <x:c r="I142" s="143" t="n">
        <x:v>0.1</x:v>
      </x:c>
      <x:c r="J142" s="83" t="str">
        <x:v>GW</x:v>
      </x:c>
      <x:c r="K142" s="83" t="str">
        <x:v>Assunzione di scenario</x:v>
      </x:c>
      <x:c r="L142" s="83" t="str">
        <x:v>S09</x:v>
      </x:c>
      <x:c r="M142" s="83" t="str">
        <x:v>Documento_Descrizione_Scenari_2024_8dce2430d44d101.pdf</x:v>
      </x:c>
      <x:c r="N142" s="83" t="n">
        <x:v>61</x:v>
      </x:c>
      <x:c r="O142" s="83" t="n">
        <x:v>59</x:v>
      </x:c>
      <x:c r="P142" s="83" t="str">
        <x:v>Tabella 15</x:v>
      </x:c>
      <x:c r="Q142" s="83" t="str">
        <x:v>Direct table extraction; visual/text verification</x:v>
      </x:c>
      <x:c r="R142" s="83" t="str">
        <x:v>A - Direct</x:v>
      </x:c>
      <x:c r="S142" s="83" t="str">
        <x:v>Zonal p_nom input after mapping to PyPSA carrier.</x:v>
      </x:c>
      <x:c r="T142" s="83" t="str">
        <x:v>Table source labels rows as Distribuito/Utility; standardized as onshore/offshore.</x:v>
      </x:c>
    </x:row>
    <x:row r="143">
      <x:c r="A143" s="83" t="str">
        <x:v>ZCAP-0139</x:v>
      </x:c>
      <x:c r="B143" s="83" t="str">
        <x:v>DE_IT_2035</x:v>
      </x:c>
      <x:c r="C143" s="83" t="n">
        <x:v>2035</x:v>
      </x:c>
      <x:c r="D143" s="83" t="str">
        <x:v>DE-IT 2035</x:v>
      </x:c>
      <x:c r="E143" s="83" t="str">
        <x:v>Nord</x:v>
      </x:c>
      <x:c r="F143" s="83" t="str">
        <x:v>Wind</x:v>
      </x:c>
      <x:c r="G143" s="83" t="str">
        <x:v>Eolico offshore</x:v>
      </x:c>
      <x:c r="H143" s="83" t="str">
        <x:v>Utility</x:v>
      </x:c>
      <x:c r="I143" s="143" t="n">
        <x:v>0.7</x:v>
      </x:c>
      <x:c r="J143" s="83" t="str">
        <x:v>GW</x:v>
      </x:c>
      <x:c r="K143" s="83" t="str">
        <x:v>Assunzione di scenario</x:v>
      </x:c>
      <x:c r="L143" s="83" t="str">
        <x:v>S09</x:v>
      </x:c>
      <x:c r="M143" s="83" t="str">
        <x:v>Documento_Descrizione_Scenari_2024_8dce2430d44d101.pdf</x:v>
      </x:c>
      <x:c r="N143" s="83" t="n">
        <x:v>61</x:v>
      </x:c>
      <x:c r="O143" s="83" t="n">
        <x:v>59</x:v>
      </x:c>
      <x:c r="P143" s="83" t="str">
        <x:v>Tabella 15</x:v>
      </x:c>
      <x:c r="Q143" s="83" t="str">
        <x:v>Direct table extraction; visual/text verification</x:v>
      </x:c>
      <x:c r="R143" s="83" t="str">
        <x:v>A - Direct</x:v>
      </x:c>
      <x:c r="S143" s="83" t="str">
        <x:v>Zonal p_nom input after mapping to PyPSA carrier.</x:v>
      </x:c>
      <x:c r="T143" s="83" t="str">
        <x:v>Table source labels rows as Distribuito/Utility; standardized as onshore/offshore.</x:v>
      </x:c>
    </x:row>
    <x:row r="144">
      <x:c r="A144" s="83" t="str">
        <x:v>ZCAP-0140</x:v>
      </x:c>
      <x:c r="B144" s="83" t="str">
        <x:v>GA_IT_2035</x:v>
      </x:c>
      <x:c r="C144" s="83" t="n">
        <x:v>2035</x:v>
      </x:c>
      <x:c r="D144" s="83" t="str">
        <x:v>GA-IT 2035</x:v>
      </x:c>
      <x:c r="E144" s="83" t="str">
        <x:v>Nord</x:v>
      </x:c>
      <x:c r="F144" s="83" t="str">
        <x:v>Wind</x:v>
      </x:c>
      <x:c r="G144" s="83" t="str">
        <x:v>Eolico offshore</x:v>
      </x:c>
      <x:c r="H144" s="83" t="str">
        <x:v>Utility</x:v>
      </x:c>
      <x:c r="I144" s="143" t="n">
        <x:v>0.6</x:v>
      </x:c>
      <x:c r="J144" s="83" t="str">
        <x:v>GW</x:v>
      </x:c>
      <x:c r="K144" s="83" t="str">
        <x:v>Assunzione di scenario</x:v>
      </x:c>
      <x:c r="L144" s="83" t="str">
        <x:v>S09</x:v>
      </x:c>
      <x:c r="M144" s="83" t="str">
        <x:v>Documento_Descrizione_Scenari_2024_8dce2430d44d101.pdf</x:v>
      </x:c>
      <x:c r="N144" s="83" t="n">
        <x:v>61</x:v>
      </x:c>
      <x:c r="O144" s="83" t="n">
        <x:v>59</x:v>
      </x:c>
      <x:c r="P144" s="83" t="str">
        <x:v>Tabella 15</x:v>
      </x:c>
      <x:c r="Q144" s="83" t="str">
        <x:v>Direct table extraction; visual/text verification</x:v>
      </x:c>
      <x:c r="R144" s="83" t="str">
        <x:v>A - Direct</x:v>
      </x:c>
      <x:c r="S144" s="83" t="str">
        <x:v>Zonal p_nom input after mapping to PyPSA carrier.</x:v>
      </x:c>
      <x:c r="T144" s="83" t="str">
        <x:v>Table source labels rows as Distribuito/Utility; standardized as onshore/offshore.</x:v>
      </x:c>
    </x:row>
    <x:row r="145">
      <x:c r="A145" s="83" t="str">
        <x:v>ZCAP-0141</x:v>
      </x:c>
      <x:c r="B145" s="83" t="str">
        <x:v>PNIEC_SLOW_2035</x:v>
      </x:c>
      <x:c r="C145" s="83" t="n">
        <x:v>2035</x:v>
      </x:c>
      <x:c r="D145" s="83" t="str">
        <x:v>PNIEC Slow 2035</x:v>
      </x:c>
      <x:c r="E145" s="83" t="str">
        <x:v>Nord</x:v>
      </x:c>
      <x:c r="F145" s="83" t="str">
        <x:v>Wind</x:v>
      </x:c>
      <x:c r="G145" s="83" t="str">
        <x:v>Eolico offshore</x:v>
      </x:c>
      <x:c r="H145" s="83" t="str">
        <x:v>Utility</x:v>
      </x:c>
      <x:c r="I145" s="143" t="n">
        <x:v>0.4</x:v>
      </x:c>
      <x:c r="J145" s="83" t="str">
        <x:v>GW</x:v>
      </x:c>
      <x:c r="K145" s="83" t="str">
        <x:v>Assunzione di scenario</x:v>
      </x:c>
      <x:c r="L145" s="83" t="str">
        <x:v>S09</x:v>
      </x:c>
      <x:c r="M145" s="83" t="str">
        <x:v>Documento_Descrizione_Scenari_2024_8dce2430d44d101.pdf</x:v>
      </x:c>
      <x:c r="N145" s="83" t="n">
        <x:v>61</x:v>
      </x:c>
      <x:c r="O145" s="83" t="n">
        <x:v>59</x:v>
      </x:c>
      <x:c r="P145" s="83" t="str">
        <x:v>Tabella 15</x:v>
      </x:c>
      <x:c r="Q145" s="83" t="str">
        <x:v>Direct table extraction; visual/text verification</x:v>
      </x:c>
      <x:c r="R145" s="83" t="str">
        <x:v>A - Direct</x:v>
      </x:c>
      <x:c r="S145" s="83" t="str">
        <x:v>Zonal p_nom input after mapping to PyPSA carrier.</x:v>
      </x:c>
      <x:c r="T145" s="83" t="str">
        <x:v>Table source labels rows as Distribuito/Utility; standardized as onshore/offshore.</x:v>
      </x:c>
    </x:row>
    <x:row r="146">
      <x:c r="A146" s="83" t="str">
        <x:v>ZCAP-0142</x:v>
      </x:c>
      <x:c r="B146" s="83" t="str">
        <x:v>DE_IT_2040</x:v>
      </x:c>
      <x:c r="C146" s="83" t="n">
        <x:v>2040</x:v>
      </x:c>
      <x:c r="D146" s="83" t="str">
        <x:v>DE-IT 2040</x:v>
      </x:c>
      <x:c r="E146" s="83" t="str">
        <x:v>Nord</x:v>
      </x:c>
      <x:c r="F146" s="83" t="str">
        <x:v>Wind</x:v>
      </x:c>
      <x:c r="G146" s="83" t="str">
        <x:v>Eolico offshore</x:v>
      </x:c>
      <x:c r="H146" s="83" t="str">
        <x:v>Utility</x:v>
      </x:c>
      <x:c r="I146" s="143" t="n">
        <x:v>1.5</x:v>
      </x:c>
      <x:c r="J146" s="83" t="str">
        <x:v>GW</x:v>
      </x:c>
      <x:c r="K146" s="83" t="str">
        <x:v>Assunzione di scenario</x:v>
      </x:c>
      <x:c r="L146" s="83" t="str">
        <x:v>S09</x:v>
      </x:c>
      <x:c r="M146" s="83" t="str">
        <x:v>Documento_Descrizione_Scenari_2024_8dce2430d44d101.pdf</x:v>
      </x:c>
      <x:c r="N146" s="83" t="n">
        <x:v>61</x:v>
      </x:c>
      <x:c r="O146" s="83" t="n">
        <x:v>59</x:v>
      </x:c>
      <x:c r="P146" s="83" t="str">
        <x:v>Tabella 15</x:v>
      </x:c>
      <x:c r="Q146" s="83" t="str">
        <x:v>Direct table extraction; visual/text verification</x:v>
      </x:c>
      <x:c r="R146" s="83" t="str">
        <x:v>A - Direct</x:v>
      </x:c>
      <x:c r="S146" s="83" t="str">
        <x:v>Zonal p_nom input after mapping to PyPSA carrier.</x:v>
      </x:c>
      <x:c r="T146" s="83" t="str">
        <x:v>Table source labels rows as Distribuito/Utility; standardized as onshore/offshore.</x:v>
      </x:c>
    </x:row>
    <x:row r="147">
      <x:c r="A147" s="83" t="str">
        <x:v>ZCAP-0143</x:v>
      </x:c>
      <x:c r="B147" s="83" t="str">
        <x:v>GA_IT_2040</x:v>
      </x:c>
      <x:c r="C147" s="83" t="n">
        <x:v>2040</x:v>
      </x:c>
      <x:c r="D147" s="83" t="str">
        <x:v>GA-IT 2040</x:v>
      </x:c>
      <x:c r="E147" s="83" t="str">
        <x:v>Nord</x:v>
      </x:c>
      <x:c r="F147" s="83" t="str">
        <x:v>Wind</x:v>
      </x:c>
      <x:c r="G147" s="83" t="str">
        <x:v>Eolico offshore</x:v>
      </x:c>
      <x:c r="H147" s="83" t="str">
        <x:v>Utility</x:v>
      </x:c>
      <x:c r="I147" s="143" t="n">
        <x:v>1.2</x:v>
      </x:c>
      <x:c r="J147" s="83" t="str">
        <x:v>GW</x:v>
      </x:c>
      <x:c r="K147" s="83" t="str">
        <x:v>Assunzione di scenario</x:v>
      </x:c>
      <x:c r="L147" s="83" t="str">
        <x:v>S09</x:v>
      </x:c>
      <x:c r="M147" s="83" t="str">
        <x:v>Documento_Descrizione_Scenari_2024_8dce2430d44d101.pdf</x:v>
      </x:c>
      <x:c r="N147" s="83" t="n">
        <x:v>61</x:v>
      </x:c>
      <x:c r="O147" s="83" t="n">
        <x:v>59</x:v>
      </x:c>
      <x:c r="P147" s="83" t="str">
        <x:v>Tabella 15</x:v>
      </x:c>
      <x:c r="Q147" s="83" t="str">
        <x:v>Direct table extraction; visual/text verification</x:v>
      </x:c>
      <x:c r="R147" s="83" t="str">
        <x:v>A - Direct</x:v>
      </x:c>
      <x:c r="S147" s="83" t="str">
        <x:v>Zonal p_nom input after mapping to PyPSA carrier.</x:v>
      </x:c>
      <x:c r="T147" s="83" t="str">
        <x:v>Table source labels rows as Distribuito/Utility; standardized as onshore/offshore.</x:v>
      </x:c>
    </x:row>
    <x:row r="148">
      <x:c r="A148" s="83" t="str">
        <x:v>ZCAP-0144</x:v>
      </x:c>
      <x:c r="B148" s="83" t="str">
        <x:v>PNIEC_SLOW_2040</x:v>
      </x:c>
      <x:c r="C148" s="83" t="n">
        <x:v>2040</x:v>
      </x:c>
      <x:c r="D148" s="83" t="str">
        <x:v>PNIEC Slow 2040</x:v>
      </x:c>
      <x:c r="E148" s="83" t="str">
        <x:v>Nord</x:v>
      </x:c>
      <x:c r="F148" s="83" t="str">
        <x:v>Wind</x:v>
      </x:c>
      <x:c r="G148" s="83" t="str">
        <x:v>Eolico offshore</x:v>
      </x:c>
      <x:c r="H148" s="83" t="str">
        <x:v>Utility</x:v>
      </x:c>
      <x:c r="I148" s="143" t="n">
        <x:v>1</x:v>
      </x:c>
      <x:c r="J148" s="83" t="str">
        <x:v>GW</x:v>
      </x:c>
      <x:c r="K148" s="83" t="str">
        <x:v>Assunzione di scenario</x:v>
      </x:c>
      <x:c r="L148" s="83" t="str">
        <x:v>S09</x:v>
      </x:c>
      <x:c r="M148" s="83" t="str">
        <x:v>Documento_Descrizione_Scenari_2024_8dce2430d44d101.pdf</x:v>
      </x:c>
      <x:c r="N148" s="83" t="n">
        <x:v>61</x:v>
      </x:c>
      <x:c r="O148" s="83" t="n">
        <x:v>59</x:v>
      </x:c>
      <x:c r="P148" s="83" t="str">
        <x:v>Tabella 15</x:v>
      </x:c>
      <x:c r="Q148" s="83" t="str">
        <x:v>Direct table extraction; visual/text verification</x:v>
      </x:c>
      <x:c r="R148" s="83" t="str">
        <x:v>A - Direct</x:v>
      </x:c>
      <x:c r="S148" s="83" t="str">
        <x:v>Zonal p_nom input after mapping to PyPSA carrier.</x:v>
      </x:c>
      <x:c r="T148" s="83" t="str">
        <x:v>Table source labels rows as Distribuito/Utility; standardized as onshore/offshore.</x:v>
      </x:c>
    </x:row>
    <x:row r="149">
      <x:c r="A149" s="83" t="str">
        <x:v>ZCAP-0145</x:v>
      </x:c>
      <x:c r="B149" s="83" t="str">
        <x:v>HIST_2023</x:v>
      </x:c>
      <x:c r="C149" s="83" t="n">
        <x:v>2023</x:v>
      </x:c>
      <x:c r="D149" s="83" t="str">
        <x:v>Storico 2023</x:v>
      </x:c>
      <x:c r="E149" s="83" t="str">
        <x:v>Centro Nord</x:v>
      </x:c>
      <x:c r="F149" s="83" t="str">
        <x:v>Wind</x:v>
      </x:c>
      <x:c r="G149" s="83" t="str">
        <x:v>Eolico onshore</x:v>
      </x:c>
      <x:c r="H149" s="83" t="str">
        <x:v>Distribuito</x:v>
      </x:c>
      <x:c r="I149" s="143" t="n">
        <x:v>0.2</x:v>
      </x:c>
      <x:c r="J149" s="83" t="str">
        <x:v>GW</x:v>
      </x:c>
      <x:c r="K149" s="83" t="str">
        <x:v>Dato osservato storico</x:v>
      </x:c>
      <x:c r="L149" s="83" t="str">
        <x:v>S09</x:v>
      </x:c>
      <x:c r="M149" s="83" t="str">
        <x:v>Documento_Descrizione_Scenari_2024_8dce2430d44d101.pdf</x:v>
      </x:c>
      <x:c r="N149" s="83" t="n">
        <x:v>61</x:v>
      </x:c>
      <x:c r="O149" s="83" t="n">
        <x:v>59</x:v>
      </x:c>
      <x:c r="P149" s="83" t="str">
        <x:v>Tabella 15</x:v>
      </x:c>
      <x:c r="Q149" s="83" t="str">
        <x:v>Direct table extraction; visual/text verification</x:v>
      </x:c>
      <x:c r="R149" s="83" t="str">
        <x:v>A - Direct</x:v>
      </x:c>
      <x:c r="S149" s="83" t="str">
        <x:v>Zonal p_nom input after mapping to PyPSA carrier.</x:v>
      </x:c>
      <x:c r="T149" s="83" t="str">
        <x:v>Table source labels rows as Distribuito/Utility; standardized as onshore/offshore.</x:v>
      </x:c>
    </x:row>
    <x:row r="150">
      <x:c r="A150" s="83" t="str">
        <x:v>ZCAP-0146</x:v>
      </x:c>
      <x:c r="B150" s="83" t="str">
        <x:v>PNIEC_POLICY_2030</x:v>
      </x:c>
      <x:c r="C150" s="83" t="n">
        <x:v>2030</x:v>
      </x:c>
      <x:c r="D150" s="83" t="str">
        <x:v>PNIEC Policy 2030</x:v>
      </x:c>
      <x:c r="E150" s="83" t="str">
        <x:v>Centro Nord</x:v>
      </x:c>
      <x:c r="F150" s="83" t="str">
        <x:v>Wind</x:v>
      </x:c>
      <x:c r="G150" s="83" t="str">
        <x:v>Eolico onshore</x:v>
      </x:c>
      <x:c r="H150" s="83" t="str">
        <x:v>Distribuito</x:v>
      </x:c>
      <x:c r="I150" s="143" t="n">
        <x:v>0.3</x:v>
      </x:c>
      <x:c r="J150" s="83" t="str">
        <x:v>GW</x:v>
      </x:c>
      <x:c r="K150" s="83" t="str">
        <x:v>Assunzione di scenario</x:v>
      </x:c>
      <x:c r="L150" s="83" t="str">
        <x:v>S09</x:v>
      </x:c>
      <x:c r="M150" s="83" t="str">
        <x:v>Documento_Descrizione_Scenari_2024_8dce2430d44d101.pdf</x:v>
      </x:c>
      <x:c r="N150" s="83" t="n">
        <x:v>61</x:v>
      </x:c>
      <x:c r="O150" s="83" t="n">
        <x:v>59</x:v>
      </x:c>
      <x:c r="P150" s="83" t="str">
        <x:v>Tabella 15</x:v>
      </x:c>
      <x:c r="Q150" s="83" t="str">
        <x:v>Direct table extraction; visual/text verification</x:v>
      </x:c>
      <x:c r="R150" s="83" t="str">
        <x:v>A - Direct</x:v>
      </x:c>
      <x:c r="S150" s="83" t="str">
        <x:v>Zonal p_nom input after mapping to PyPSA carrier.</x:v>
      </x:c>
      <x:c r="T150" s="83" t="str">
        <x:v>Table source labels rows as Distribuito/Utility; standardized as onshore/offshore.</x:v>
      </x:c>
    </x:row>
    <x:row r="151">
      <x:c r="A151" s="83" t="str">
        <x:v>ZCAP-0147</x:v>
      </x:c>
      <x:c r="B151" s="83" t="str">
        <x:v>PNIEC_SLOW_2030</x:v>
      </x:c>
      <x:c r="C151" s="83" t="n">
        <x:v>2030</x:v>
      </x:c>
      <x:c r="D151" s="83" t="str">
        <x:v>PNIEC Slow 2030</x:v>
      </x:c>
      <x:c r="E151" s="83" t="str">
        <x:v>Centro Nord</x:v>
      </x:c>
      <x:c r="F151" s="83" t="str">
        <x:v>Wind</x:v>
      </x:c>
      <x:c r="G151" s="83" t="str">
        <x:v>Eolico onshore</x:v>
      </x:c>
      <x:c r="H151" s="83" t="str">
        <x:v>Distribuito</x:v>
      </x:c>
      <x:c r="I151" s="143" t="n">
        <x:v>0.2</x:v>
      </x:c>
      <x:c r="J151" s="83" t="str">
        <x:v>GW</x:v>
      </x:c>
      <x:c r="K151" s="83" t="str">
        <x:v>Assunzione di scenario</x:v>
      </x:c>
      <x:c r="L151" s="83" t="str">
        <x:v>S09</x:v>
      </x:c>
      <x:c r="M151" s="83" t="str">
        <x:v>Documento_Descrizione_Scenari_2024_8dce2430d44d101.pdf</x:v>
      </x:c>
      <x:c r="N151" s="83" t="n">
        <x:v>61</x:v>
      </x:c>
      <x:c r="O151" s="83" t="n">
        <x:v>59</x:v>
      </x:c>
      <x:c r="P151" s="83" t="str">
        <x:v>Tabella 15</x:v>
      </x:c>
      <x:c r="Q151" s="83" t="str">
        <x:v>Direct table extraction; visual/text verification</x:v>
      </x:c>
      <x:c r="R151" s="83" t="str">
        <x:v>A - Direct</x:v>
      </x:c>
      <x:c r="S151" s="83" t="str">
        <x:v>Zonal p_nom input after mapping to PyPSA carrier.</x:v>
      </x:c>
      <x:c r="T151" s="83" t="str">
        <x:v>Table source labels rows as Distribuito/Utility; standardized as onshore/offshore.</x:v>
      </x:c>
    </x:row>
    <x:row r="152">
      <x:c r="A152" s="83" t="str">
        <x:v>ZCAP-0148</x:v>
      </x:c>
      <x:c r="B152" s="83" t="str">
        <x:v>DE_IT_2035</x:v>
      </x:c>
      <x:c r="C152" s="83" t="n">
        <x:v>2035</x:v>
      </x:c>
      <x:c r="D152" s="83" t="str">
        <x:v>DE-IT 2035</x:v>
      </x:c>
      <x:c r="E152" s="83" t="str">
        <x:v>Centro Nord</x:v>
      </x:c>
      <x:c r="F152" s="83" t="str">
        <x:v>Wind</x:v>
      </x:c>
      <x:c r="G152" s="83" t="str">
        <x:v>Eolico onshore</x:v>
      </x:c>
      <x:c r="H152" s="83" t="str">
        <x:v>Distribuito</x:v>
      </x:c>
      <x:c r="I152" s="143" t="n">
        <x:v>0.3</x:v>
      </x:c>
      <x:c r="J152" s="83" t="str">
        <x:v>GW</x:v>
      </x:c>
      <x:c r="K152" s="83" t="str">
        <x:v>Assunzione di scenario</x:v>
      </x:c>
      <x:c r="L152" s="83" t="str">
        <x:v>S09</x:v>
      </x:c>
      <x:c r="M152" s="83" t="str">
        <x:v>Documento_Descrizione_Scenari_2024_8dce2430d44d101.pdf</x:v>
      </x:c>
      <x:c r="N152" s="83" t="n">
        <x:v>61</x:v>
      </x:c>
      <x:c r="O152" s="83" t="n">
        <x:v>59</x:v>
      </x:c>
      <x:c r="P152" s="83" t="str">
        <x:v>Tabella 15</x:v>
      </x:c>
      <x:c r="Q152" s="83" t="str">
        <x:v>Direct table extraction; visual/text verification</x:v>
      </x:c>
      <x:c r="R152" s="83" t="str">
        <x:v>A - Direct</x:v>
      </x:c>
      <x:c r="S152" s="83" t="str">
        <x:v>Zonal p_nom input after mapping to PyPSA carrier.</x:v>
      </x:c>
      <x:c r="T152" s="83" t="str">
        <x:v>Table source labels rows as Distribuito/Utility; standardized as onshore/offshore.</x:v>
      </x:c>
    </x:row>
    <x:row r="153">
      <x:c r="A153" s="83" t="str">
        <x:v>ZCAP-0149</x:v>
      </x:c>
      <x:c r="B153" s="83" t="str">
        <x:v>GA_IT_2035</x:v>
      </x:c>
      <x:c r="C153" s="83" t="n">
        <x:v>2035</x:v>
      </x:c>
      <x:c r="D153" s="83" t="str">
        <x:v>GA-IT 2035</x:v>
      </x:c>
      <x:c r="E153" s="83" t="str">
        <x:v>Centro Nord</x:v>
      </x:c>
      <x:c r="F153" s="83" t="str">
        <x:v>Wind</x:v>
      </x:c>
      <x:c r="G153" s="83" t="str">
        <x:v>Eolico onshore</x:v>
      </x:c>
      <x:c r="H153" s="83" t="str">
        <x:v>Distribuito</x:v>
      </x:c>
      <x:c r="I153" s="143" t="n">
        <x:v>0.3</x:v>
      </x:c>
      <x:c r="J153" s="83" t="str">
        <x:v>GW</x:v>
      </x:c>
      <x:c r="K153" s="83" t="str">
        <x:v>Assunzione di scenario</x:v>
      </x:c>
      <x:c r="L153" s="83" t="str">
        <x:v>S09</x:v>
      </x:c>
      <x:c r="M153" s="83" t="str">
        <x:v>Documento_Descrizione_Scenari_2024_8dce2430d44d101.pdf</x:v>
      </x:c>
      <x:c r="N153" s="83" t="n">
        <x:v>61</x:v>
      </x:c>
      <x:c r="O153" s="83" t="n">
        <x:v>59</x:v>
      </x:c>
      <x:c r="P153" s="83" t="str">
        <x:v>Tabella 15</x:v>
      </x:c>
      <x:c r="Q153" s="83" t="str">
        <x:v>Direct table extraction; visual/text verification</x:v>
      </x:c>
      <x:c r="R153" s="83" t="str">
        <x:v>A - Direct</x:v>
      </x:c>
      <x:c r="S153" s="83" t="str">
        <x:v>Zonal p_nom input after mapping to PyPSA carrier.</x:v>
      </x:c>
      <x:c r="T153" s="83" t="str">
        <x:v>Table source labels rows as Distribuito/Utility; standardized as onshore/offshore.</x:v>
      </x:c>
    </x:row>
    <x:row r="154">
      <x:c r="A154" s="83" t="str">
        <x:v>ZCAP-0150</x:v>
      </x:c>
      <x:c r="B154" s="83" t="str">
        <x:v>PNIEC_SLOW_2035</x:v>
      </x:c>
      <x:c r="C154" s="83" t="n">
        <x:v>2035</x:v>
      </x:c>
      <x:c r="D154" s="83" t="str">
        <x:v>PNIEC Slow 2035</x:v>
      </x:c>
      <x:c r="E154" s="83" t="str">
        <x:v>Centro Nord</x:v>
      </x:c>
      <x:c r="F154" s="83" t="str">
        <x:v>Wind</x:v>
      </x:c>
      <x:c r="G154" s="83" t="str">
        <x:v>Eolico onshore</x:v>
      </x:c>
      <x:c r="H154" s="83" t="str">
        <x:v>Distribuito</x:v>
      </x:c>
      <x:c r="I154" s="143" t="n">
        <x:v>0.3</x:v>
      </x:c>
      <x:c r="J154" s="83" t="str">
        <x:v>GW</x:v>
      </x:c>
      <x:c r="K154" s="83" t="str">
        <x:v>Assunzione di scenario</x:v>
      </x:c>
      <x:c r="L154" s="83" t="str">
        <x:v>S09</x:v>
      </x:c>
      <x:c r="M154" s="83" t="str">
        <x:v>Documento_Descrizione_Scenari_2024_8dce2430d44d101.pdf</x:v>
      </x:c>
      <x:c r="N154" s="83" t="n">
        <x:v>61</x:v>
      </x:c>
      <x:c r="O154" s="83" t="n">
        <x:v>59</x:v>
      </x:c>
      <x:c r="P154" s="83" t="str">
        <x:v>Tabella 15</x:v>
      </x:c>
      <x:c r="Q154" s="83" t="str">
        <x:v>Direct table extraction; visual/text verification</x:v>
      </x:c>
      <x:c r="R154" s="83" t="str">
        <x:v>A - Direct</x:v>
      </x:c>
      <x:c r="S154" s="83" t="str">
        <x:v>Zonal p_nom input after mapping to PyPSA carrier.</x:v>
      </x:c>
      <x:c r="T154" s="83" t="str">
        <x:v>Table source labels rows as Distribuito/Utility; standardized as onshore/offshore.</x:v>
      </x:c>
    </x:row>
    <x:row r="155">
      <x:c r="A155" s="83" t="str">
        <x:v>ZCAP-0151</x:v>
      </x:c>
      <x:c r="B155" s="83" t="str">
        <x:v>DE_IT_2040</x:v>
      </x:c>
      <x:c r="C155" s="83" t="n">
        <x:v>2040</x:v>
      </x:c>
      <x:c r="D155" s="83" t="str">
        <x:v>DE-IT 2040</x:v>
      </x:c>
      <x:c r="E155" s="83" t="str">
        <x:v>Centro Nord</x:v>
      </x:c>
      <x:c r="F155" s="83" t="str">
        <x:v>Wind</x:v>
      </x:c>
      <x:c r="G155" s="83" t="str">
        <x:v>Eolico onshore</x:v>
      </x:c>
      <x:c r="H155" s="83" t="str">
        <x:v>Distribuito</x:v>
      </x:c>
      <x:c r="I155" s="143" t="n">
        <x:v>0.4</x:v>
      </x:c>
      <x:c r="J155" s="83" t="str">
        <x:v>GW</x:v>
      </x:c>
      <x:c r="K155" s="83" t="str">
        <x:v>Assunzione di scenario</x:v>
      </x:c>
      <x:c r="L155" s="83" t="str">
        <x:v>S09</x:v>
      </x:c>
      <x:c r="M155" s="83" t="str">
        <x:v>Documento_Descrizione_Scenari_2024_8dce2430d44d101.pdf</x:v>
      </x:c>
      <x:c r="N155" s="83" t="n">
        <x:v>61</x:v>
      </x:c>
      <x:c r="O155" s="83" t="n">
        <x:v>59</x:v>
      </x:c>
      <x:c r="P155" s="83" t="str">
        <x:v>Tabella 15</x:v>
      </x:c>
      <x:c r="Q155" s="83" t="str">
        <x:v>Direct table extraction; visual/text verification</x:v>
      </x:c>
      <x:c r="R155" s="83" t="str">
        <x:v>A - Direct</x:v>
      </x:c>
      <x:c r="S155" s="83" t="str">
        <x:v>Zonal p_nom input after mapping to PyPSA carrier.</x:v>
      </x:c>
      <x:c r="T155" s="83" t="str">
        <x:v>Table source labels rows as Distribuito/Utility; standardized as onshore/offshore.</x:v>
      </x:c>
    </x:row>
    <x:row r="156">
      <x:c r="A156" s="83" t="str">
        <x:v>ZCAP-0152</x:v>
      </x:c>
      <x:c r="B156" s="83" t="str">
        <x:v>GA_IT_2040</x:v>
      </x:c>
      <x:c r="C156" s="83" t="n">
        <x:v>2040</x:v>
      </x:c>
      <x:c r="D156" s="83" t="str">
        <x:v>GA-IT 2040</x:v>
      </x:c>
      <x:c r="E156" s="83" t="str">
        <x:v>Centro Nord</x:v>
      </x:c>
      <x:c r="F156" s="83" t="str">
        <x:v>Wind</x:v>
      </x:c>
      <x:c r="G156" s="83" t="str">
        <x:v>Eolico onshore</x:v>
      </x:c>
      <x:c r="H156" s="83" t="str">
        <x:v>Distribuito</x:v>
      </x:c>
      <x:c r="I156" s="143" t="n">
        <x:v>0.3</x:v>
      </x:c>
      <x:c r="J156" s="83" t="str">
        <x:v>GW</x:v>
      </x:c>
      <x:c r="K156" s="83" t="str">
        <x:v>Assunzione di scenario</x:v>
      </x:c>
      <x:c r="L156" s="83" t="str">
        <x:v>S09</x:v>
      </x:c>
      <x:c r="M156" s="83" t="str">
        <x:v>Documento_Descrizione_Scenari_2024_8dce2430d44d101.pdf</x:v>
      </x:c>
      <x:c r="N156" s="83" t="n">
        <x:v>61</x:v>
      </x:c>
      <x:c r="O156" s="83" t="n">
        <x:v>59</x:v>
      </x:c>
      <x:c r="P156" s="83" t="str">
        <x:v>Tabella 15</x:v>
      </x:c>
      <x:c r="Q156" s="83" t="str">
        <x:v>Direct table extraction; visual/text verification</x:v>
      </x:c>
      <x:c r="R156" s="83" t="str">
        <x:v>A - Direct</x:v>
      </x:c>
      <x:c r="S156" s="83" t="str">
        <x:v>Zonal p_nom input after mapping to PyPSA carrier.</x:v>
      </x:c>
      <x:c r="T156" s="83" t="str">
        <x:v>Table source labels rows as Distribuito/Utility; standardized as onshore/offshore.</x:v>
      </x:c>
    </x:row>
    <x:row r="157">
      <x:c r="A157" s="83" t="str">
        <x:v>ZCAP-0153</x:v>
      </x:c>
      <x:c r="B157" s="83" t="str">
        <x:v>PNIEC_SLOW_2040</x:v>
      </x:c>
      <x:c r="C157" s="83" t="n">
        <x:v>2040</x:v>
      </x:c>
      <x:c r="D157" s="83" t="str">
        <x:v>PNIEC Slow 2040</x:v>
      </x:c>
      <x:c r="E157" s="83" t="str">
        <x:v>Centro Nord</x:v>
      </x:c>
      <x:c r="F157" s="83" t="str">
        <x:v>Wind</x:v>
      </x:c>
      <x:c r="G157" s="83" t="str">
        <x:v>Eolico onshore</x:v>
      </x:c>
      <x:c r="H157" s="83" t="str">
        <x:v>Distribuito</x:v>
      </x:c>
      <x:c r="I157" s="143" t="n">
        <x:v>0.3</x:v>
      </x:c>
      <x:c r="J157" s="83" t="str">
        <x:v>GW</x:v>
      </x:c>
      <x:c r="K157" s="83" t="str">
        <x:v>Assunzione di scenario</x:v>
      </x:c>
      <x:c r="L157" s="83" t="str">
        <x:v>S09</x:v>
      </x:c>
      <x:c r="M157" s="83" t="str">
        <x:v>Documento_Descrizione_Scenari_2024_8dce2430d44d101.pdf</x:v>
      </x:c>
      <x:c r="N157" s="83" t="n">
        <x:v>61</x:v>
      </x:c>
      <x:c r="O157" s="83" t="n">
        <x:v>59</x:v>
      </x:c>
      <x:c r="P157" s="83" t="str">
        <x:v>Tabella 15</x:v>
      </x:c>
      <x:c r="Q157" s="83" t="str">
        <x:v>Direct table extraction; visual/text verification</x:v>
      </x:c>
      <x:c r="R157" s="83" t="str">
        <x:v>A - Direct</x:v>
      </x:c>
      <x:c r="S157" s="83" t="str">
        <x:v>Zonal p_nom input after mapping to PyPSA carrier.</x:v>
      </x:c>
      <x:c r="T157" s="83" t="str">
        <x:v>Table source labels rows as Distribuito/Utility; standardized as onshore/offshore.</x:v>
      </x:c>
    </x:row>
    <x:row r="158">
      <x:c r="A158" s="83" t="str">
        <x:v>ZCAP-0154</x:v>
      </x:c>
      <x:c r="B158" s="83" t="str">
        <x:v>HIST_2023</x:v>
      </x:c>
      <x:c r="C158" s="83" t="n">
        <x:v>2023</x:v>
      </x:c>
      <x:c r="D158" s="83" t="str">
        <x:v>Storico 2023</x:v>
      </x:c>
      <x:c r="E158" s="83" t="str">
        <x:v>Centro Nord</x:v>
      </x:c>
      <x:c r="F158" s="83" t="str">
        <x:v>Wind</x:v>
      </x:c>
      <x:c r="G158" s="83" t="str">
        <x:v>Eolico offshore</x:v>
      </x:c>
      <x:c r="H158" s="83" t="str">
        <x:v>Utility</x:v>
      </x:c>
      <x:c r="I158" s="143" t="n">
        <x:v>0</x:v>
      </x:c>
      <x:c r="J158" s="83" t="str">
        <x:v>GW</x:v>
      </x:c>
      <x:c r="K158" s="83" t="str">
        <x:v>Dato osservato storico</x:v>
      </x:c>
      <x:c r="L158" s="83" t="str">
        <x:v>S09</x:v>
      </x:c>
      <x:c r="M158" s="83" t="str">
        <x:v>Documento_Descrizione_Scenari_2024_8dce2430d44d101.pdf</x:v>
      </x:c>
      <x:c r="N158" s="83" t="n">
        <x:v>61</x:v>
      </x:c>
      <x:c r="O158" s="83" t="n">
        <x:v>59</x:v>
      </x:c>
      <x:c r="P158" s="83" t="str">
        <x:v>Tabella 15</x:v>
      </x:c>
      <x:c r="Q158" s="83" t="str">
        <x:v>Direct table extraction; visual/text verification</x:v>
      </x:c>
      <x:c r="R158" s="83" t="str">
        <x:v>A - Direct</x:v>
      </x:c>
      <x:c r="S158" s="83" t="str">
        <x:v>Zonal p_nom input after mapping to PyPSA carrier.</x:v>
      </x:c>
      <x:c r="T158" s="83" t="str">
        <x:v>Table source labels rows as Distribuito/Utility; standardized as onshore/offshore.</x:v>
      </x:c>
    </x:row>
    <x:row r="159">
      <x:c r="A159" s="83" t="str">
        <x:v>ZCAP-0155</x:v>
      </x:c>
      <x:c r="B159" s="83" t="str">
        <x:v>PNIEC_POLICY_2030</x:v>
      </x:c>
      <x:c r="C159" s="83" t="n">
        <x:v>2030</x:v>
      </x:c>
      <x:c r="D159" s="83" t="str">
        <x:v>PNIEC Policy 2030</x:v>
      </x:c>
      <x:c r="E159" s="83" t="str">
        <x:v>Centro Nord</x:v>
      </x:c>
      <x:c r="F159" s="83" t="str">
        <x:v>Wind</x:v>
      </x:c>
      <x:c r="G159" s="83" t="str">
        <x:v>Eolico offshore</x:v>
      </x:c>
      <x:c r="H159" s="83" t="str">
        <x:v>Utility</x:v>
      </x:c>
      <x:c r="I159" s="143" t="n">
        <x:v>0.1</x:v>
      </x:c>
      <x:c r="J159" s="83" t="str">
        <x:v>GW</x:v>
      </x:c>
      <x:c r="K159" s="83" t="str">
        <x:v>Assunzione di scenario</x:v>
      </x:c>
      <x:c r="L159" s="83" t="str">
        <x:v>S09</x:v>
      </x:c>
      <x:c r="M159" s="83" t="str">
        <x:v>Documento_Descrizione_Scenari_2024_8dce2430d44d101.pdf</x:v>
      </x:c>
      <x:c r="N159" s="83" t="n">
        <x:v>61</x:v>
      </x:c>
      <x:c r="O159" s="83" t="n">
        <x:v>59</x:v>
      </x:c>
      <x:c r="P159" s="83" t="str">
        <x:v>Tabella 15</x:v>
      </x:c>
      <x:c r="Q159" s="83" t="str">
        <x:v>Direct table extraction; visual/text verification</x:v>
      </x:c>
      <x:c r="R159" s="83" t="str">
        <x:v>A - Direct</x:v>
      </x:c>
      <x:c r="S159" s="83" t="str">
        <x:v>Zonal p_nom input after mapping to PyPSA carrier.</x:v>
      </x:c>
      <x:c r="T159" s="83" t="str">
        <x:v>Table source labels rows as Distribuito/Utility; standardized as onshore/offshore.</x:v>
      </x:c>
    </x:row>
    <x:row r="160">
      <x:c r="A160" s="83" t="str">
        <x:v>ZCAP-0156</x:v>
      </x:c>
      <x:c r="B160" s="83" t="str">
        <x:v>PNIEC_SLOW_2030</x:v>
      </x:c>
      <x:c r="C160" s="83" t="n">
        <x:v>2030</x:v>
      </x:c>
      <x:c r="D160" s="83" t="str">
        <x:v>PNIEC Slow 2030</x:v>
      </x:c>
      <x:c r="E160" s="83" t="str">
        <x:v>Centro Nord</x:v>
      </x:c>
      <x:c r="F160" s="83" t="str">
        <x:v>Wind</x:v>
      </x:c>
      <x:c r="G160" s="83" t="str">
        <x:v>Eolico offshore</x:v>
      </x:c>
      <x:c r="H160" s="83" t="str">
        <x:v>Utility</x:v>
      </x:c>
      <x:c r="I160" s="143" t="n">
        <x:v>0.1</x:v>
      </x:c>
      <x:c r="J160" s="83" t="str">
        <x:v>GW</x:v>
      </x:c>
      <x:c r="K160" s="83" t="str">
        <x:v>Assunzione di scenario</x:v>
      </x:c>
      <x:c r="L160" s="83" t="str">
        <x:v>S09</x:v>
      </x:c>
      <x:c r="M160" s="83" t="str">
        <x:v>Documento_Descrizione_Scenari_2024_8dce2430d44d101.pdf</x:v>
      </x:c>
      <x:c r="N160" s="83" t="n">
        <x:v>61</x:v>
      </x:c>
      <x:c r="O160" s="83" t="n">
        <x:v>59</x:v>
      </x:c>
      <x:c r="P160" s="83" t="str">
        <x:v>Tabella 15</x:v>
      </x:c>
      <x:c r="Q160" s="83" t="str">
        <x:v>Direct table extraction; visual/text verification</x:v>
      </x:c>
      <x:c r="R160" s="83" t="str">
        <x:v>A - Direct</x:v>
      </x:c>
      <x:c r="S160" s="83" t="str">
        <x:v>Zonal p_nom input after mapping to PyPSA carrier.</x:v>
      </x:c>
      <x:c r="T160" s="83" t="str">
        <x:v>Table source labels rows as Distribuito/Utility; standardized as onshore/offshore.</x:v>
      </x:c>
    </x:row>
    <x:row r="161">
      <x:c r="A161" s="83" t="str">
        <x:v>ZCAP-0157</x:v>
      </x:c>
      <x:c r="B161" s="83" t="str">
        <x:v>DE_IT_2035</x:v>
      </x:c>
      <x:c r="C161" s="83" t="n">
        <x:v>2035</x:v>
      </x:c>
      <x:c r="D161" s="83" t="str">
        <x:v>DE-IT 2035</x:v>
      </x:c>
      <x:c r="E161" s="83" t="str">
        <x:v>Centro Nord</x:v>
      </x:c>
      <x:c r="F161" s="83" t="str">
        <x:v>Wind</x:v>
      </x:c>
      <x:c r="G161" s="83" t="str">
        <x:v>Eolico offshore</x:v>
      </x:c>
      <x:c r="H161" s="83" t="str">
        <x:v>Utility</x:v>
      </x:c>
      <x:c r="I161" s="143" t="n">
        <x:v>0.4</x:v>
      </x:c>
      <x:c r="J161" s="83" t="str">
        <x:v>GW</x:v>
      </x:c>
      <x:c r="K161" s="83" t="str">
        <x:v>Assunzione di scenario</x:v>
      </x:c>
      <x:c r="L161" s="83" t="str">
        <x:v>S09</x:v>
      </x:c>
      <x:c r="M161" s="83" t="str">
        <x:v>Documento_Descrizione_Scenari_2024_8dce2430d44d101.pdf</x:v>
      </x:c>
      <x:c r="N161" s="83" t="n">
        <x:v>61</x:v>
      </x:c>
      <x:c r="O161" s="83" t="n">
        <x:v>59</x:v>
      </x:c>
      <x:c r="P161" s="83" t="str">
        <x:v>Tabella 15</x:v>
      </x:c>
      <x:c r="Q161" s="83" t="str">
        <x:v>Direct table extraction; visual/text verification</x:v>
      </x:c>
      <x:c r="R161" s="83" t="str">
        <x:v>A - Direct</x:v>
      </x:c>
      <x:c r="S161" s="83" t="str">
        <x:v>Zonal p_nom input after mapping to PyPSA carrier.</x:v>
      </x:c>
      <x:c r="T161" s="83" t="str">
        <x:v>Table source labels rows as Distribuito/Utility; standardized as onshore/offshore.</x:v>
      </x:c>
    </x:row>
    <x:row r="162">
      <x:c r="A162" s="83" t="str">
        <x:v>ZCAP-0158</x:v>
      </x:c>
      <x:c r="B162" s="83" t="str">
        <x:v>GA_IT_2035</x:v>
      </x:c>
      <x:c r="C162" s="83" t="n">
        <x:v>2035</x:v>
      </x:c>
      <x:c r="D162" s="83" t="str">
        <x:v>GA-IT 2035</x:v>
      </x:c>
      <x:c r="E162" s="83" t="str">
        <x:v>Centro Nord</x:v>
      </x:c>
      <x:c r="F162" s="83" t="str">
        <x:v>Wind</x:v>
      </x:c>
      <x:c r="G162" s="83" t="str">
        <x:v>Eolico offshore</x:v>
      </x:c>
      <x:c r="H162" s="83" t="str">
        <x:v>Utility</x:v>
      </x:c>
      <x:c r="I162" s="143" t="n">
        <x:v>0.3</x:v>
      </x:c>
      <x:c r="J162" s="83" t="str">
        <x:v>GW</x:v>
      </x:c>
      <x:c r="K162" s="83" t="str">
        <x:v>Assunzione di scenario</x:v>
      </x:c>
      <x:c r="L162" s="83" t="str">
        <x:v>S09</x:v>
      </x:c>
      <x:c r="M162" s="83" t="str">
        <x:v>Documento_Descrizione_Scenari_2024_8dce2430d44d101.pdf</x:v>
      </x:c>
      <x:c r="N162" s="83" t="n">
        <x:v>61</x:v>
      </x:c>
      <x:c r="O162" s="83" t="n">
        <x:v>59</x:v>
      </x:c>
      <x:c r="P162" s="83" t="str">
        <x:v>Tabella 15</x:v>
      </x:c>
      <x:c r="Q162" s="83" t="str">
        <x:v>Direct table extraction; visual/text verification</x:v>
      </x:c>
      <x:c r="R162" s="83" t="str">
        <x:v>A - Direct</x:v>
      </x:c>
      <x:c r="S162" s="83" t="str">
        <x:v>Zonal p_nom input after mapping to PyPSA carrier.</x:v>
      </x:c>
      <x:c r="T162" s="83" t="str">
        <x:v>Table source labels rows as Distribuito/Utility; standardized as onshore/offshore.</x:v>
      </x:c>
    </x:row>
    <x:row r="163">
      <x:c r="A163" s="83" t="str">
        <x:v>ZCAP-0159</x:v>
      </x:c>
      <x:c r="B163" s="83" t="str">
        <x:v>PNIEC_SLOW_2035</x:v>
      </x:c>
      <x:c r="C163" s="83" t="n">
        <x:v>2035</x:v>
      </x:c>
      <x:c r="D163" s="83" t="str">
        <x:v>PNIEC Slow 2035</x:v>
      </x:c>
      <x:c r="E163" s="83" t="str">
        <x:v>Centro Nord</x:v>
      </x:c>
      <x:c r="F163" s="83" t="str">
        <x:v>Wind</x:v>
      </x:c>
      <x:c r="G163" s="83" t="str">
        <x:v>Eolico offshore</x:v>
      </x:c>
      <x:c r="H163" s="83" t="str">
        <x:v>Utility</x:v>
      </x:c>
      <x:c r="I163" s="143" t="n">
        <x:v>0.2</x:v>
      </x:c>
      <x:c r="J163" s="83" t="str">
        <x:v>GW</x:v>
      </x:c>
      <x:c r="K163" s="83" t="str">
        <x:v>Assunzione di scenario</x:v>
      </x:c>
      <x:c r="L163" s="83" t="str">
        <x:v>S09</x:v>
      </x:c>
      <x:c r="M163" s="83" t="str">
        <x:v>Documento_Descrizione_Scenari_2024_8dce2430d44d101.pdf</x:v>
      </x:c>
      <x:c r="N163" s="83" t="n">
        <x:v>61</x:v>
      </x:c>
      <x:c r="O163" s="83" t="n">
        <x:v>59</x:v>
      </x:c>
      <x:c r="P163" s="83" t="str">
        <x:v>Tabella 15</x:v>
      </x:c>
      <x:c r="Q163" s="83" t="str">
        <x:v>Direct table extraction; visual/text verification</x:v>
      </x:c>
      <x:c r="R163" s="83" t="str">
        <x:v>A - Direct</x:v>
      </x:c>
      <x:c r="S163" s="83" t="str">
        <x:v>Zonal p_nom input after mapping to PyPSA carrier.</x:v>
      </x:c>
      <x:c r="T163" s="83" t="str">
        <x:v>Table source labels rows as Distribuito/Utility; standardized as onshore/offshore.</x:v>
      </x:c>
    </x:row>
    <x:row r="164">
      <x:c r="A164" s="83" t="str">
        <x:v>ZCAP-0160</x:v>
      </x:c>
      <x:c r="B164" s="83" t="str">
        <x:v>DE_IT_2040</x:v>
      </x:c>
      <x:c r="C164" s="83" t="n">
        <x:v>2040</x:v>
      </x:c>
      <x:c r="D164" s="83" t="str">
        <x:v>DE-IT 2040</x:v>
      </x:c>
      <x:c r="E164" s="83" t="str">
        <x:v>Centro Nord</x:v>
      </x:c>
      <x:c r="F164" s="83" t="str">
        <x:v>Wind</x:v>
      </x:c>
      <x:c r="G164" s="83" t="str">
        <x:v>Eolico offshore</x:v>
      </x:c>
      <x:c r="H164" s="83" t="str">
        <x:v>Utility</x:v>
      </x:c>
      <x:c r="I164" s="143" t="n">
        <x:v>0.8</x:v>
      </x:c>
      <x:c r="J164" s="83" t="str">
        <x:v>GW</x:v>
      </x:c>
      <x:c r="K164" s="83" t="str">
        <x:v>Assunzione di scenario</x:v>
      </x:c>
      <x:c r="L164" s="83" t="str">
        <x:v>S09</x:v>
      </x:c>
      <x:c r="M164" s="83" t="str">
        <x:v>Documento_Descrizione_Scenari_2024_8dce2430d44d101.pdf</x:v>
      </x:c>
      <x:c r="N164" s="83" t="n">
        <x:v>61</x:v>
      </x:c>
      <x:c r="O164" s="83" t="n">
        <x:v>59</x:v>
      </x:c>
      <x:c r="P164" s="83" t="str">
        <x:v>Tabella 15</x:v>
      </x:c>
      <x:c r="Q164" s="83" t="str">
        <x:v>Direct table extraction; visual/text verification</x:v>
      </x:c>
      <x:c r="R164" s="83" t="str">
        <x:v>A - Direct</x:v>
      </x:c>
      <x:c r="S164" s="83" t="str">
        <x:v>Zonal p_nom input after mapping to PyPSA carrier.</x:v>
      </x:c>
      <x:c r="T164" s="83" t="str">
        <x:v>Table source labels rows as Distribuito/Utility; standardized as onshore/offshore.</x:v>
      </x:c>
    </x:row>
    <x:row r="165">
      <x:c r="A165" s="83" t="str">
        <x:v>ZCAP-0161</x:v>
      </x:c>
      <x:c r="B165" s="83" t="str">
        <x:v>GA_IT_2040</x:v>
      </x:c>
      <x:c r="C165" s="83" t="n">
        <x:v>2040</x:v>
      </x:c>
      <x:c r="D165" s="83" t="str">
        <x:v>GA-IT 2040</x:v>
      </x:c>
      <x:c r="E165" s="83" t="str">
        <x:v>Centro Nord</x:v>
      </x:c>
      <x:c r="F165" s="83" t="str">
        <x:v>Wind</x:v>
      </x:c>
      <x:c r="G165" s="83" t="str">
        <x:v>Eolico offshore</x:v>
      </x:c>
      <x:c r="H165" s="83" t="str">
        <x:v>Utility</x:v>
      </x:c>
      <x:c r="I165" s="143" t="n">
        <x:v>0.6</x:v>
      </x:c>
      <x:c r="J165" s="83" t="str">
        <x:v>GW</x:v>
      </x:c>
      <x:c r="K165" s="83" t="str">
        <x:v>Assunzione di scenario</x:v>
      </x:c>
      <x:c r="L165" s="83" t="str">
        <x:v>S09</x:v>
      </x:c>
      <x:c r="M165" s="83" t="str">
        <x:v>Documento_Descrizione_Scenari_2024_8dce2430d44d101.pdf</x:v>
      </x:c>
      <x:c r="N165" s="83" t="n">
        <x:v>61</x:v>
      </x:c>
      <x:c r="O165" s="83" t="n">
        <x:v>59</x:v>
      </x:c>
      <x:c r="P165" s="83" t="str">
        <x:v>Tabella 15</x:v>
      </x:c>
      <x:c r="Q165" s="83" t="str">
        <x:v>Direct table extraction; visual/text verification</x:v>
      </x:c>
      <x:c r="R165" s="83" t="str">
        <x:v>A - Direct</x:v>
      </x:c>
      <x:c r="S165" s="83" t="str">
        <x:v>Zonal p_nom input after mapping to PyPSA carrier.</x:v>
      </x:c>
      <x:c r="T165" s="83" t="str">
        <x:v>Table source labels rows as Distribuito/Utility; standardized as onshore/offshore.</x:v>
      </x:c>
    </x:row>
    <x:row r="166">
      <x:c r="A166" s="83" t="str">
        <x:v>ZCAP-0162</x:v>
      </x:c>
      <x:c r="B166" s="83" t="str">
        <x:v>PNIEC_SLOW_2040</x:v>
      </x:c>
      <x:c r="C166" s="83" t="n">
        <x:v>2040</x:v>
      </x:c>
      <x:c r="D166" s="83" t="str">
        <x:v>PNIEC Slow 2040</x:v>
      </x:c>
      <x:c r="E166" s="83" t="str">
        <x:v>Centro Nord</x:v>
      </x:c>
      <x:c r="F166" s="83" t="str">
        <x:v>Wind</x:v>
      </x:c>
      <x:c r="G166" s="83" t="str">
        <x:v>Eolico offshore</x:v>
      </x:c>
      <x:c r="H166" s="83" t="str">
        <x:v>Utility</x:v>
      </x:c>
      <x:c r="I166" s="143" t="n">
        <x:v>0.5</x:v>
      </x:c>
      <x:c r="J166" s="83" t="str">
        <x:v>GW</x:v>
      </x:c>
      <x:c r="K166" s="83" t="str">
        <x:v>Assunzione di scenario</x:v>
      </x:c>
      <x:c r="L166" s="83" t="str">
        <x:v>S09</x:v>
      </x:c>
      <x:c r="M166" s="83" t="str">
        <x:v>Documento_Descrizione_Scenari_2024_8dce2430d44d101.pdf</x:v>
      </x:c>
      <x:c r="N166" s="83" t="n">
        <x:v>61</x:v>
      </x:c>
      <x:c r="O166" s="83" t="n">
        <x:v>59</x:v>
      </x:c>
      <x:c r="P166" s="83" t="str">
        <x:v>Tabella 15</x:v>
      </x:c>
      <x:c r="Q166" s="83" t="str">
        <x:v>Direct table extraction; visual/text verification</x:v>
      </x:c>
      <x:c r="R166" s="83" t="str">
        <x:v>A - Direct</x:v>
      </x:c>
      <x:c r="S166" s="83" t="str">
        <x:v>Zonal p_nom input after mapping to PyPSA carrier.</x:v>
      </x:c>
      <x:c r="T166" s="83" t="str">
        <x:v>Table source labels rows as Distribuito/Utility; standardized as onshore/offshore.</x:v>
      </x:c>
    </x:row>
    <x:row r="167">
      <x:c r="A167" s="83" t="str">
        <x:v>ZCAP-0163</x:v>
      </x:c>
      <x:c r="B167" s="83" t="str">
        <x:v>HIST_2023</x:v>
      </x:c>
      <x:c r="C167" s="83" t="n">
        <x:v>2023</x:v>
      </x:c>
      <x:c r="D167" s="83" t="str">
        <x:v>Storico 2023</x:v>
      </x:c>
      <x:c r="E167" s="83" t="str">
        <x:v>Centro Sud</x:v>
      </x:c>
      <x:c r="F167" s="83" t="str">
        <x:v>Wind</x:v>
      </x:c>
      <x:c r="G167" s="83" t="str">
        <x:v>Eolico onshore</x:v>
      </x:c>
      <x:c r="H167" s="83" t="str">
        <x:v>Distribuito</x:v>
      </x:c>
      <x:c r="I167" s="143" t="n">
        <x:v>2.3</x:v>
      </x:c>
      <x:c r="J167" s="83" t="str">
        <x:v>GW</x:v>
      </x:c>
      <x:c r="K167" s="83" t="str">
        <x:v>Dato osservato storico</x:v>
      </x:c>
      <x:c r="L167" s="83" t="str">
        <x:v>S09</x:v>
      </x:c>
      <x:c r="M167" s="83" t="str">
        <x:v>Documento_Descrizione_Scenari_2024_8dce2430d44d101.pdf</x:v>
      </x:c>
      <x:c r="N167" s="83" t="n">
        <x:v>61</x:v>
      </x:c>
      <x:c r="O167" s="83" t="n">
        <x:v>59</x:v>
      </x:c>
      <x:c r="P167" s="83" t="str">
        <x:v>Tabella 15</x:v>
      </x:c>
      <x:c r="Q167" s="83" t="str">
        <x:v>Direct table extraction; visual/text verification</x:v>
      </x:c>
      <x:c r="R167" s="83" t="str">
        <x:v>A - Direct</x:v>
      </x:c>
      <x:c r="S167" s="83" t="str">
        <x:v>Zonal p_nom input after mapping to PyPSA carrier.</x:v>
      </x:c>
      <x:c r="T167" s="83" t="str">
        <x:v>Table source labels rows as Distribuito/Utility; standardized as onshore/offshore.</x:v>
      </x:c>
    </x:row>
    <x:row r="168">
      <x:c r="A168" s="83" t="str">
        <x:v>ZCAP-0164</x:v>
      </x:c>
      <x:c r="B168" s="83" t="str">
        <x:v>PNIEC_POLICY_2030</x:v>
      </x:c>
      <x:c r="C168" s="83" t="n">
        <x:v>2030</x:v>
      </x:c>
      <x:c r="D168" s="83" t="str">
        <x:v>PNIEC Policy 2030</x:v>
      </x:c>
      <x:c r="E168" s="83" t="str">
        <x:v>Centro Sud</x:v>
      </x:c>
      <x:c r="F168" s="83" t="str">
        <x:v>Wind</x:v>
      </x:c>
      <x:c r="G168" s="83" t="str">
        <x:v>Eolico onshore</x:v>
      </x:c>
      <x:c r="H168" s="83" t="str">
        <x:v>Distribuito</x:v>
      </x:c>
      <x:c r="I168" s="143" t="n">
        <x:v>5.3</x:v>
      </x:c>
      <x:c r="J168" s="83" t="str">
        <x:v>GW</x:v>
      </x:c>
      <x:c r="K168" s="83" t="str">
        <x:v>Assunzione di scenario</x:v>
      </x:c>
      <x:c r="L168" s="83" t="str">
        <x:v>S09</x:v>
      </x:c>
      <x:c r="M168" s="83" t="str">
        <x:v>Documento_Descrizione_Scenari_2024_8dce2430d44d101.pdf</x:v>
      </x:c>
      <x:c r="N168" s="83" t="n">
        <x:v>61</x:v>
      </x:c>
      <x:c r="O168" s="83" t="n">
        <x:v>59</x:v>
      </x:c>
      <x:c r="P168" s="83" t="str">
        <x:v>Tabella 15</x:v>
      </x:c>
      <x:c r="Q168" s="83" t="str">
        <x:v>Direct table extraction; visual/text verification</x:v>
      </x:c>
      <x:c r="R168" s="83" t="str">
        <x:v>A - Direct</x:v>
      </x:c>
      <x:c r="S168" s="83" t="str">
        <x:v>Zonal p_nom input after mapping to PyPSA carrier.</x:v>
      </x:c>
      <x:c r="T168" s="83" t="str">
        <x:v>Table source labels rows as Distribuito/Utility; standardized as onshore/offshore.</x:v>
      </x:c>
    </x:row>
    <x:row r="169">
      <x:c r="A169" s="83" t="str">
        <x:v>ZCAP-0165</x:v>
      </x:c>
      <x:c r="B169" s="83" t="str">
        <x:v>PNIEC_SLOW_2030</x:v>
      </x:c>
      <x:c r="C169" s="83" t="n">
        <x:v>2030</x:v>
      </x:c>
      <x:c r="D169" s="83" t="str">
        <x:v>PNIEC Slow 2030</x:v>
      </x:c>
      <x:c r="E169" s="83" t="str">
        <x:v>Centro Sud</x:v>
      </x:c>
      <x:c r="F169" s="83" t="str">
        <x:v>Wind</x:v>
      </x:c>
      <x:c r="G169" s="83" t="str">
        <x:v>Eolico onshore</x:v>
      </x:c>
      <x:c r="H169" s="83" t="str">
        <x:v>Distribuito</x:v>
      </x:c>
      <x:c r="I169" s="143" t="n">
        <x:v>4.1</x:v>
      </x:c>
      <x:c r="J169" s="83" t="str">
        <x:v>GW</x:v>
      </x:c>
      <x:c r="K169" s="83" t="str">
        <x:v>Assunzione di scenario</x:v>
      </x:c>
      <x:c r="L169" s="83" t="str">
        <x:v>S09</x:v>
      </x:c>
      <x:c r="M169" s="83" t="str">
        <x:v>Documento_Descrizione_Scenari_2024_8dce2430d44d101.pdf</x:v>
      </x:c>
      <x:c r="N169" s="83" t="n">
        <x:v>61</x:v>
      </x:c>
      <x:c r="O169" s="83" t="n">
        <x:v>59</x:v>
      </x:c>
      <x:c r="P169" s="83" t="str">
        <x:v>Tabella 15</x:v>
      </x:c>
      <x:c r="Q169" s="83" t="str">
        <x:v>Direct table extraction; visual/text verification</x:v>
      </x:c>
      <x:c r="R169" s="83" t="str">
        <x:v>A - Direct</x:v>
      </x:c>
      <x:c r="S169" s="83" t="str">
        <x:v>Zonal p_nom input after mapping to PyPSA carrier.</x:v>
      </x:c>
      <x:c r="T169" s="83" t="str">
        <x:v>Table source labels rows as Distribuito/Utility; standardized as onshore/offshore.</x:v>
      </x:c>
    </x:row>
    <x:row r="170">
      <x:c r="A170" s="83" t="str">
        <x:v>ZCAP-0166</x:v>
      </x:c>
      <x:c r="B170" s="83" t="str">
        <x:v>DE_IT_2035</x:v>
      </x:c>
      <x:c r="C170" s="83" t="n">
        <x:v>2035</x:v>
      </x:c>
      <x:c r="D170" s="83" t="str">
        <x:v>DE-IT 2035</x:v>
      </x:c>
      <x:c r="E170" s="83" t="str">
        <x:v>Centro Sud</x:v>
      </x:c>
      <x:c r="F170" s="83" t="str">
        <x:v>Wind</x:v>
      </x:c>
      <x:c r="G170" s="83" t="str">
        <x:v>Eolico onshore</x:v>
      </x:c>
      <x:c r="H170" s="83" t="str">
        <x:v>Distribuito</x:v>
      </x:c>
      <x:c r="I170" s="143" t="n">
        <x:v>6</x:v>
      </x:c>
      <x:c r="J170" s="83" t="str">
        <x:v>GW</x:v>
      </x:c>
      <x:c r="K170" s="83" t="str">
        <x:v>Assunzione di scenario</x:v>
      </x:c>
      <x:c r="L170" s="83" t="str">
        <x:v>S09</x:v>
      </x:c>
      <x:c r="M170" s="83" t="str">
        <x:v>Documento_Descrizione_Scenari_2024_8dce2430d44d101.pdf</x:v>
      </x:c>
      <x:c r="N170" s="83" t="n">
        <x:v>61</x:v>
      </x:c>
      <x:c r="O170" s="83" t="n">
        <x:v>59</x:v>
      </x:c>
      <x:c r="P170" s="83" t="str">
        <x:v>Tabella 15</x:v>
      </x:c>
      <x:c r="Q170" s="83" t="str">
        <x:v>Direct table extraction; visual/text verification</x:v>
      </x:c>
      <x:c r="R170" s="83" t="str">
        <x:v>A - Direct</x:v>
      </x:c>
      <x:c r="S170" s="83" t="str">
        <x:v>Zonal p_nom input after mapping to PyPSA carrier.</x:v>
      </x:c>
      <x:c r="T170" s="83" t="str">
        <x:v>Table source labels rows as Distribuito/Utility; standardized as onshore/offshore.</x:v>
      </x:c>
    </x:row>
    <x:row r="171">
      <x:c r="A171" s="83" t="str">
        <x:v>ZCAP-0167</x:v>
      </x:c>
      <x:c r="B171" s="83" t="str">
        <x:v>GA_IT_2035</x:v>
      </x:c>
      <x:c r="C171" s="83" t="n">
        <x:v>2035</x:v>
      </x:c>
      <x:c r="D171" s="83" t="str">
        <x:v>GA-IT 2035</x:v>
      </x:c>
      <x:c r="E171" s="83" t="str">
        <x:v>Centro Sud</x:v>
      </x:c>
      <x:c r="F171" s="83" t="str">
        <x:v>Wind</x:v>
      </x:c>
      <x:c r="G171" s="83" t="str">
        <x:v>Eolico onshore</x:v>
      </x:c>
      <x:c r="H171" s="83" t="str">
        <x:v>Distribuito</x:v>
      </x:c>
      <x:c r="I171" s="143" t="n">
        <x:v>5.7</x:v>
      </x:c>
      <x:c r="J171" s="83" t="str">
        <x:v>GW</x:v>
      </x:c>
      <x:c r="K171" s="83" t="str">
        <x:v>Assunzione di scenario</x:v>
      </x:c>
      <x:c r="L171" s="83" t="str">
        <x:v>S09</x:v>
      </x:c>
      <x:c r="M171" s="83" t="str">
        <x:v>Documento_Descrizione_Scenari_2024_8dce2430d44d101.pdf</x:v>
      </x:c>
      <x:c r="N171" s="83" t="n">
        <x:v>61</x:v>
      </x:c>
      <x:c r="O171" s="83" t="n">
        <x:v>59</x:v>
      </x:c>
      <x:c r="P171" s="83" t="str">
        <x:v>Tabella 15</x:v>
      </x:c>
      <x:c r="Q171" s="83" t="str">
        <x:v>Direct table extraction; visual/text verification</x:v>
      </x:c>
      <x:c r="R171" s="83" t="str">
        <x:v>A - Direct</x:v>
      </x:c>
      <x:c r="S171" s="83" t="str">
        <x:v>Zonal p_nom input after mapping to PyPSA carrier.</x:v>
      </x:c>
      <x:c r="T171" s="83" t="str">
        <x:v>Table source labels rows as Distribuito/Utility; standardized as onshore/offshore.</x:v>
      </x:c>
    </x:row>
    <x:row r="172">
      <x:c r="A172" s="83" t="str">
        <x:v>ZCAP-0168</x:v>
      </x:c>
      <x:c r="B172" s="83" t="str">
        <x:v>PNIEC_SLOW_2035</x:v>
      </x:c>
      <x:c r="C172" s="83" t="n">
        <x:v>2035</x:v>
      </x:c>
      <x:c r="D172" s="83" t="str">
        <x:v>PNIEC Slow 2035</x:v>
      </x:c>
      <x:c r="E172" s="83" t="str">
        <x:v>Centro Sud</x:v>
      </x:c>
      <x:c r="F172" s="83" t="str">
        <x:v>Wind</x:v>
      </x:c>
      <x:c r="G172" s="83" t="str">
        <x:v>Eolico onshore</x:v>
      </x:c>
      <x:c r="H172" s="83" t="str">
        <x:v>Distribuito</x:v>
      </x:c>
      <x:c r="I172" s="143" t="n">
        <x:v>4.9</x:v>
      </x:c>
      <x:c r="J172" s="83" t="str">
        <x:v>GW</x:v>
      </x:c>
      <x:c r="K172" s="83" t="str">
        <x:v>Assunzione di scenario</x:v>
      </x:c>
      <x:c r="L172" s="83" t="str">
        <x:v>S09</x:v>
      </x:c>
      <x:c r="M172" s="83" t="str">
        <x:v>Documento_Descrizione_Scenari_2024_8dce2430d44d101.pdf</x:v>
      </x:c>
      <x:c r="N172" s="83" t="n">
        <x:v>61</x:v>
      </x:c>
      <x:c r="O172" s="83" t="n">
        <x:v>59</x:v>
      </x:c>
      <x:c r="P172" s="83" t="str">
        <x:v>Tabella 15</x:v>
      </x:c>
      <x:c r="Q172" s="83" t="str">
        <x:v>Direct table extraction; visual/text verification</x:v>
      </x:c>
      <x:c r="R172" s="83" t="str">
        <x:v>A - Direct</x:v>
      </x:c>
      <x:c r="S172" s="83" t="str">
        <x:v>Zonal p_nom input after mapping to PyPSA carrier.</x:v>
      </x:c>
      <x:c r="T172" s="83" t="str">
        <x:v>Table source labels rows as Distribuito/Utility; standardized as onshore/offshore.</x:v>
      </x:c>
    </x:row>
    <x:row r="173">
      <x:c r="A173" s="83" t="str">
        <x:v>ZCAP-0169</x:v>
      </x:c>
      <x:c r="B173" s="83" t="str">
        <x:v>DE_IT_2040</x:v>
      </x:c>
      <x:c r="C173" s="83" t="n">
        <x:v>2040</x:v>
      </x:c>
      <x:c r="D173" s="83" t="str">
        <x:v>DE-IT 2040</x:v>
      </x:c>
      <x:c r="E173" s="83" t="str">
        <x:v>Centro Sud</x:v>
      </x:c>
      <x:c r="F173" s="83" t="str">
        <x:v>Wind</x:v>
      </x:c>
      <x:c r="G173" s="83" t="str">
        <x:v>Eolico onshore</x:v>
      </x:c>
      <x:c r="H173" s="83" t="str">
        <x:v>Distribuito</x:v>
      </x:c>
      <x:c r="I173" s="143" t="n">
        <x:v>6.8</x:v>
      </x:c>
      <x:c r="J173" s="83" t="str">
        <x:v>GW</x:v>
      </x:c>
      <x:c r="K173" s="83" t="str">
        <x:v>Assunzione di scenario</x:v>
      </x:c>
      <x:c r="L173" s="83" t="str">
        <x:v>S09</x:v>
      </x:c>
      <x:c r="M173" s="83" t="str">
        <x:v>Documento_Descrizione_Scenari_2024_8dce2430d44d101.pdf</x:v>
      </x:c>
      <x:c r="N173" s="83" t="n">
        <x:v>61</x:v>
      </x:c>
      <x:c r="O173" s="83" t="n">
        <x:v>59</x:v>
      </x:c>
      <x:c r="P173" s="83" t="str">
        <x:v>Tabella 15</x:v>
      </x:c>
      <x:c r="Q173" s="83" t="str">
        <x:v>Direct table extraction; visual/text verification</x:v>
      </x:c>
      <x:c r="R173" s="83" t="str">
        <x:v>A - Direct</x:v>
      </x:c>
      <x:c r="S173" s="83" t="str">
        <x:v>Zonal p_nom input after mapping to PyPSA carrier.</x:v>
      </x:c>
      <x:c r="T173" s="83" t="str">
        <x:v>Table source labels rows as Distribuito/Utility; standardized as onshore/offshore.</x:v>
      </x:c>
    </x:row>
    <x:row r="174">
      <x:c r="A174" s="83" t="str">
        <x:v>ZCAP-0170</x:v>
      </x:c>
      <x:c r="B174" s="83" t="str">
        <x:v>GA_IT_2040</x:v>
      </x:c>
      <x:c r="C174" s="83" t="n">
        <x:v>2040</x:v>
      </x:c>
      <x:c r="D174" s="83" t="str">
        <x:v>GA-IT 2040</x:v>
      </x:c>
      <x:c r="E174" s="83" t="str">
        <x:v>Centro Sud</x:v>
      </x:c>
      <x:c r="F174" s="83" t="str">
        <x:v>Wind</x:v>
      </x:c>
      <x:c r="G174" s="83" t="str">
        <x:v>Eolico onshore</x:v>
      </x:c>
      <x:c r="H174" s="83" t="str">
        <x:v>Distribuito</x:v>
      </x:c>
      <x:c r="I174" s="143" t="n">
        <x:v>6.2</x:v>
      </x:c>
      <x:c r="J174" s="83" t="str">
        <x:v>GW</x:v>
      </x:c>
      <x:c r="K174" s="83" t="str">
        <x:v>Assunzione di scenario</x:v>
      </x:c>
      <x:c r="L174" s="83" t="str">
        <x:v>S09</x:v>
      </x:c>
      <x:c r="M174" s="83" t="str">
        <x:v>Documento_Descrizione_Scenari_2024_8dce2430d44d101.pdf</x:v>
      </x:c>
      <x:c r="N174" s="83" t="n">
        <x:v>61</x:v>
      </x:c>
      <x:c r="O174" s="83" t="n">
        <x:v>59</x:v>
      </x:c>
      <x:c r="P174" s="83" t="str">
        <x:v>Tabella 15</x:v>
      </x:c>
      <x:c r="Q174" s="83" t="str">
        <x:v>Direct table extraction; visual/text verification</x:v>
      </x:c>
      <x:c r="R174" s="83" t="str">
        <x:v>A - Direct</x:v>
      </x:c>
      <x:c r="S174" s="83" t="str">
        <x:v>Zonal p_nom input after mapping to PyPSA carrier.</x:v>
      </x:c>
      <x:c r="T174" s="83" t="str">
        <x:v>Table source labels rows as Distribuito/Utility; standardized as onshore/offshore.</x:v>
      </x:c>
    </x:row>
    <x:row r="175">
      <x:c r="A175" s="83" t="str">
        <x:v>ZCAP-0171</x:v>
      </x:c>
      <x:c r="B175" s="83" t="str">
        <x:v>PNIEC_SLOW_2040</x:v>
      </x:c>
      <x:c r="C175" s="83" t="n">
        <x:v>2040</x:v>
      </x:c>
      <x:c r="D175" s="83" t="str">
        <x:v>PNIEC Slow 2040</x:v>
      </x:c>
      <x:c r="E175" s="83" t="str">
        <x:v>Centro Sud</x:v>
      </x:c>
      <x:c r="F175" s="83" t="str">
        <x:v>Wind</x:v>
      </x:c>
      <x:c r="G175" s="83" t="str">
        <x:v>Eolico onshore</x:v>
      </x:c>
      <x:c r="H175" s="83" t="str">
        <x:v>Distribuito</x:v>
      </x:c>
      <x:c r="I175" s="143" t="n">
        <x:v>5.6</x:v>
      </x:c>
      <x:c r="J175" s="83" t="str">
        <x:v>GW</x:v>
      </x:c>
      <x:c r="K175" s="83" t="str">
        <x:v>Assunzione di scenario</x:v>
      </x:c>
      <x:c r="L175" s="83" t="str">
        <x:v>S09</x:v>
      </x:c>
      <x:c r="M175" s="83" t="str">
        <x:v>Documento_Descrizione_Scenari_2024_8dce2430d44d101.pdf</x:v>
      </x:c>
      <x:c r="N175" s="83" t="n">
        <x:v>61</x:v>
      </x:c>
      <x:c r="O175" s="83" t="n">
        <x:v>59</x:v>
      </x:c>
      <x:c r="P175" s="83" t="str">
        <x:v>Tabella 15</x:v>
      </x:c>
      <x:c r="Q175" s="83" t="str">
        <x:v>Direct table extraction; visual/text verification</x:v>
      </x:c>
      <x:c r="R175" s="83" t="str">
        <x:v>A - Direct</x:v>
      </x:c>
      <x:c r="S175" s="83" t="str">
        <x:v>Zonal p_nom input after mapping to PyPSA carrier.</x:v>
      </x:c>
      <x:c r="T175" s="83" t="str">
        <x:v>Table source labels rows as Distribuito/Utility; standardized as onshore/offshore.</x:v>
      </x:c>
    </x:row>
    <x:row r="176">
      <x:c r="A176" s="83" t="str">
        <x:v>ZCAP-0172</x:v>
      </x:c>
      <x:c r="B176" s="83" t="str">
        <x:v>HIST_2023</x:v>
      </x:c>
      <x:c r="C176" s="83" t="n">
        <x:v>2023</x:v>
      </x:c>
      <x:c r="D176" s="83" t="str">
        <x:v>Storico 2023</x:v>
      </x:c>
      <x:c r="E176" s="83" t="str">
        <x:v>Centro Sud</x:v>
      </x:c>
      <x:c r="F176" s="83" t="str">
        <x:v>Wind</x:v>
      </x:c>
      <x:c r="G176" s="83" t="str">
        <x:v>Eolico offshore</x:v>
      </x:c>
      <x:c r="H176" s="83" t="str">
        <x:v>Utility</x:v>
      </x:c>
      <x:c r="I176" s="143" t="n">
        <x:v>0</x:v>
      </x:c>
      <x:c r="J176" s="83" t="str">
        <x:v>GW</x:v>
      </x:c>
      <x:c r="K176" s="83" t="str">
        <x:v>Dato osservato storico</x:v>
      </x:c>
      <x:c r="L176" s="83" t="str">
        <x:v>S09</x:v>
      </x:c>
      <x:c r="M176" s="83" t="str">
        <x:v>Documento_Descrizione_Scenari_2024_8dce2430d44d101.pdf</x:v>
      </x:c>
      <x:c r="N176" s="83" t="n">
        <x:v>61</x:v>
      </x:c>
      <x:c r="O176" s="83" t="n">
        <x:v>59</x:v>
      </x:c>
      <x:c r="P176" s="83" t="str">
        <x:v>Tabella 15</x:v>
      </x:c>
      <x:c r="Q176" s="83" t="str">
        <x:v>Direct table extraction; visual/text verification</x:v>
      </x:c>
      <x:c r="R176" s="83" t="str">
        <x:v>A - Direct</x:v>
      </x:c>
      <x:c r="S176" s="83" t="str">
        <x:v>Zonal p_nom input after mapping to PyPSA carrier.</x:v>
      </x:c>
      <x:c r="T176" s="83" t="str">
        <x:v>Table source labels rows as Distribuito/Utility; standardized as onshore/offshore.</x:v>
      </x:c>
    </x:row>
    <x:row r="177">
      <x:c r="A177" s="83" t="str">
        <x:v>ZCAP-0173</x:v>
      </x:c>
      <x:c r="B177" s="83" t="str">
        <x:v>PNIEC_POLICY_2030</x:v>
      </x:c>
      <x:c r="C177" s="83" t="n">
        <x:v>2030</x:v>
      </x:c>
      <x:c r="D177" s="83" t="str">
        <x:v>PNIEC Policy 2030</x:v>
      </x:c>
      <x:c r="E177" s="83" t="str">
        <x:v>Centro Sud</x:v>
      </x:c>
      <x:c r="F177" s="83" t="str">
        <x:v>Wind</x:v>
      </x:c>
      <x:c r="G177" s="83" t="str">
        <x:v>Eolico offshore</x:v>
      </x:c>
      <x:c r="H177" s="83" t="str">
        <x:v>Utility</x:v>
      </x:c>
      <x:c r="I177" s="143" t="n">
        <x:v>0</x:v>
      </x:c>
      <x:c r="J177" s="83" t="str">
        <x:v>GW</x:v>
      </x:c>
      <x:c r="K177" s="83" t="str">
        <x:v>Assunzione di scenario</x:v>
      </x:c>
      <x:c r="L177" s="83" t="str">
        <x:v>S09</x:v>
      </x:c>
      <x:c r="M177" s="83" t="str">
        <x:v>Documento_Descrizione_Scenari_2024_8dce2430d44d101.pdf</x:v>
      </x:c>
      <x:c r="N177" s="83" t="n">
        <x:v>61</x:v>
      </x:c>
      <x:c r="O177" s="83" t="n">
        <x:v>59</x:v>
      </x:c>
      <x:c r="P177" s="83" t="str">
        <x:v>Tabella 15</x:v>
      </x:c>
      <x:c r="Q177" s="83" t="str">
        <x:v>Direct table extraction; visual/text verification</x:v>
      </x:c>
      <x:c r="R177" s="83" t="str">
        <x:v>A - Direct</x:v>
      </x:c>
      <x:c r="S177" s="83" t="str">
        <x:v>Zonal p_nom input after mapping to PyPSA carrier.</x:v>
      </x:c>
      <x:c r="T177" s="83" t="str">
        <x:v>Table source labels rows as Distribuito/Utility; standardized as onshore/offshore.</x:v>
      </x:c>
    </x:row>
    <x:row r="178">
      <x:c r="A178" s="83" t="str">
        <x:v>ZCAP-0174</x:v>
      </x:c>
      <x:c r="B178" s="83" t="str">
        <x:v>PNIEC_SLOW_2030</x:v>
      </x:c>
      <x:c r="C178" s="83" t="n">
        <x:v>2030</x:v>
      </x:c>
      <x:c r="D178" s="83" t="str">
        <x:v>PNIEC Slow 2030</x:v>
      </x:c>
      <x:c r="E178" s="83" t="str">
        <x:v>Centro Sud</x:v>
      </x:c>
      <x:c r="F178" s="83" t="str">
        <x:v>Wind</x:v>
      </x:c>
      <x:c r="G178" s="83" t="str">
        <x:v>Eolico offshore</x:v>
      </x:c>
      <x:c r="H178" s="83" t="str">
        <x:v>Utility</x:v>
      </x:c>
      <x:c r="I178" s="143" t="n">
        <x:v>0</x:v>
      </x:c>
      <x:c r="J178" s="83" t="str">
        <x:v>GW</x:v>
      </x:c>
      <x:c r="K178" s="83" t="str">
        <x:v>Assunzione di scenario</x:v>
      </x:c>
      <x:c r="L178" s="83" t="str">
        <x:v>S09</x:v>
      </x:c>
      <x:c r="M178" s="83" t="str">
        <x:v>Documento_Descrizione_Scenari_2024_8dce2430d44d101.pdf</x:v>
      </x:c>
      <x:c r="N178" s="83" t="n">
        <x:v>61</x:v>
      </x:c>
      <x:c r="O178" s="83" t="n">
        <x:v>59</x:v>
      </x:c>
      <x:c r="P178" s="83" t="str">
        <x:v>Tabella 15</x:v>
      </x:c>
      <x:c r="Q178" s="83" t="str">
        <x:v>Direct table extraction; visual/text verification</x:v>
      </x:c>
      <x:c r="R178" s="83" t="str">
        <x:v>A - Direct</x:v>
      </x:c>
      <x:c r="S178" s="83" t="str">
        <x:v>Zonal p_nom input after mapping to PyPSA carrier.</x:v>
      </x:c>
      <x:c r="T178" s="83" t="str">
        <x:v>Table source labels rows as Distribuito/Utility; standardized as onshore/offshore.</x:v>
      </x:c>
    </x:row>
    <x:row r="179">
      <x:c r="A179" s="83" t="str">
        <x:v>ZCAP-0175</x:v>
      </x:c>
      <x:c r="B179" s="83" t="str">
        <x:v>DE_IT_2035</x:v>
      </x:c>
      <x:c r="C179" s="83" t="n">
        <x:v>2035</x:v>
      </x:c>
      <x:c r="D179" s="83" t="str">
        <x:v>DE-IT 2035</x:v>
      </x:c>
      <x:c r="E179" s="83" t="str">
        <x:v>Centro Sud</x:v>
      </x:c>
      <x:c r="F179" s="83" t="str">
        <x:v>Wind</x:v>
      </x:c>
      <x:c r="G179" s="83" t="str">
        <x:v>Eolico offshore</x:v>
      </x:c>
      <x:c r="H179" s="83" t="str">
        <x:v>Utility</x:v>
      </x:c>
      <x:c r="I179" s="143" t="n">
        <x:v>0.6</x:v>
      </x:c>
      <x:c r="J179" s="83" t="str">
        <x:v>GW</x:v>
      </x:c>
      <x:c r="K179" s="83" t="str">
        <x:v>Assunzione di scenario</x:v>
      </x:c>
      <x:c r="L179" s="83" t="str">
        <x:v>S09</x:v>
      </x:c>
      <x:c r="M179" s="83" t="str">
        <x:v>Documento_Descrizione_Scenari_2024_8dce2430d44d101.pdf</x:v>
      </x:c>
      <x:c r="N179" s="83" t="n">
        <x:v>61</x:v>
      </x:c>
      <x:c r="O179" s="83" t="n">
        <x:v>59</x:v>
      </x:c>
      <x:c r="P179" s="83" t="str">
        <x:v>Tabella 15</x:v>
      </x:c>
      <x:c r="Q179" s="83" t="str">
        <x:v>Direct table extraction; visual/text verification</x:v>
      </x:c>
      <x:c r="R179" s="83" t="str">
        <x:v>A - Direct</x:v>
      </x:c>
      <x:c r="S179" s="83" t="str">
        <x:v>Zonal p_nom input after mapping to PyPSA carrier.</x:v>
      </x:c>
      <x:c r="T179" s="83" t="str">
        <x:v>Table source labels rows as Distribuito/Utility; standardized as onshore/offshore.</x:v>
      </x:c>
    </x:row>
    <x:row r="180">
      <x:c r="A180" s="83" t="str">
        <x:v>ZCAP-0176</x:v>
      </x:c>
      <x:c r="B180" s="83" t="str">
        <x:v>GA_IT_2035</x:v>
      </x:c>
      <x:c r="C180" s="83" t="n">
        <x:v>2035</x:v>
      </x:c>
      <x:c r="D180" s="83" t="str">
        <x:v>GA-IT 2035</x:v>
      </x:c>
      <x:c r="E180" s="83" t="str">
        <x:v>Centro Sud</x:v>
      </x:c>
      <x:c r="F180" s="83" t="str">
        <x:v>Wind</x:v>
      </x:c>
      <x:c r="G180" s="83" t="str">
        <x:v>Eolico offshore</x:v>
      </x:c>
      <x:c r="H180" s="83" t="str">
        <x:v>Utility</x:v>
      </x:c>
      <x:c r="I180" s="143" t="n">
        <x:v>0.4</x:v>
      </x:c>
      <x:c r="J180" s="83" t="str">
        <x:v>GW</x:v>
      </x:c>
      <x:c r="K180" s="83" t="str">
        <x:v>Assunzione di scenario</x:v>
      </x:c>
      <x:c r="L180" s="83" t="str">
        <x:v>S09</x:v>
      </x:c>
      <x:c r="M180" s="83" t="str">
        <x:v>Documento_Descrizione_Scenari_2024_8dce2430d44d101.pdf</x:v>
      </x:c>
      <x:c r="N180" s="83" t="n">
        <x:v>61</x:v>
      </x:c>
      <x:c r="O180" s="83" t="n">
        <x:v>59</x:v>
      </x:c>
      <x:c r="P180" s="83" t="str">
        <x:v>Tabella 15</x:v>
      </x:c>
      <x:c r="Q180" s="83" t="str">
        <x:v>Direct table extraction; visual/text verification</x:v>
      </x:c>
      <x:c r="R180" s="83" t="str">
        <x:v>A - Direct</x:v>
      </x:c>
      <x:c r="S180" s="83" t="str">
        <x:v>Zonal p_nom input after mapping to PyPSA carrier.</x:v>
      </x:c>
      <x:c r="T180" s="83" t="str">
        <x:v>Table source labels rows as Distribuito/Utility; standardized as onshore/offshore.</x:v>
      </x:c>
    </x:row>
    <x:row r="181">
      <x:c r="A181" s="83" t="str">
        <x:v>ZCAP-0177</x:v>
      </x:c>
      <x:c r="B181" s="83" t="str">
        <x:v>PNIEC_SLOW_2035</x:v>
      </x:c>
      <x:c r="C181" s="83" t="n">
        <x:v>2035</x:v>
      </x:c>
      <x:c r="D181" s="83" t="str">
        <x:v>PNIEC Slow 2035</x:v>
      </x:c>
      <x:c r="E181" s="83" t="str">
        <x:v>Centro Sud</x:v>
      </x:c>
      <x:c r="F181" s="83" t="str">
        <x:v>Wind</x:v>
      </x:c>
      <x:c r="G181" s="83" t="str">
        <x:v>Eolico offshore</x:v>
      </x:c>
      <x:c r="H181" s="83" t="str">
        <x:v>Utility</x:v>
      </x:c>
      <x:c r="I181" s="143" t="n">
        <x:v>0.4</x:v>
      </x:c>
      <x:c r="J181" s="83" t="str">
        <x:v>GW</x:v>
      </x:c>
      <x:c r="K181" s="83" t="str">
        <x:v>Assunzione di scenario</x:v>
      </x:c>
      <x:c r="L181" s="83" t="str">
        <x:v>S09</x:v>
      </x:c>
      <x:c r="M181" s="83" t="str">
        <x:v>Documento_Descrizione_Scenari_2024_8dce2430d44d101.pdf</x:v>
      </x:c>
      <x:c r="N181" s="83" t="n">
        <x:v>61</x:v>
      </x:c>
      <x:c r="O181" s="83" t="n">
        <x:v>59</x:v>
      </x:c>
      <x:c r="P181" s="83" t="str">
        <x:v>Tabella 15</x:v>
      </x:c>
      <x:c r="Q181" s="83" t="str">
        <x:v>Direct table extraction; visual/text verification</x:v>
      </x:c>
      <x:c r="R181" s="83" t="str">
        <x:v>A - Direct</x:v>
      </x:c>
      <x:c r="S181" s="83" t="str">
        <x:v>Zonal p_nom input after mapping to PyPSA carrier.</x:v>
      </x:c>
      <x:c r="T181" s="83" t="str">
        <x:v>Table source labels rows as Distribuito/Utility; standardized as onshore/offshore.</x:v>
      </x:c>
    </x:row>
    <x:row r="182">
      <x:c r="A182" s="83" t="str">
        <x:v>ZCAP-0178</x:v>
      </x:c>
      <x:c r="B182" s="83" t="str">
        <x:v>DE_IT_2040</x:v>
      </x:c>
      <x:c r="C182" s="83" t="n">
        <x:v>2040</x:v>
      </x:c>
      <x:c r="D182" s="83" t="str">
        <x:v>DE-IT 2040</x:v>
      </x:c>
      <x:c r="E182" s="83" t="str">
        <x:v>Centro Sud</x:v>
      </x:c>
      <x:c r="F182" s="83" t="str">
        <x:v>Wind</x:v>
      </x:c>
      <x:c r="G182" s="83" t="str">
        <x:v>Eolico offshore</x:v>
      </x:c>
      <x:c r="H182" s="83" t="str">
        <x:v>Utility</x:v>
      </x:c>
      <x:c r="I182" s="143" t="n">
        <x:v>1.6</x:v>
      </x:c>
      <x:c r="J182" s="83" t="str">
        <x:v>GW</x:v>
      </x:c>
      <x:c r="K182" s="83" t="str">
        <x:v>Assunzione di scenario</x:v>
      </x:c>
      <x:c r="L182" s="83" t="str">
        <x:v>S09</x:v>
      </x:c>
      <x:c r="M182" s="83" t="str">
        <x:v>Documento_Descrizione_Scenari_2024_8dce2430d44d101.pdf</x:v>
      </x:c>
      <x:c r="N182" s="83" t="n">
        <x:v>61</x:v>
      </x:c>
      <x:c r="O182" s="83" t="n">
        <x:v>59</x:v>
      </x:c>
      <x:c r="P182" s="83" t="str">
        <x:v>Tabella 15</x:v>
      </x:c>
      <x:c r="Q182" s="83" t="str">
        <x:v>Direct table extraction; visual/text verification</x:v>
      </x:c>
      <x:c r="R182" s="83" t="str">
        <x:v>A - Direct</x:v>
      </x:c>
      <x:c r="S182" s="83" t="str">
        <x:v>Zonal p_nom input after mapping to PyPSA carrier.</x:v>
      </x:c>
      <x:c r="T182" s="83" t="str">
        <x:v>Table source labels rows as Distribuito/Utility; standardized as onshore/offshore.</x:v>
      </x:c>
    </x:row>
    <x:row r="183">
      <x:c r="A183" s="83" t="str">
        <x:v>ZCAP-0179</x:v>
      </x:c>
      <x:c r="B183" s="83" t="str">
        <x:v>GA_IT_2040</x:v>
      </x:c>
      <x:c r="C183" s="83" t="n">
        <x:v>2040</x:v>
      </x:c>
      <x:c r="D183" s="83" t="str">
        <x:v>GA-IT 2040</x:v>
      </x:c>
      <x:c r="E183" s="83" t="str">
        <x:v>Centro Sud</x:v>
      </x:c>
      <x:c r="F183" s="83" t="str">
        <x:v>Wind</x:v>
      </x:c>
      <x:c r="G183" s="83" t="str">
        <x:v>Eolico offshore</x:v>
      </x:c>
      <x:c r="H183" s="83" t="str">
        <x:v>Utility</x:v>
      </x:c>
      <x:c r="I183" s="143" t="n">
        <x:v>1.2</x:v>
      </x:c>
      <x:c r="J183" s="83" t="str">
        <x:v>GW</x:v>
      </x:c>
      <x:c r="K183" s="83" t="str">
        <x:v>Assunzione di scenario</x:v>
      </x:c>
      <x:c r="L183" s="83" t="str">
        <x:v>S09</x:v>
      </x:c>
      <x:c r="M183" s="83" t="str">
        <x:v>Documento_Descrizione_Scenari_2024_8dce2430d44d101.pdf</x:v>
      </x:c>
      <x:c r="N183" s="83" t="n">
        <x:v>61</x:v>
      </x:c>
      <x:c r="O183" s="83" t="n">
        <x:v>59</x:v>
      </x:c>
      <x:c r="P183" s="83" t="str">
        <x:v>Tabella 15</x:v>
      </x:c>
      <x:c r="Q183" s="83" t="str">
        <x:v>Direct table extraction; visual/text verification</x:v>
      </x:c>
      <x:c r="R183" s="83" t="str">
        <x:v>A - Direct</x:v>
      </x:c>
      <x:c r="S183" s="83" t="str">
        <x:v>Zonal p_nom input after mapping to PyPSA carrier.</x:v>
      </x:c>
      <x:c r="T183" s="83" t="str">
        <x:v>Table source labels rows as Distribuito/Utility; standardized as onshore/offshore.</x:v>
      </x:c>
    </x:row>
    <x:row r="184">
      <x:c r="A184" s="83" t="str">
        <x:v>ZCAP-0180</x:v>
      </x:c>
      <x:c r="B184" s="83" t="str">
        <x:v>PNIEC_SLOW_2040</x:v>
      </x:c>
      <x:c r="C184" s="83" t="n">
        <x:v>2040</x:v>
      </x:c>
      <x:c r="D184" s="83" t="str">
        <x:v>PNIEC Slow 2040</x:v>
      </x:c>
      <x:c r="E184" s="83" t="str">
        <x:v>Centro Sud</x:v>
      </x:c>
      <x:c r="F184" s="83" t="str">
        <x:v>Wind</x:v>
      </x:c>
      <x:c r="G184" s="83" t="str">
        <x:v>Eolico offshore</x:v>
      </x:c>
      <x:c r="H184" s="83" t="str">
        <x:v>Utility</x:v>
      </x:c>
      <x:c r="I184" s="143" t="n">
        <x:v>1.1</x:v>
      </x:c>
      <x:c r="J184" s="83" t="str">
        <x:v>GW</x:v>
      </x:c>
      <x:c r="K184" s="83" t="str">
        <x:v>Assunzione di scenario</x:v>
      </x:c>
      <x:c r="L184" s="83" t="str">
        <x:v>S09</x:v>
      </x:c>
      <x:c r="M184" s="83" t="str">
        <x:v>Documento_Descrizione_Scenari_2024_8dce2430d44d101.pdf</x:v>
      </x:c>
      <x:c r="N184" s="83" t="n">
        <x:v>61</x:v>
      </x:c>
      <x:c r="O184" s="83" t="n">
        <x:v>59</x:v>
      </x:c>
      <x:c r="P184" s="83" t="str">
        <x:v>Tabella 15</x:v>
      </x:c>
      <x:c r="Q184" s="83" t="str">
        <x:v>Direct table extraction; visual/text verification</x:v>
      </x:c>
      <x:c r="R184" s="83" t="str">
        <x:v>A - Direct</x:v>
      </x:c>
      <x:c r="S184" s="83" t="str">
        <x:v>Zonal p_nom input after mapping to PyPSA carrier.</x:v>
      </x:c>
      <x:c r="T184" s="83" t="str">
        <x:v>Table source labels rows as Distribuito/Utility; standardized as onshore/offshore.</x:v>
      </x:c>
    </x:row>
    <x:row r="185">
      <x:c r="A185" s="83" t="str">
        <x:v>ZCAP-0181</x:v>
      </x:c>
      <x:c r="B185" s="83" t="str">
        <x:v>HIST_2023</x:v>
      </x:c>
      <x:c r="C185" s="83" t="n">
        <x:v>2023</x:v>
      </x:c>
      <x:c r="D185" s="83" t="str">
        <x:v>Storico 2023</x:v>
      </x:c>
      <x:c r="E185" s="83" t="str">
        <x:v>Sud</x:v>
      </x:c>
      <x:c r="F185" s="83" t="str">
        <x:v>Wind</x:v>
      </x:c>
      <x:c r="G185" s="83" t="str">
        <x:v>Eolico onshore</x:v>
      </x:c>
      <x:c r="H185" s="83" t="str">
        <x:v>Distribuito</x:v>
      </x:c>
      <x:c r="I185" s="143" t="n">
        <x:v>5</x:v>
      </x:c>
      <x:c r="J185" s="83" t="str">
        <x:v>GW</x:v>
      </x:c>
      <x:c r="K185" s="83" t="str">
        <x:v>Dato osservato storico</x:v>
      </x:c>
      <x:c r="L185" s="83" t="str">
        <x:v>S09</x:v>
      </x:c>
      <x:c r="M185" s="83" t="str">
        <x:v>Documento_Descrizione_Scenari_2024_8dce2430d44d101.pdf</x:v>
      </x:c>
      <x:c r="N185" s="83" t="n">
        <x:v>61</x:v>
      </x:c>
      <x:c r="O185" s="83" t="n">
        <x:v>59</x:v>
      </x:c>
      <x:c r="P185" s="83" t="str">
        <x:v>Tabella 15</x:v>
      </x:c>
      <x:c r="Q185" s="83" t="str">
        <x:v>Direct table extraction; visual/text verification</x:v>
      </x:c>
      <x:c r="R185" s="83" t="str">
        <x:v>A - Direct</x:v>
      </x:c>
      <x:c r="S185" s="83" t="str">
        <x:v>Zonal p_nom input after mapping to PyPSA carrier.</x:v>
      </x:c>
      <x:c r="T185" s="83" t="str">
        <x:v>Table source labels rows as Distribuito/Utility; standardized as onshore/offshore.</x:v>
      </x:c>
    </x:row>
    <x:row r="186">
      <x:c r="A186" s="83" t="str">
        <x:v>ZCAP-0182</x:v>
      </x:c>
      <x:c r="B186" s="83" t="str">
        <x:v>PNIEC_POLICY_2030</x:v>
      </x:c>
      <x:c r="C186" s="83" t="n">
        <x:v>2030</x:v>
      </x:c>
      <x:c r="D186" s="83" t="str">
        <x:v>PNIEC Policy 2030</x:v>
      </x:c>
      <x:c r="E186" s="83" t="str">
        <x:v>Sud</x:v>
      </x:c>
      <x:c r="F186" s="83" t="str">
        <x:v>Wind</x:v>
      </x:c>
      <x:c r="G186" s="83" t="str">
        <x:v>Eolico onshore</x:v>
      </x:c>
      <x:c r="H186" s="83" t="str">
        <x:v>Distribuito</x:v>
      </x:c>
      <x:c r="I186" s="143" t="n">
        <x:v>10.3</x:v>
      </x:c>
      <x:c r="J186" s="83" t="str">
        <x:v>GW</x:v>
      </x:c>
      <x:c r="K186" s="83" t="str">
        <x:v>Assunzione di scenario</x:v>
      </x:c>
      <x:c r="L186" s="83" t="str">
        <x:v>S09</x:v>
      </x:c>
      <x:c r="M186" s="83" t="str">
        <x:v>Documento_Descrizione_Scenari_2024_8dce2430d44d101.pdf</x:v>
      </x:c>
      <x:c r="N186" s="83" t="n">
        <x:v>61</x:v>
      </x:c>
      <x:c r="O186" s="83" t="n">
        <x:v>59</x:v>
      </x:c>
      <x:c r="P186" s="83" t="str">
        <x:v>Tabella 15</x:v>
      </x:c>
      <x:c r="Q186" s="83" t="str">
        <x:v>Direct table extraction; visual/text verification</x:v>
      </x:c>
      <x:c r="R186" s="83" t="str">
        <x:v>A - Direct</x:v>
      </x:c>
      <x:c r="S186" s="83" t="str">
        <x:v>Zonal p_nom input after mapping to PyPSA carrier.</x:v>
      </x:c>
      <x:c r="T186" s="83" t="str">
        <x:v>Table source labels rows as Distribuito/Utility; standardized as onshore/offshore.</x:v>
      </x:c>
    </x:row>
    <x:row r="187">
      <x:c r="A187" s="83" t="str">
        <x:v>ZCAP-0183</x:v>
      </x:c>
      <x:c r="B187" s="83" t="str">
        <x:v>PNIEC_SLOW_2030</x:v>
      </x:c>
      <x:c r="C187" s="83" t="n">
        <x:v>2030</x:v>
      </x:c>
      <x:c r="D187" s="83" t="str">
        <x:v>PNIEC Slow 2030</x:v>
      </x:c>
      <x:c r="E187" s="83" t="str">
        <x:v>Sud</x:v>
      </x:c>
      <x:c r="F187" s="83" t="str">
        <x:v>Wind</x:v>
      </x:c>
      <x:c r="G187" s="83" t="str">
        <x:v>Eolico onshore</x:v>
      </x:c>
      <x:c r="H187" s="83" t="str">
        <x:v>Distribuito</x:v>
      </x:c>
      <x:c r="I187" s="143" t="n">
        <x:v>8.1</x:v>
      </x:c>
      <x:c r="J187" s="83" t="str">
        <x:v>GW</x:v>
      </x:c>
      <x:c r="K187" s="83" t="str">
        <x:v>Assunzione di scenario</x:v>
      </x:c>
      <x:c r="L187" s="83" t="str">
        <x:v>S09</x:v>
      </x:c>
      <x:c r="M187" s="83" t="str">
        <x:v>Documento_Descrizione_Scenari_2024_8dce2430d44d101.pdf</x:v>
      </x:c>
      <x:c r="N187" s="83" t="n">
        <x:v>61</x:v>
      </x:c>
      <x:c r="O187" s="83" t="n">
        <x:v>59</x:v>
      </x:c>
      <x:c r="P187" s="83" t="str">
        <x:v>Tabella 15</x:v>
      </x:c>
      <x:c r="Q187" s="83" t="str">
        <x:v>Direct table extraction; visual/text verification</x:v>
      </x:c>
      <x:c r="R187" s="83" t="str">
        <x:v>A - Direct</x:v>
      </x:c>
      <x:c r="S187" s="83" t="str">
        <x:v>Zonal p_nom input after mapping to PyPSA carrier.</x:v>
      </x:c>
      <x:c r="T187" s="83" t="str">
        <x:v>Table source labels rows as Distribuito/Utility; standardized as onshore/offshore.</x:v>
      </x:c>
    </x:row>
    <x:row r="188">
      <x:c r="A188" s="83" t="str">
        <x:v>ZCAP-0184</x:v>
      </x:c>
      <x:c r="B188" s="83" t="str">
        <x:v>DE_IT_2035</x:v>
      </x:c>
      <x:c r="C188" s="83" t="n">
        <x:v>2035</x:v>
      </x:c>
      <x:c r="D188" s="83" t="str">
        <x:v>DE-IT 2035</x:v>
      </x:c>
      <x:c r="E188" s="83" t="str">
        <x:v>Sud</x:v>
      </x:c>
      <x:c r="F188" s="83" t="str">
        <x:v>Wind</x:v>
      </x:c>
      <x:c r="G188" s="83" t="str">
        <x:v>Eolico onshore</x:v>
      </x:c>
      <x:c r="H188" s="83" t="str">
        <x:v>Distribuito</x:v>
      </x:c>
      <x:c r="I188" s="143" t="n">
        <x:v>11.8</x:v>
      </x:c>
      <x:c r="J188" s="83" t="str">
        <x:v>GW</x:v>
      </x:c>
      <x:c r="K188" s="83" t="str">
        <x:v>Assunzione di scenario</x:v>
      </x:c>
      <x:c r="L188" s="83" t="str">
        <x:v>S09</x:v>
      </x:c>
      <x:c r="M188" s="83" t="str">
        <x:v>Documento_Descrizione_Scenari_2024_8dce2430d44d101.pdf</x:v>
      </x:c>
      <x:c r="N188" s="83" t="n">
        <x:v>61</x:v>
      </x:c>
      <x:c r="O188" s="83" t="n">
        <x:v>59</x:v>
      </x:c>
      <x:c r="P188" s="83" t="str">
        <x:v>Tabella 15</x:v>
      </x:c>
      <x:c r="Q188" s="83" t="str">
        <x:v>Direct table extraction; visual/text verification</x:v>
      </x:c>
      <x:c r="R188" s="83" t="str">
        <x:v>A - Direct</x:v>
      </x:c>
      <x:c r="S188" s="83" t="str">
        <x:v>Zonal p_nom input after mapping to PyPSA carrier.</x:v>
      </x:c>
      <x:c r="T188" s="83" t="str">
        <x:v>Table source labels rows as Distribuito/Utility; standardized as onshore/offshore.</x:v>
      </x:c>
    </x:row>
    <x:row r="189">
      <x:c r="A189" s="83" t="str">
        <x:v>ZCAP-0185</x:v>
      </x:c>
      <x:c r="B189" s="83" t="str">
        <x:v>GA_IT_2035</x:v>
      </x:c>
      <x:c r="C189" s="83" t="n">
        <x:v>2035</x:v>
      </x:c>
      <x:c r="D189" s="83" t="str">
        <x:v>GA-IT 2035</x:v>
      </x:c>
      <x:c r="E189" s="83" t="str">
        <x:v>Sud</x:v>
      </x:c>
      <x:c r="F189" s="83" t="str">
        <x:v>Wind</x:v>
      </x:c>
      <x:c r="G189" s="83" t="str">
        <x:v>Eolico onshore</x:v>
      </x:c>
      <x:c r="H189" s="83" t="str">
        <x:v>Distribuito</x:v>
      </x:c>
      <x:c r="I189" s="143" t="n">
        <x:v>11</x:v>
      </x:c>
      <x:c r="J189" s="83" t="str">
        <x:v>GW</x:v>
      </x:c>
      <x:c r="K189" s="83" t="str">
        <x:v>Assunzione di scenario</x:v>
      </x:c>
      <x:c r="L189" s="83" t="str">
        <x:v>S09</x:v>
      </x:c>
      <x:c r="M189" s="83" t="str">
        <x:v>Documento_Descrizione_Scenari_2024_8dce2430d44d101.pdf</x:v>
      </x:c>
      <x:c r="N189" s="83" t="n">
        <x:v>61</x:v>
      </x:c>
      <x:c r="O189" s="83" t="n">
        <x:v>59</x:v>
      </x:c>
      <x:c r="P189" s="83" t="str">
        <x:v>Tabella 15</x:v>
      </x:c>
      <x:c r="Q189" s="83" t="str">
        <x:v>Direct table extraction; visual/text verification</x:v>
      </x:c>
      <x:c r="R189" s="83" t="str">
        <x:v>A - Direct</x:v>
      </x:c>
      <x:c r="S189" s="83" t="str">
        <x:v>Zonal p_nom input after mapping to PyPSA carrier.</x:v>
      </x:c>
      <x:c r="T189" s="83" t="str">
        <x:v>Table source labels rows as Distribuito/Utility; standardized as onshore/offshore.</x:v>
      </x:c>
    </x:row>
    <x:row r="190">
      <x:c r="A190" s="83" t="str">
        <x:v>ZCAP-0186</x:v>
      </x:c>
      <x:c r="B190" s="83" t="str">
        <x:v>PNIEC_SLOW_2035</x:v>
      </x:c>
      <x:c r="C190" s="83" t="n">
        <x:v>2035</x:v>
      </x:c>
      <x:c r="D190" s="83" t="str">
        <x:v>PNIEC Slow 2035</x:v>
      </x:c>
      <x:c r="E190" s="83" t="str">
        <x:v>Sud</x:v>
      </x:c>
      <x:c r="F190" s="83" t="str">
        <x:v>Wind</x:v>
      </x:c>
      <x:c r="G190" s="83" t="str">
        <x:v>Eolico onshore</x:v>
      </x:c>
      <x:c r="H190" s="83" t="str">
        <x:v>Distribuito</x:v>
      </x:c>
      <x:c r="I190" s="143" t="n">
        <x:v>9.4</x:v>
      </x:c>
      <x:c r="J190" s="83" t="str">
        <x:v>GW</x:v>
      </x:c>
      <x:c r="K190" s="83" t="str">
        <x:v>Assunzione di scenario</x:v>
      </x:c>
      <x:c r="L190" s="83" t="str">
        <x:v>S09</x:v>
      </x:c>
      <x:c r="M190" s="83" t="str">
        <x:v>Documento_Descrizione_Scenari_2024_8dce2430d44d101.pdf</x:v>
      </x:c>
      <x:c r="N190" s="83" t="n">
        <x:v>61</x:v>
      </x:c>
      <x:c r="O190" s="83" t="n">
        <x:v>59</x:v>
      </x:c>
      <x:c r="P190" s="83" t="str">
        <x:v>Tabella 15</x:v>
      </x:c>
      <x:c r="Q190" s="83" t="str">
        <x:v>Direct table extraction; visual/text verification</x:v>
      </x:c>
      <x:c r="R190" s="83" t="str">
        <x:v>A - Direct</x:v>
      </x:c>
      <x:c r="S190" s="83" t="str">
        <x:v>Zonal p_nom input after mapping to PyPSA carrier.</x:v>
      </x:c>
      <x:c r="T190" s="83" t="str">
        <x:v>Table source labels rows as Distribuito/Utility; standardized as onshore/offshore.</x:v>
      </x:c>
    </x:row>
    <x:row r="191">
      <x:c r="A191" s="83" t="str">
        <x:v>ZCAP-0187</x:v>
      </x:c>
      <x:c r="B191" s="83" t="str">
        <x:v>DE_IT_2040</x:v>
      </x:c>
      <x:c r="C191" s="83" t="n">
        <x:v>2040</x:v>
      </x:c>
      <x:c r="D191" s="83" t="str">
        <x:v>DE-IT 2040</x:v>
      </x:c>
      <x:c r="E191" s="83" t="str">
        <x:v>Sud</x:v>
      </x:c>
      <x:c r="F191" s="83" t="str">
        <x:v>Wind</x:v>
      </x:c>
      <x:c r="G191" s="83" t="str">
        <x:v>Eolico onshore</x:v>
      </x:c>
      <x:c r="H191" s="83" t="str">
        <x:v>Distribuito</x:v>
      </x:c>
      <x:c r="I191" s="143" t="n">
        <x:v>13.2</x:v>
      </x:c>
      <x:c r="J191" s="83" t="str">
        <x:v>GW</x:v>
      </x:c>
      <x:c r="K191" s="83" t="str">
        <x:v>Assunzione di scenario</x:v>
      </x:c>
      <x:c r="L191" s="83" t="str">
        <x:v>S09</x:v>
      </x:c>
      <x:c r="M191" s="83" t="str">
        <x:v>Documento_Descrizione_Scenari_2024_8dce2430d44d101.pdf</x:v>
      </x:c>
      <x:c r="N191" s="83" t="n">
        <x:v>61</x:v>
      </x:c>
      <x:c r="O191" s="83" t="n">
        <x:v>59</x:v>
      </x:c>
      <x:c r="P191" s="83" t="str">
        <x:v>Tabella 15</x:v>
      </x:c>
      <x:c r="Q191" s="83" t="str">
        <x:v>Direct table extraction; visual/text verification</x:v>
      </x:c>
      <x:c r="R191" s="83" t="str">
        <x:v>A - Direct</x:v>
      </x:c>
      <x:c r="S191" s="83" t="str">
        <x:v>Zonal p_nom input after mapping to PyPSA carrier.</x:v>
      </x:c>
      <x:c r="T191" s="83" t="str">
        <x:v>Table source labels rows as Distribuito/Utility; standardized as onshore/offshore.</x:v>
      </x:c>
    </x:row>
    <x:row r="192">
      <x:c r="A192" s="83" t="str">
        <x:v>ZCAP-0188</x:v>
      </x:c>
      <x:c r="B192" s="83" t="str">
        <x:v>GA_IT_2040</x:v>
      </x:c>
      <x:c r="C192" s="83" t="n">
        <x:v>2040</x:v>
      </x:c>
      <x:c r="D192" s="83" t="str">
        <x:v>GA-IT 2040</x:v>
      </x:c>
      <x:c r="E192" s="83" t="str">
        <x:v>Sud</x:v>
      </x:c>
      <x:c r="F192" s="83" t="str">
        <x:v>Wind</x:v>
      </x:c>
      <x:c r="G192" s="83" t="str">
        <x:v>Eolico onshore</x:v>
      </x:c>
      <x:c r="H192" s="83" t="str">
        <x:v>Distribuito</x:v>
      </x:c>
      <x:c r="I192" s="143" t="n">
        <x:v>12.1</x:v>
      </x:c>
      <x:c r="J192" s="83" t="str">
        <x:v>GW</x:v>
      </x:c>
      <x:c r="K192" s="83" t="str">
        <x:v>Assunzione di scenario</x:v>
      </x:c>
      <x:c r="L192" s="83" t="str">
        <x:v>S09</x:v>
      </x:c>
      <x:c r="M192" s="83" t="str">
        <x:v>Documento_Descrizione_Scenari_2024_8dce2430d44d101.pdf</x:v>
      </x:c>
      <x:c r="N192" s="83" t="n">
        <x:v>61</x:v>
      </x:c>
      <x:c r="O192" s="83" t="n">
        <x:v>59</x:v>
      </x:c>
      <x:c r="P192" s="83" t="str">
        <x:v>Tabella 15</x:v>
      </x:c>
      <x:c r="Q192" s="83" t="str">
        <x:v>Direct table extraction; visual/text verification</x:v>
      </x:c>
      <x:c r="R192" s="83" t="str">
        <x:v>A - Direct</x:v>
      </x:c>
      <x:c r="S192" s="83" t="str">
        <x:v>Zonal p_nom input after mapping to PyPSA carrier.</x:v>
      </x:c>
      <x:c r="T192" s="83" t="str">
        <x:v>Table source labels rows as Distribuito/Utility; standardized as onshore/offshore.</x:v>
      </x:c>
    </x:row>
    <x:row r="193">
      <x:c r="A193" s="83" t="str">
        <x:v>ZCAP-0189</x:v>
      </x:c>
      <x:c r="B193" s="83" t="str">
        <x:v>PNIEC_SLOW_2040</x:v>
      </x:c>
      <x:c r="C193" s="83" t="n">
        <x:v>2040</x:v>
      </x:c>
      <x:c r="D193" s="83" t="str">
        <x:v>PNIEC Slow 2040</x:v>
      </x:c>
      <x:c r="E193" s="83" t="str">
        <x:v>Sud</x:v>
      </x:c>
      <x:c r="F193" s="83" t="str">
        <x:v>Wind</x:v>
      </x:c>
      <x:c r="G193" s="83" t="str">
        <x:v>Eolico onshore</x:v>
      </x:c>
      <x:c r="H193" s="83" t="str">
        <x:v>Distribuito</x:v>
      </x:c>
      <x:c r="I193" s="143" t="n">
        <x:v>10.7</x:v>
      </x:c>
      <x:c r="J193" s="83" t="str">
        <x:v>GW</x:v>
      </x:c>
      <x:c r="K193" s="83" t="str">
        <x:v>Assunzione di scenario</x:v>
      </x:c>
      <x:c r="L193" s="83" t="str">
        <x:v>S09</x:v>
      </x:c>
      <x:c r="M193" s="83" t="str">
        <x:v>Documento_Descrizione_Scenari_2024_8dce2430d44d101.pdf</x:v>
      </x:c>
      <x:c r="N193" s="83" t="n">
        <x:v>61</x:v>
      </x:c>
      <x:c r="O193" s="83" t="n">
        <x:v>59</x:v>
      </x:c>
      <x:c r="P193" s="83" t="str">
        <x:v>Tabella 15</x:v>
      </x:c>
      <x:c r="Q193" s="83" t="str">
        <x:v>Direct table extraction; visual/text verification</x:v>
      </x:c>
      <x:c r="R193" s="83" t="str">
        <x:v>A - Direct</x:v>
      </x:c>
      <x:c r="S193" s="83" t="str">
        <x:v>Zonal p_nom input after mapping to PyPSA carrier.</x:v>
      </x:c>
      <x:c r="T193" s="83" t="str">
        <x:v>Table source labels rows as Distribuito/Utility; standardized as onshore/offshore.</x:v>
      </x:c>
    </x:row>
    <x:row r="194">
      <x:c r="A194" s="83" t="str">
        <x:v>ZCAP-0190</x:v>
      </x:c>
      <x:c r="B194" s="83" t="str">
        <x:v>HIST_2023</x:v>
      </x:c>
      <x:c r="C194" s="83" t="n">
        <x:v>2023</x:v>
      </x:c>
      <x:c r="D194" s="83" t="str">
        <x:v>Storico 2023</x:v>
      </x:c>
      <x:c r="E194" s="83" t="str">
        <x:v>Sud</x:v>
      </x:c>
      <x:c r="F194" s="83" t="str">
        <x:v>Wind</x:v>
      </x:c>
      <x:c r="G194" s="83" t="str">
        <x:v>Eolico offshore</x:v>
      </x:c>
      <x:c r="H194" s="83" t="str">
        <x:v>Utility</x:v>
      </x:c>
      <x:c r="I194" s="143" t="n">
        <x:v>0</x:v>
      </x:c>
      <x:c r="J194" s="83" t="str">
        <x:v>GW</x:v>
      </x:c>
      <x:c r="K194" s="83" t="str">
        <x:v>Dato osservato storico</x:v>
      </x:c>
      <x:c r="L194" s="83" t="str">
        <x:v>S09</x:v>
      </x:c>
      <x:c r="M194" s="83" t="str">
        <x:v>Documento_Descrizione_Scenari_2024_8dce2430d44d101.pdf</x:v>
      </x:c>
      <x:c r="N194" s="83" t="n">
        <x:v>61</x:v>
      </x:c>
      <x:c r="O194" s="83" t="n">
        <x:v>59</x:v>
      </x:c>
      <x:c r="P194" s="83" t="str">
        <x:v>Tabella 15</x:v>
      </x:c>
      <x:c r="Q194" s="83" t="str">
        <x:v>Direct table extraction; visual/text verification</x:v>
      </x:c>
      <x:c r="R194" s="83" t="str">
        <x:v>A - Direct</x:v>
      </x:c>
      <x:c r="S194" s="83" t="str">
        <x:v>Zonal p_nom input after mapping to PyPSA carrier.</x:v>
      </x:c>
      <x:c r="T194" s="83" t="str">
        <x:v>Table source labels rows as Distribuito/Utility; standardized as onshore/offshore.</x:v>
      </x:c>
    </x:row>
    <x:row r="195">
      <x:c r="A195" s="83" t="str">
        <x:v>ZCAP-0191</x:v>
      </x:c>
      <x:c r="B195" s="83" t="str">
        <x:v>PNIEC_POLICY_2030</x:v>
      </x:c>
      <x:c r="C195" s="83" t="n">
        <x:v>2030</x:v>
      </x:c>
      <x:c r="D195" s="83" t="str">
        <x:v>PNIEC Policy 2030</x:v>
      </x:c>
      <x:c r="E195" s="83" t="str">
        <x:v>Sud</x:v>
      </x:c>
      <x:c r="F195" s="83" t="str">
        <x:v>Wind</x:v>
      </x:c>
      <x:c r="G195" s="83" t="str">
        <x:v>Eolico offshore</x:v>
      </x:c>
      <x:c r="H195" s="83" t="str">
        <x:v>Utility</x:v>
      </x:c>
      <x:c r="I195" s="143" t="n">
        <x:v>0.6</x:v>
      </x:c>
      <x:c r="J195" s="83" t="str">
        <x:v>GW</x:v>
      </x:c>
      <x:c r="K195" s="83" t="str">
        <x:v>Assunzione di scenario</x:v>
      </x:c>
      <x:c r="L195" s="83" t="str">
        <x:v>S09</x:v>
      </x:c>
      <x:c r="M195" s="83" t="str">
        <x:v>Documento_Descrizione_Scenari_2024_8dce2430d44d101.pdf</x:v>
      </x:c>
      <x:c r="N195" s="83" t="n">
        <x:v>61</x:v>
      </x:c>
      <x:c r="O195" s="83" t="n">
        <x:v>59</x:v>
      </x:c>
      <x:c r="P195" s="83" t="str">
        <x:v>Tabella 15</x:v>
      </x:c>
      <x:c r="Q195" s="83" t="str">
        <x:v>Direct table extraction; visual/text verification</x:v>
      </x:c>
      <x:c r="R195" s="83" t="str">
        <x:v>A - Direct</x:v>
      </x:c>
      <x:c r="S195" s="83" t="str">
        <x:v>Zonal p_nom input after mapping to PyPSA carrier.</x:v>
      </x:c>
      <x:c r="T195" s="83" t="str">
        <x:v>Table source labels rows as Distribuito/Utility; standardized as onshore/offshore.</x:v>
      </x:c>
    </x:row>
    <x:row r="196">
      <x:c r="A196" s="83" t="str">
        <x:v>ZCAP-0192</x:v>
      </x:c>
      <x:c r="B196" s="83" t="str">
        <x:v>PNIEC_SLOW_2030</x:v>
      </x:c>
      <x:c r="C196" s="83" t="n">
        <x:v>2030</x:v>
      </x:c>
      <x:c r="D196" s="83" t="str">
        <x:v>PNIEC Slow 2030</x:v>
      </x:c>
      <x:c r="E196" s="83" t="str">
        <x:v>Sud</x:v>
      </x:c>
      <x:c r="F196" s="83" t="str">
        <x:v>Wind</x:v>
      </x:c>
      <x:c r="G196" s="83" t="str">
        <x:v>Eolico offshore</x:v>
      </x:c>
      <x:c r="H196" s="83" t="str">
        <x:v>Utility</x:v>
      </x:c>
      <x:c r="I196" s="143" t="n">
        <x:v>0.4</x:v>
      </x:c>
      <x:c r="J196" s="83" t="str">
        <x:v>GW</x:v>
      </x:c>
      <x:c r="K196" s="83" t="str">
        <x:v>Assunzione di scenario</x:v>
      </x:c>
      <x:c r="L196" s="83" t="str">
        <x:v>S09</x:v>
      </x:c>
      <x:c r="M196" s="83" t="str">
        <x:v>Documento_Descrizione_Scenari_2024_8dce2430d44d101.pdf</x:v>
      </x:c>
      <x:c r="N196" s="83" t="n">
        <x:v>61</x:v>
      </x:c>
      <x:c r="O196" s="83" t="n">
        <x:v>59</x:v>
      </x:c>
      <x:c r="P196" s="83" t="str">
        <x:v>Tabella 15</x:v>
      </x:c>
      <x:c r="Q196" s="83" t="str">
        <x:v>Direct table extraction; visual/text verification</x:v>
      </x:c>
      <x:c r="R196" s="83" t="str">
        <x:v>A - Direct</x:v>
      </x:c>
      <x:c r="S196" s="83" t="str">
        <x:v>Zonal p_nom input after mapping to PyPSA carrier.</x:v>
      </x:c>
      <x:c r="T196" s="83" t="str">
        <x:v>Table source labels rows as Distribuito/Utility; standardized as onshore/offshore.</x:v>
      </x:c>
    </x:row>
    <x:row r="197">
      <x:c r="A197" s="83" t="str">
        <x:v>ZCAP-0193</x:v>
      </x:c>
      <x:c r="B197" s="83" t="str">
        <x:v>DE_IT_2035</x:v>
      </x:c>
      <x:c r="C197" s="83" t="n">
        <x:v>2035</x:v>
      </x:c>
      <x:c r="D197" s="83" t="str">
        <x:v>DE-IT 2035</x:v>
      </x:c>
      <x:c r="E197" s="83" t="str">
        <x:v>Sud</x:v>
      </x:c>
      <x:c r="F197" s="83" t="str">
        <x:v>Wind</x:v>
      </x:c>
      <x:c r="G197" s="83" t="str">
        <x:v>Eolico offshore</x:v>
      </x:c>
      <x:c r="H197" s="83" t="str">
        <x:v>Utility</x:v>
      </x:c>
      <x:c r="I197" s="143" t="n">
        <x:v>2.2</x:v>
      </x:c>
      <x:c r="J197" s="83" t="str">
        <x:v>GW</x:v>
      </x:c>
      <x:c r="K197" s="83" t="str">
        <x:v>Assunzione di scenario</x:v>
      </x:c>
      <x:c r="L197" s="83" t="str">
        <x:v>S09</x:v>
      </x:c>
      <x:c r="M197" s="83" t="str">
        <x:v>Documento_Descrizione_Scenari_2024_8dce2430d44d101.pdf</x:v>
      </x:c>
      <x:c r="N197" s="83" t="n">
        <x:v>61</x:v>
      </x:c>
      <x:c r="O197" s="83" t="n">
        <x:v>59</x:v>
      </x:c>
      <x:c r="P197" s="83" t="str">
        <x:v>Tabella 15</x:v>
      </x:c>
      <x:c r="Q197" s="83" t="str">
        <x:v>Direct table extraction; visual/text verification</x:v>
      </x:c>
      <x:c r="R197" s="83" t="str">
        <x:v>A - Direct</x:v>
      </x:c>
      <x:c r="S197" s="83" t="str">
        <x:v>Zonal p_nom input after mapping to PyPSA carrier.</x:v>
      </x:c>
      <x:c r="T197" s="83" t="str">
        <x:v>Table source labels rows as Distribuito/Utility; standardized as onshore/offshore.</x:v>
      </x:c>
    </x:row>
    <x:row r="198">
      <x:c r="A198" s="83" t="str">
        <x:v>ZCAP-0194</x:v>
      </x:c>
      <x:c r="B198" s="83" t="str">
        <x:v>GA_IT_2035</x:v>
      </x:c>
      <x:c r="C198" s="83" t="n">
        <x:v>2035</x:v>
      </x:c>
      <x:c r="D198" s="83" t="str">
        <x:v>GA-IT 2035</x:v>
      </x:c>
      <x:c r="E198" s="83" t="str">
        <x:v>Sud</x:v>
      </x:c>
      <x:c r="F198" s="83" t="str">
        <x:v>Wind</x:v>
      </x:c>
      <x:c r="G198" s="83" t="str">
        <x:v>Eolico offshore</x:v>
      </x:c>
      <x:c r="H198" s="83" t="str">
        <x:v>Utility</x:v>
      </x:c>
      <x:c r="I198" s="143" t="n">
        <x:v>1.8</x:v>
      </x:c>
      <x:c r="J198" s="83" t="str">
        <x:v>GW</x:v>
      </x:c>
      <x:c r="K198" s="83" t="str">
        <x:v>Assunzione di scenario</x:v>
      </x:c>
      <x:c r="L198" s="83" t="str">
        <x:v>S09</x:v>
      </x:c>
      <x:c r="M198" s="83" t="str">
        <x:v>Documento_Descrizione_Scenari_2024_8dce2430d44d101.pdf</x:v>
      </x:c>
      <x:c r="N198" s="83" t="n">
        <x:v>61</x:v>
      </x:c>
      <x:c r="O198" s="83" t="n">
        <x:v>59</x:v>
      </x:c>
      <x:c r="P198" s="83" t="str">
        <x:v>Tabella 15</x:v>
      </x:c>
      <x:c r="Q198" s="83" t="str">
        <x:v>Direct table extraction; visual/text verification</x:v>
      </x:c>
      <x:c r="R198" s="83" t="str">
        <x:v>A - Direct</x:v>
      </x:c>
      <x:c r="S198" s="83" t="str">
        <x:v>Zonal p_nom input after mapping to PyPSA carrier.</x:v>
      </x:c>
      <x:c r="T198" s="83" t="str">
        <x:v>Table source labels rows as Distribuito/Utility; standardized as onshore/offshore.</x:v>
      </x:c>
    </x:row>
    <x:row r="199">
      <x:c r="A199" s="83" t="str">
        <x:v>ZCAP-0195</x:v>
      </x:c>
      <x:c r="B199" s="83" t="str">
        <x:v>PNIEC_SLOW_2035</x:v>
      </x:c>
      <x:c r="C199" s="83" t="n">
        <x:v>2035</x:v>
      </x:c>
      <x:c r="D199" s="83" t="str">
        <x:v>PNIEC Slow 2035</x:v>
      </x:c>
      <x:c r="E199" s="83" t="str">
        <x:v>Sud</x:v>
      </x:c>
      <x:c r="F199" s="83" t="str">
        <x:v>Wind</x:v>
      </x:c>
      <x:c r="G199" s="83" t="str">
        <x:v>Eolico offshore</x:v>
      </x:c>
      <x:c r="H199" s="83" t="str">
        <x:v>Utility</x:v>
      </x:c>
      <x:c r="I199" s="143" t="n">
        <x:v>1.2</x:v>
      </x:c>
      <x:c r="J199" s="83" t="str">
        <x:v>GW</x:v>
      </x:c>
      <x:c r="K199" s="83" t="str">
        <x:v>Assunzione di scenario</x:v>
      </x:c>
      <x:c r="L199" s="83" t="str">
        <x:v>S09</x:v>
      </x:c>
      <x:c r="M199" s="83" t="str">
        <x:v>Documento_Descrizione_Scenari_2024_8dce2430d44d101.pdf</x:v>
      </x:c>
      <x:c r="N199" s="83" t="n">
        <x:v>61</x:v>
      </x:c>
      <x:c r="O199" s="83" t="n">
        <x:v>59</x:v>
      </x:c>
      <x:c r="P199" s="83" t="str">
        <x:v>Tabella 15</x:v>
      </x:c>
      <x:c r="Q199" s="83" t="str">
        <x:v>Direct table extraction; visual/text verification</x:v>
      </x:c>
      <x:c r="R199" s="83" t="str">
        <x:v>A - Direct</x:v>
      </x:c>
      <x:c r="S199" s="83" t="str">
        <x:v>Zonal p_nom input after mapping to PyPSA carrier.</x:v>
      </x:c>
      <x:c r="T199" s="83" t="str">
        <x:v>Table source labels rows as Distribuito/Utility; standardized as onshore/offshore.</x:v>
      </x:c>
    </x:row>
    <x:row r="200">
      <x:c r="A200" s="83" t="str">
        <x:v>ZCAP-0196</x:v>
      </x:c>
      <x:c r="B200" s="83" t="str">
        <x:v>DE_IT_2040</x:v>
      </x:c>
      <x:c r="C200" s="83" t="n">
        <x:v>2040</x:v>
      </x:c>
      <x:c r="D200" s="83" t="str">
        <x:v>DE-IT 2040</x:v>
      </x:c>
      <x:c r="E200" s="83" t="str">
        <x:v>Sud</x:v>
      </x:c>
      <x:c r="F200" s="83" t="str">
        <x:v>Wind</x:v>
      </x:c>
      <x:c r="G200" s="83" t="str">
        <x:v>Eolico offshore</x:v>
      </x:c>
      <x:c r="H200" s="83" t="str">
        <x:v>Utility</x:v>
      </x:c>
      <x:c r="I200" s="143" t="n">
        <x:v>4.7</x:v>
      </x:c>
      <x:c r="J200" s="83" t="str">
        <x:v>GW</x:v>
      </x:c>
      <x:c r="K200" s="83" t="str">
        <x:v>Assunzione di scenario</x:v>
      </x:c>
      <x:c r="L200" s="83" t="str">
        <x:v>S09</x:v>
      </x:c>
      <x:c r="M200" s="83" t="str">
        <x:v>Documento_Descrizione_Scenari_2024_8dce2430d44d101.pdf</x:v>
      </x:c>
      <x:c r="N200" s="83" t="n">
        <x:v>61</x:v>
      </x:c>
      <x:c r="O200" s="83" t="n">
        <x:v>59</x:v>
      </x:c>
      <x:c r="P200" s="83" t="str">
        <x:v>Tabella 15</x:v>
      </x:c>
      <x:c r="Q200" s="83" t="str">
        <x:v>Direct table extraction; visual/text verification</x:v>
      </x:c>
      <x:c r="R200" s="83" t="str">
        <x:v>A - Direct</x:v>
      </x:c>
      <x:c r="S200" s="83" t="str">
        <x:v>Zonal p_nom input after mapping to PyPSA carrier.</x:v>
      </x:c>
      <x:c r="T200" s="83" t="str">
        <x:v>Table source labels rows as Distribuito/Utility; standardized as onshore/offshore.</x:v>
      </x:c>
    </x:row>
    <x:row r="201">
      <x:c r="A201" s="83" t="str">
        <x:v>ZCAP-0197</x:v>
      </x:c>
      <x:c r="B201" s="83" t="str">
        <x:v>GA_IT_2040</x:v>
      </x:c>
      <x:c r="C201" s="83" t="n">
        <x:v>2040</x:v>
      </x:c>
      <x:c r="D201" s="83" t="str">
        <x:v>GA-IT 2040</x:v>
      </x:c>
      <x:c r="E201" s="83" t="str">
        <x:v>Sud</x:v>
      </x:c>
      <x:c r="F201" s="83" t="str">
        <x:v>Wind</x:v>
      </x:c>
      <x:c r="G201" s="83" t="str">
        <x:v>Eolico offshore</x:v>
      </x:c>
      <x:c r="H201" s="83" t="str">
        <x:v>Utility</x:v>
      </x:c>
      <x:c r="I201" s="143" t="n">
        <x:v>3.7</x:v>
      </x:c>
      <x:c r="J201" s="83" t="str">
        <x:v>GW</x:v>
      </x:c>
      <x:c r="K201" s="83" t="str">
        <x:v>Assunzione di scenario</x:v>
      </x:c>
      <x:c r="L201" s="83" t="str">
        <x:v>S09</x:v>
      </x:c>
      <x:c r="M201" s="83" t="str">
        <x:v>Documento_Descrizione_Scenari_2024_8dce2430d44d101.pdf</x:v>
      </x:c>
      <x:c r="N201" s="83" t="n">
        <x:v>61</x:v>
      </x:c>
      <x:c r="O201" s="83" t="n">
        <x:v>59</x:v>
      </x:c>
      <x:c r="P201" s="83" t="str">
        <x:v>Tabella 15</x:v>
      </x:c>
      <x:c r="Q201" s="83" t="str">
        <x:v>Direct table extraction; visual/text verification</x:v>
      </x:c>
      <x:c r="R201" s="83" t="str">
        <x:v>A - Direct</x:v>
      </x:c>
      <x:c r="S201" s="83" t="str">
        <x:v>Zonal p_nom input after mapping to PyPSA carrier.</x:v>
      </x:c>
      <x:c r="T201" s="83" t="str">
        <x:v>Table source labels rows as Distribuito/Utility; standardized as onshore/offshore.</x:v>
      </x:c>
    </x:row>
    <x:row r="202">
      <x:c r="A202" s="83" t="str">
        <x:v>ZCAP-0198</x:v>
      </x:c>
      <x:c r="B202" s="83" t="str">
        <x:v>PNIEC_SLOW_2040</x:v>
      </x:c>
      <x:c r="C202" s="83" t="n">
        <x:v>2040</x:v>
      </x:c>
      <x:c r="D202" s="83" t="str">
        <x:v>PNIEC Slow 2040</x:v>
      </x:c>
      <x:c r="E202" s="83" t="str">
        <x:v>Sud</x:v>
      </x:c>
      <x:c r="F202" s="83" t="str">
        <x:v>Wind</x:v>
      </x:c>
      <x:c r="G202" s="83" t="str">
        <x:v>Eolico offshore</x:v>
      </x:c>
      <x:c r="H202" s="83" t="str">
        <x:v>Utility</x:v>
      </x:c>
      <x:c r="I202" s="143" t="n">
        <x:v>2.8</x:v>
      </x:c>
      <x:c r="J202" s="83" t="str">
        <x:v>GW</x:v>
      </x:c>
      <x:c r="K202" s="83" t="str">
        <x:v>Assunzione di scenario</x:v>
      </x:c>
      <x:c r="L202" s="83" t="str">
        <x:v>S09</x:v>
      </x:c>
      <x:c r="M202" s="83" t="str">
        <x:v>Documento_Descrizione_Scenari_2024_8dce2430d44d101.pdf</x:v>
      </x:c>
      <x:c r="N202" s="83" t="n">
        <x:v>61</x:v>
      </x:c>
      <x:c r="O202" s="83" t="n">
        <x:v>59</x:v>
      </x:c>
      <x:c r="P202" s="83" t="str">
        <x:v>Tabella 15</x:v>
      </x:c>
      <x:c r="Q202" s="83" t="str">
        <x:v>Direct table extraction; visual/text verification</x:v>
      </x:c>
      <x:c r="R202" s="83" t="str">
        <x:v>A - Direct</x:v>
      </x:c>
      <x:c r="S202" s="83" t="str">
        <x:v>Zonal p_nom input after mapping to PyPSA carrier.</x:v>
      </x:c>
      <x:c r="T202" s="83" t="str">
        <x:v>Table source labels rows as Distribuito/Utility; standardized as onshore/offshore.</x:v>
      </x:c>
    </x:row>
    <x:row r="203">
      <x:c r="A203" s="83" t="str">
        <x:v>ZCAP-0199</x:v>
      </x:c>
      <x:c r="B203" s="83" t="str">
        <x:v>HIST_2023</x:v>
      </x:c>
      <x:c r="C203" s="83" t="n">
        <x:v>2023</x:v>
      </x:c>
      <x:c r="D203" s="83" t="str">
        <x:v>Storico 2023</x:v>
      </x:c>
      <x:c r="E203" s="83" t="str">
        <x:v>Calabria</x:v>
      </x:c>
      <x:c r="F203" s="83" t="str">
        <x:v>Wind</x:v>
      </x:c>
      <x:c r="G203" s="83" t="str">
        <x:v>Eolico onshore</x:v>
      </x:c>
      <x:c r="H203" s="83" t="str">
        <x:v>Distribuito</x:v>
      </x:c>
      <x:c r="I203" s="143" t="n">
        <x:v>1.2</x:v>
      </x:c>
      <x:c r="J203" s="83" t="str">
        <x:v>GW</x:v>
      </x:c>
      <x:c r="K203" s="83" t="str">
        <x:v>Dato osservato storico</x:v>
      </x:c>
      <x:c r="L203" s="83" t="str">
        <x:v>S09</x:v>
      </x:c>
      <x:c r="M203" s="83" t="str">
        <x:v>Documento_Descrizione_Scenari_2024_8dce2430d44d101.pdf</x:v>
      </x:c>
      <x:c r="N203" s="83" t="n">
        <x:v>61</x:v>
      </x:c>
      <x:c r="O203" s="83" t="n">
        <x:v>59</x:v>
      </x:c>
      <x:c r="P203" s="83" t="str">
        <x:v>Tabella 15</x:v>
      </x:c>
      <x:c r="Q203" s="83" t="str">
        <x:v>Direct table extraction; visual/text verification</x:v>
      </x:c>
      <x:c r="R203" s="83" t="str">
        <x:v>A - Direct</x:v>
      </x:c>
      <x:c r="S203" s="83" t="str">
        <x:v>Zonal p_nom input after mapping to PyPSA carrier.</x:v>
      </x:c>
      <x:c r="T203" s="83" t="str">
        <x:v>Table source labels rows as Distribuito/Utility; standardized as onshore/offshore.</x:v>
      </x:c>
    </x:row>
    <x:row r="204">
      <x:c r="A204" s="83" t="str">
        <x:v>ZCAP-0200</x:v>
      </x:c>
      <x:c r="B204" s="83" t="str">
        <x:v>PNIEC_POLICY_2030</x:v>
      </x:c>
      <x:c r="C204" s="83" t="n">
        <x:v>2030</x:v>
      </x:c>
      <x:c r="D204" s="83" t="str">
        <x:v>PNIEC Policy 2030</x:v>
      </x:c>
      <x:c r="E204" s="83" t="str">
        <x:v>Calabria</x:v>
      </x:c>
      <x:c r="F204" s="83" t="str">
        <x:v>Wind</x:v>
      </x:c>
      <x:c r="G204" s="83" t="str">
        <x:v>Eolico onshore</x:v>
      </x:c>
      <x:c r="H204" s="83" t="str">
        <x:v>Distribuito</x:v>
      </x:c>
      <x:c r="I204" s="143" t="n">
        <x:v>2.5</x:v>
      </x:c>
      <x:c r="J204" s="83" t="str">
        <x:v>GW</x:v>
      </x:c>
      <x:c r="K204" s="83" t="str">
        <x:v>Assunzione di scenario</x:v>
      </x:c>
      <x:c r="L204" s="83" t="str">
        <x:v>S09</x:v>
      </x:c>
      <x:c r="M204" s="83" t="str">
        <x:v>Documento_Descrizione_Scenari_2024_8dce2430d44d101.pdf</x:v>
      </x:c>
      <x:c r="N204" s="83" t="n">
        <x:v>61</x:v>
      </x:c>
      <x:c r="O204" s="83" t="n">
        <x:v>59</x:v>
      </x:c>
      <x:c r="P204" s="83" t="str">
        <x:v>Tabella 15</x:v>
      </x:c>
      <x:c r="Q204" s="83" t="str">
        <x:v>Direct table extraction; visual/text verification</x:v>
      </x:c>
      <x:c r="R204" s="83" t="str">
        <x:v>A - Direct</x:v>
      </x:c>
      <x:c r="S204" s="83" t="str">
        <x:v>Zonal p_nom input after mapping to PyPSA carrier.</x:v>
      </x:c>
      <x:c r="T204" s="83" t="str">
        <x:v>Table source labels rows as Distribuito/Utility; standardized as onshore/offshore.</x:v>
      </x:c>
    </x:row>
    <x:row r="205">
      <x:c r="A205" s="83" t="str">
        <x:v>ZCAP-0201</x:v>
      </x:c>
      <x:c r="B205" s="83" t="str">
        <x:v>PNIEC_SLOW_2030</x:v>
      </x:c>
      <x:c r="C205" s="83" t="n">
        <x:v>2030</x:v>
      </x:c>
      <x:c r="D205" s="83" t="str">
        <x:v>PNIEC Slow 2030</x:v>
      </x:c>
      <x:c r="E205" s="83" t="str">
        <x:v>Calabria</x:v>
      </x:c>
      <x:c r="F205" s="83" t="str">
        <x:v>Wind</x:v>
      </x:c>
      <x:c r="G205" s="83" t="str">
        <x:v>Eolico onshore</x:v>
      </x:c>
      <x:c r="H205" s="83" t="str">
        <x:v>Distribuito</x:v>
      </x:c>
      <x:c r="I205" s="143" t="n">
        <x:v>1.9</x:v>
      </x:c>
      <x:c r="J205" s="83" t="str">
        <x:v>GW</x:v>
      </x:c>
      <x:c r="K205" s="83" t="str">
        <x:v>Assunzione di scenario</x:v>
      </x:c>
      <x:c r="L205" s="83" t="str">
        <x:v>S09</x:v>
      </x:c>
      <x:c r="M205" s="83" t="str">
        <x:v>Documento_Descrizione_Scenari_2024_8dce2430d44d101.pdf</x:v>
      </x:c>
      <x:c r="N205" s="83" t="n">
        <x:v>61</x:v>
      </x:c>
      <x:c r="O205" s="83" t="n">
        <x:v>59</x:v>
      </x:c>
      <x:c r="P205" s="83" t="str">
        <x:v>Tabella 15</x:v>
      </x:c>
      <x:c r="Q205" s="83" t="str">
        <x:v>Direct table extraction; visual/text verification</x:v>
      </x:c>
      <x:c r="R205" s="83" t="str">
        <x:v>A - Direct</x:v>
      </x:c>
      <x:c r="S205" s="83" t="str">
        <x:v>Zonal p_nom input after mapping to PyPSA carrier.</x:v>
      </x:c>
      <x:c r="T205" s="83" t="str">
        <x:v>Table source labels rows as Distribuito/Utility; standardized as onshore/offshore.</x:v>
      </x:c>
    </x:row>
    <x:row r="206">
      <x:c r="A206" s="83" t="str">
        <x:v>ZCAP-0202</x:v>
      </x:c>
      <x:c r="B206" s="83" t="str">
        <x:v>DE_IT_2035</x:v>
      </x:c>
      <x:c r="C206" s="83" t="n">
        <x:v>2035</x:v>
      </x:c>
      <x:c r="D206" s="83" t="str">
        <x:v>DE-IT 2035</x:v>
      </x:c>
      <x:c r="E206" s="83" t="str">
        <x:v>Calabria</x:v>
      </x:c>
      <x:c r="F206" s="83" t="str">
        <x:v>Wind</x:v>
      </x:c>
      <x:c r="G206" s="83" t="str">
        <x:v>Eolico onshore</x:v>
      </x:c>
      <x:c r="H206" s="83" t="str">
        <x:v>Distribuito</x:v>
      </x:c>
      <x:c r="I206" s="143" t="n">
        <x:v>2.9</x:v>
      </x:c>
      <x:c r="J206" s="83" t="str">
        <x:v>GW</x:v>
      </x:c>
      <x:c r="K206" s="83" t="str">
        <x:v>Assunzione di scenario</x:v>
      </x:c>
      <x:c r="L206" s="83" t="str">
        <x:v>S09</x:v>
      </x:c>
      <x:c r="M206" s="83" t="str">
        <x:v>Documento_Descrizione_Scenari_2024_8dce2430d44d101.pdf</x:v>
      </x:c>
      <x:c r="N206" s="83" t="n">
        <x:v>61</x:v>
      </x:c>
      <x:c r="O206" s="83" t="n">
        <x:v>59</x:v>
      </x:c>
      <x:c r="P206" s="83" t="str">
        <x:v>Tabella 15</x:v>
      </x:c>
      <x:c r="Q206" s="83" t="str">
        <x:v>Direct table extraction; visual/text verification</x:v>
      </x:c>
      <x:c r="R206" s="83" t="str">
        <x:v>A - Direct</x:v>
      </x:c>
      <x:c r="S206" s="83" t="str">
        <x:v>Zonal p_nom input after mapping to PyPSA carrier.</x:v>
      </x:c>
      <x:c r="T206" s="83" t="str">
        <x:v>Table source labels rows as Distribuito/Utility; standardized as onshore/offshore.</x:v>
      </x:c>
    </x:row>
    <x:row r="207">
      <x:c r="A207" s="83" t="str">
        <x:v>ZCAP-0203</x:v>
      </x:c>
      <x:c r="B207" s="83" t="str">
        <x:v>GA_IT_2035</x:v>
      </x:c>
      <x:c r="C207" s="83" t="n">
        <x:v>2035</x:v>
      </x:c>
      <x:c r="D207" s="83" t="str">
        <x:v>GA-IT 2035</x:v>
      </x:c>
      <x:c r="E207" s="83" t="str">
        <x:v>Calabria</x:v>
      </x:c>
      <x:c r="F207" s="83" t="str">
        <x:v>Wind</x:v>
      </x:c>
      <x:c r="G207" s="83" t="str">
        <x:v>Eolico onshore</x:v>
      </x:c>
      <x:c r="H207" s="83" t="str">
        <x:v>Distribuito</x:v>
      </x:c>
      <x:c r="I207" s="143" t="n">
        <x:v>2.7</x:v>
      </x:c>
      <x:c r="J207" s="83" t="str">
        <x:v>GW</x:v>
      </x:c>
      <x:c r="K207" s="83" t="str">
        <x:v>Assunzione di scenario</x:v>
      </x:c>
      <x:c r="L207" s="83" t="str">
        <x:v>S09</x:v>
      </x:c>
      <x:c r="M207" s="83" t="str">
        <x:v>Documento_Descrizione_Scenari_2024_8dce2430d44d101.pdf</x:v>
      </x:c>
      <x:c r="N207" s="83" t="n">
        <x:v>61</x:v>
      </x:c>
      <x:c r="O207" s="83" t="n">
        <x:v>59</x:v>
      </x:c>
      <x:c r="P207" s="83" t="str">
        <x:v>Tabella 15</x:v>
      </x:c>
      <x:c r="Q207" s="83" t="str">
        <x:v>Direct table extraction; visual/text verification</x:v>
      </x:c>
      <x:c r="R207" s="83" t="str">
        <x:v>A - Direct</x:v>
      </x:c>
      <x:c r="S207" s="83" t="str">
        <x:v>Zonal p_nom input after mapping to PyPSA carrier.</x:v>
      </x:c>
      <x:c r="T207" s="83" t="str">
        <x:v>Table source labels rows as Distribuito/Utility; standardized as onshore/offshore.</x:v>
      </x:c>
    </x:row>
    <x:row r="208">
      <x:c r="A208" s="83" t="str">
        <x:v>ZCAP-0204</x:v>
      </x:c>
      <x:c r="B208" s="83" t="str">
        <x:v>PNIEC_SLOW_2035</x:v>
      </x:c>
      <x:c r="C208" s="83" t="n">
        <x:v>2035</x:v>
      </x:c>
      <x:c r="D208" s="83" t="str">
        <x:v>PNIEC Slow 2035</x:v>
      </x:c>
      <x:c r="E208" s="83" t="str">
        <x:v>Calabria</x:v>
      </x:c>
      <x:c r="F208" s="83" t="str">
        <x:v>Wind</x:v>
      </x:c>
      <x:c r="G208" s="83" t="str">
        <x:v>Eolico onshore</x:v>
      </x:c>
      <x:c r="H208" s="83" t="str">
        <x:v>Distribuito</x:v>
      </x:c>
      <x:c r="I208" s="143" t="n">
        <x:v>2.5</x:v>
      </x:c>
      <x:c r="J208" s="83" t="str">
        <x:v>GW</x:v>
      </x:c>
      <x:c r="K208" s="83" t="str">
        <x:v>Assunzione di scenario</x:v>
      </x:c>
      <x:c r="L208" s="83" t="str">
        <x:v>S09</x:v>
      </x:c>
      <x:c r="M208" s="83" t="str">
        <x:v>Documento_Descrizione_Scenari_2024_8dce2430d44d101.pdf</x:v>
      </x:c>
      <x:c r="N208" s="83" t="n">
        <x:v>61</x:v>
      </x:c>
      <x:c r="O208" s="83" t="n">
        <x:v>59</x:v>
      </x:c>
      <x:c r="P208" s="83" t="str">
        <x:v>Tabella 15</x:v>
      </x:c>
      <x:c r="Q208" s="83" t="str">
        <x:v>Direct table extraction; visual/text verification</x:v>
      </x:c>
      <x:c r="R208" s="83" t="str">
        <x:v>A - Direct</x:v>
      </x:c>
      <x:c r="S208" s="83" t="str">
        <x:v>Zonal p_nom input after mapping to PyPSA carrier.</x:v>
      </x:c>
      <x:c r="T208" s="83" t="str">
        <x:v>Table source labels rows as Distribuito/Utility; standardized as onshore/offshore.</x:v>
      </x:c>
    </x:row>
    <x:row r="209">
      <x:c r="A209" s="83" t="str">
        <x:v>ZCAP-0205</x:v>
      </x:c>
      <x:c r="B209" s="83" t="str">
        <x:v>DE_IT_2040</x:v>
      </x:c>
      <x:c r="C209" s="83" t="n">
        <x:v>2040</x:v>
      </x:c>
      <x:c r="D209" s="83" t="str">
        <x:v>DE-IT 2040</x:v>
      </x:c>
      <x:c r="E209" s="83" t="str">
        <x:v>Calabria</x:v>
      </x:c>
      <x:c r="F209" s="83" t="str">
        <x:v>Wind</x:v>
      </x:c>
      <x:c r="G209" s="83" t="str">
        <x:v>Eolico onshore</x:v>
      </x:c>
      <x:c r="H209" s="83" t="str">
        <x:v>Distribuito</x:v>
      </x:c>
      <x:c r="I209" s="143" t="n">
        <x:v>3.3</x:v>
      </x:c>
      <x:c r="J209" s="83" t="str">
        <x:v>GW</x:v>
      </x:c>
      <x:c r="K209" s="83" t="str">
        <x:v>Assunzione di scenario</x:v>
      </x:c>
      <x:c r="L209" s="83" t="str">
        <x:v>S09</x:v>
      </x:c>
      <x:c r="M209" s="83" t="str">
        <x:v>Documento_Descrizione_Scenari_2024_8dce2430d44d101.pdf</x:v>
      </x:c>
      <x:c r="N209" s="83" t="n">
        <x:v>61</x:v>
      </x:c>
      <x:c r="O209" s="83" t="n">
        <x:v>59</x:v>
      </x:c>
      <x:c r="P209" s="83" t="str">
        <x:v>Tabella 15</x:v>
      </x:c>
      <x:c r="Q209" s="83" t="str">
        <x:v>Direct table extraction; visual/text verification</x:v>
      </x:c>
      <x:c r="R209" s="83" t="str">
        <x:v>A - Direct</x:v>
      </x:c>
      <x:c r="S209" s="83" t="str">
        <x:v>Zonal p_nom input after mapping to PyPSA carrier.</x:v>
      </x:c>
      <x:c r="T209" s="83" t="str">
        <x:v>Table source labels rows as Distribuito/Utility; standardized as onshore/offshore.</x:v>
      </x:c>
    </x:row>
    <x:row r="210">
      <x:c r="A210" s="83" t="str">
        <x:v>ZCAP-0206</x:v>
      </x:c>
      <x:c r="B210" s="83" t="str">
        <x:v>GA_IT_2040</x:v>
      </x:c>
      <x:c r="C210" s="83" t="n">
        <x:v>2040</x:v>
      </x:c>
      <x:c r="D210" s="83" t="str">
        <x:v>GA-IT 2040</x:v>
      </x:c>
      <x:c r="E210" s="83" t="str">
        <x:v>Calabria</x:v>
      </x:c>
      <x:c r="F210" s="83" t="str">
        <x:v>Wind</x:v>
      </x:c>
      <x:c r="G210" s="83" t="str">
        <x:v>Eolico onshore</x:v>
      </x:c>
      <x:c r="H210" s="83" t="str">
        <x:v>Distribuito</x:v>
      </x:c>
      <x:c r="I210" s="143" t="n">
        <x:v>3</x:v>
      </x:c>
      <x:c r="J210" s="83" t="str">
        <x:v>GW</x:v>
      </x:c>
      <x:c r="K210" s="83" t="str">
        <x:v>Assunzione di scenario</x:v>
      </x:c>
      <x:c r="L210" s="83" t="str">
        <x:v>S09</x:v>
      </x:c>
      <x:c r="M210" s="83" t="str">
        <x:v>Documento_Descrizione_Scenari_2024_8dce2430d44d101.pdf</x:v>
      </x:c>
      <x:c r="N210" s="83" t="n">
        <x:v>61</x:v>
      </x:c>
      <x:c r="O210" s="83" t="n">
        <x:v>59</x:v>
      </x:c>
      <x:c r="P210" s="83" t="str">
        <x:v>Tabella 15</x:v>
      </x:c>
      <x:c r="Q210" s="83" t="str">
        <x:v>Direct table extraction; visual/text verification</x:v>
      </x:c>
      <x:c r="R210" s="83" t="str">
        <x:v>A - Direct</x:v>
      </x:c>
      <x:c r="S210" s="83" t="str">
        <x:v>Zonal p_nom input after mapping to PyPSA carrier.</x:v>
      </x:c>
      <x:c r="T210" s="83" t="str">
        <x:v>Table source labels rows as Distribuito/Utility; standardized as onshore/offshore.</x:v>
      </x:c>
    </x:row>
    <x:row r="211">
      <x:c r="A211" s="83" t="str">
        <x:v>ZCAP-0207</x:v>
      </x:c>
      <x:c r="B211" s="83" t="str">
        <x:v>PNIEC_SLOW_2040</x:v>
      </x:c>
      <x:c r="C211" s="83" t="n">
        <x:v>2040</x:v>
      </x:c>
      <x:c r="D211" s="83" t="str">
        <x:v>PNIEC Slow 2040</x:v>
      </x:c>
      <x:c r="E211" s="83" t="str">
        <x:v>Calabria</x:v>
      </x:c>
      <x:c r="F211" s="83" t="str">
        <x:v>Wind</x:v>
      </x:c>
      <x:c r="G211" s="83" t="str">
        <x:v>Eolico onshore</x:v>
      </x:c>
      <x:c r="H211" s="83" t="str">
        <x:v>Distribuito</x:v>
      </x:c>
      <x:c r="I211" s="143" t="n">
        <x:v>3</x:v>
      </x:c>
      <x:c r="J211" s="83" t="str">
        <x:v>GW</x:v>
      </x:c>
      <x:c r="K211" s="83" t="str">
        <x:v>Assunzione di scenario</x:v>
      </x:c>
      <x:c r="L211" s="83" t="str">
        <x:v>S09</x:v>
      </x:c>
      <x:c r="M211" s="83" t="str">
        <x:v>Documento_Descrizione_Scenari_2024_8dce2430d44d101.pdf</x:v>
      </x:c>
      <x:c r="N211" s="83" t="n">
        <x:v>61</x:v>
      </x:c>
      <x:c r="O211" s="83" t="n">
        <x:v>59</x:v>
      </x:c>
      <x:c r="P211" s="83" t="str">
        <x:v>Tabella 15</x:v>
      </x:c>
      <x:c r="Q211" s="83" t="str">
        <x:v>Direct table extraction; visual/text verification</x:v>
      </x:c>
      <x:c r="R211" s="83" t="str">
        <x:v>A - Direct</x:v>
      </x:c>
      <x:c r="S211" s="83" t="str">
        <x:v>Zonal p_nom input after mapping to PyPSA carrier.</x:v>
      </x:c>
      <x:c r="T211" s="83" t="str">
        <x:v>Table source labels rows as Distribuito/Utility; standardized as onshore/offshore.</x:v>
      </x:c>
    </x:row>
    <x:row r="212">
      <x:c r="A212" s="83" t="str">
        <x:v>ZCAP-0208</x:v>
      </x:c>
      <x:c r="B212" s="83" t="str">
        <x:v>HIST_2023</x:v>
      </x:c>
      <x:c r="C212" s="83" t="n">
        <x:v>2023</x:v>
      </x:c>
      <x:c r="D212" s="83" t="str">
        <x:v>Storico 2023</x:v>
      </x:c>
      <x:c r="E212" s="83" t="str">
        <x:v>Calabria</x:v>
      </x:c>
      <x:c r="F212" s="83" t="str">
        <x:v>Wind</x:v>
      </x:c>
      <x:c r="G212" s="83" t="str">
        <x:v>Eolico offshore</x:v>
      </x:c>
      <x:c r="H212" s="83" t="str">
        <x:v>Utility</x:v>
      </x:c>
      <x:c r="I212" s="143" t="n">
        <x:v>0</x:v>
      </x:c>
      <x:c r="J212" s="83" t="str">
        <x:v>GW</x:v>
      </x:c>
      <x:c r="K212" s="83" t="str">
        <x:v>Dato osservato storico</x:v>
      </x:c>
      <x:c r="L212" s="83" t="str">
        <x:v>S09</x:v>
      </x:c>
      <x:c r="M212" s="83" t="str">
        <x:v>Documento_Descrizione_Scenari_2024_8dce2430d44d101.pdf</x:v>
      </x:c>
      <x:c r="N212" s="83" t="n">
        <x:v>61</x:v>
      </x:c>
      <x:c r="O212" s="83" t="n">
        <x:v>59</x:v>
      </x:c>
      <x:c r="P212" s="83" t="str">
        <x:v>Tabella 15</x:v>
      </x:c>
      <x:c r="Q212" s="83" t="str">
        <x:v>Direct table extraction; visual/text verification</x:v>
      </x:c>
      <x:c r="R212" s="83" t="str">
        <x:v>A - Direct</x:v>
      </x:c>
      <x:c r="S212" s="83" t="str">
        <x:v>Zonal p_nom input after mapping to PyPSA carrier.</x:v>
      </x:c>
      <x:c r="T212" s="83" t="str">
        <x:v>Table source labels rows as Distribuito/Utility; standardized as onshore/offshore.</x:v>
      </x:c>
    </x:row>
    <x:row r="213">
      <x:c r="A213" s="83" t="str">
        <x:v>ZCAP-0209</x:v>
      </x:c>
      <x:c r="B213" s="83" t="str">
        <x:v>PNIEC_POLICY_2030</x:v>
      </x:c>
      <x:c r="C213" s="83" t="n">
        <x:v>2030</x:v>
      </x:c>
      <x:c r="D213" s="83" t="str">
        <x:v>PNIEC Policy 2030</x:v>
      </x:c>
      <x:c r="E213" s="83" t="str">
        <x:v>Calabria</x:v>
      </x:c>
      <x:c r="F213" s="83" t="str">
        <x:v>Wind</x:v>
      </x:c>
      <x:c r="G213" s="83" t="str">
        <x:v>Eolico offshore</x:v>
      </x:c>
      <x:c r="H213" s="83" t="str">
        <x:v>Utility</x:v>
      </x:c>
      <x:c r="I213" s="143" t="n">
        <x:v>0</x:v>
      </x:c>
      <x:c r="J213" s="83" t="str">
        <x:v>GW</x:v>
      </x:c>
      <x:c r="K213" s="83" t="str">
        <x:v>Assunzione di scenario</x:v>
      </x:c>
      <x:c r="L213" s="83" t="str">
        <x:v>S09</x:v>
      </x:c>
      <x:c r="M213" s="83" t="str">
        <x:v>Documento_Descrizione_Scenari_2024_8dce2430d44d101.pdf</x:v>
      </x:c>
      <x:c r="N213" s="83" t="n">
        <x:v>61</x:v>
      </x:c>
      <x:c r="O213" s="83" t="n">
        <x:v>59</x:v>
      </x:c>
      <x:c r="P213" s="83" t="str">
        <x:v>Tabella 15</x:v>
      </x:c>
      <x:c r="Q213" s="83" t="str">
        <x:v>Direct table extraction; visual/text verification</x:v>
      </x:c>
      <x:c r="R213" s="83" t="str">
        <x:v>A - Direct</x:v>
      </x:c>
      <x:c r="S213" s="83" t="str">
        <x:v>Zonal p_nom input after mapping to PyPSA carrier.</x:v>
      </x:c>
      <x:c r="T213" s="83" t="str">
        <x:v>Table source labels rows as Distribuito/Utility; standardized as onshore/offshore.</x:v>
      </x:c>
    </x:row>
    <x:row r="214">
      <x:c r="A214" s="83" t="str">
        <x:v>ZCAP-0210</x:v>
      </x:c>
      <x:c r="B214" s="83" t="str">
        <x:v>PNIEC_SLOW_2030</x:v>
      </x:c>
      <x:c r="C214" s="83" t="n">
        <x:v>2030</x:v>
      </x:c>
      <x:c r="D214" s="83" t="str">
        <x:v>PNIEC Slow 2030</x:v>
      </x:c>
      <x:c r="E214" s="83" t="str">
        <x:v>Calabria</x:v>
      </x:c>
      <x:c r="F214" s="83" t="str">
        <x:v>Wind</x:v>
      </x:c>
      <x:c r="G214" s="83" t="str">
        <x:v>Eolico offshore</x:v>
      </x:c>
      <x:c r="H214" s="83" t="str">
        <x:v>Utility</x:v>
      </x:c>
      <x:c r="I214" s="143" t="n">
        <x:v>0</x:v>
      </x:c>
      <x:c r="J214" s="83" t="str">
        <x:v>GW</x:v>
      </x:c>
      <x:c r="K214" s="83" t="str">
        <x:v>Assunzione di scenario</x:v>
      </x:c>
      <x:c r="L214" s="83" t="str">
        <x:v>S09</x:v>
      </x:c>
      <x:c r="M214" s="83" t="str">
        <x:v>Documento_Descrizione_Scenari_2024_8dce2430d44d101.pdf</x:v>
      </x:c>
      <x:c r="N214" s="83" t="n">
        <x:v>61</x:v>
      </x:c>
      <x:c r="O214" s="83" t="n">
        <x:v>59</x:v>
      </x:c>
      <x:c r="P214" s="83" t="str">
        <x:v>Tabella 15</x:v>
      </x:c>
      <x:c r="Q214" s="83" t="str">
        <x:v>Direct table extraction; visual/text verification</x:v>
      </x:c>
      <x:c r="R214" s="83" t="str">
        <x:v>A - Direct</x:v>
      </x:c>
      <x:c r="S214" s="83" t="str">
        <x:v>Zonal p_nom input after mapping to PyPSA carrier.</x:v>
      </x:c>
      <x:c r="T214" s="83" t="str">
        <x:v>Table source labels rows as Distribuito/Utility; standardized as onshore/offshore.</x:v>
      </x:c>
    </x:row>
    <x:row r="215">
      <x:c r="A215" s="83" t="str">
        <x:v>ZCAP-0211</x:v>
      </x:c>
      <x:c r="B215" s="83" t="str">
        <x:v>DE_IT_2035</x:v>
      </x:c>
      <x:c r="C215" s="83" t="n">
        <x:v>2035</x:v>
      </x:c>
      <x:c r="D215" s="83" t="str">
        <x:v>DE-IT 2035</x:v>
      </x:c>
      <x:c r="E215" s="83" t="str">
        <x:v>Calabria</x:v>
      </x:c>
      <x:c r="F215" s="83" t="str">
        <x:v>Wind</x:v>
      </x:c>
      <x:c r="G215" s="83" t="str">
        <x:v>Eolico offshore</x:v>
      </x:c>
      <x:c r="H215" s="83" t="str">
        <x:v>Utility</x:v>
      </x:c>
      <x:c r="I215" s="143" t="n">
        <x:v>0.2</x:v>
      </x:c>
      <x:c r="J215" s="83" t="str">
        <x:v>GW</x:v>
      </x:c>
      <x:c r="K215" s="83" t="str">
        <x:v>Assunzione di scenario</x:v>
      </x:c>
      <x:c r="L215" s="83" t="str">
        <x:v>S09</x:v>
      </x:c>
      <x:c r="M215" s="83" t="str">
        <x:v>Documento_Descrizione_Scenari_2024_8dce2430d44d101.pdf</x:v>
      </x:c>
      <x:c r="N215" s="83" t="n">
        <x:v>61</x:v>
      </x:c>
      <x:c r="O215" s="83" t="n">
        <x:v>59</x:v>
      </x:c>
      <x:c r="P215" s="83" t="str">
        <x:v>Tabella 15</x:v>
      </x:c>
      <x:c r="Q215" s="83" t="str">
        <x:v>Direct table extraction; visual/text verification</x:v>
      </x:c>
      <x:c r="R215" s="83" t="str">
        <x:v>A - Direct</x:v>
      </x:c>
      <x:c r="S215" s="83" t="str">
        <x:v>Zonal p_nom input after mapping to PyPSA carrier.</x:v>
      </x:c>
      <x:c r="T215" s="83" t="str">
        <x:v>Table source labels rows as Distribuito/Utility; standardized as onshore/offshore.</x:v>
      </x:c>
    </x:row>
    <x:row r="216">
      <x:c r="A216" s="83" t="str">
        <x:v>ZCAP-0212</x:v>
      </x:c>
      <x:c r="B216" s="83" t="str">
        <x:v>GA_IT_2035</x:v>
      </x:c>
      <x:c r="C216" s="83" t="n">
        <x:v>2035</x:v>
      </x:c>
      <x:c r="D216" s="83" t="str">
        <x:v>GA-IT 2035</x:v>
      </x:c>
      <x:c r="E216" s="83" t="str">
        <x:v>Calabria</x:v>
      </x:c>
      <x:c r="F216" s="83" t="str">
        <x:v>Wind</x:v>
      </x:c>
      <x:c r="G216" s="83" t="str">
        <x:v>Eolico offshore</x:v>
      </x:c>
      <x:c r="H216" s="83" t="str">
        <x:v>Utility</x:v>
      </x:c>
      <x:c r="I216" s="143" t="n">
        <x:v>0.2</x:v>
      </x:c>
      <x:c r="J216" s="83" t="str">
        <x:v>GW</x:v>
      </x:c>
      <x:c r="K216" s="83" t="str">
        <x:v>Assunzione di scenario</x:v>
      </x:c>
      <x:c r="L216" s="83" t="str">
        <x:v>S09</x:v>
      </x:c>
      <x:c r="M216" s="83" t="str">
        <x:v>Documento_Descrizione_Scenari_2024_8dce2430d44d101.pdf</x:v>
      </x:c>
      <x:c r="N216" s="83" t="n">
        <x:v>61</x:v>
      </x:c>
      <x:c r="O216" s="83" t="n">
        <x:v>59</x:v>
      </x:c>
      <x:c r="P216" s="83" t="str">
        <x:v>Tabella 15</x:v>
      </x:c>
      <x:c r="Q216" s="83" t="str">
        <x:v>Direct table extraction; visual/text verification</x:v>
      </x:c>
      <x:c r="R216" s="83" t="str">
        <x:v>A - Direct</x:v>
      </x:c>
      <x:c r="S216" s="83" t="str">
        <x:v>Zonal p_nom input after mapping to PyPSA carrier.</x:v>
      </x:c>
      <x:c r="T216" s="83" t="str">
        <x:v>Table source labels rows as Distribuito/Utility; standardized as onshore/offshore.</x:v>
      </x:c>
    </x:row>
    <x:row r="217">
      <x:c r="A217" s="83" t="str">
        <x:v>ZCAP-0213</x:v>
      </x:c>
      <x:c r="B217" s="83" t="str">
        <x:v>PNIEC_SLOW_2035</x:v>
      </x:c>
      <x:c r="C217" s="83" t="n">
        <x:v>2035</x:v>
      </x:c>
      <x:c r="D217" s="83" t="str">
        <x:v>PNIEC Slow 2035</x:v>
      </x:c>
      <x:c r="E217" s="83" t="str">
        <x:v>Calabria</x:v>
      </x:c>
      <x:c r="F217" s="83" t="str">
        <x:v>Wind</x:v>
      </x:c>
      <x:c r="G217" s="83" t="str">
        <x:v>Eolico offshore</x:v>
      </x:c>
      <x:c r="H217" s="83" t="str">
        <x:v>Utility</x:v>
      </x:c>
      <x:c r="I217" s="143" t="n">
        <x:v>0.1</x:v>
      </x:c>
      <x:c r="J217" s="83" t="str">
        <x:v>GW</x:v>
      </x:c>
      <x:c r="K217" s="83" t="str">
        <x:v>Assunzione di scenario</x:v>
      </x:c>
      <x:c r="L217" s="83" t="str">
        <x:v>S09</x:v>
      </x:c>
      <x:c r="M217" s="83" t="str">
        <x:v>Documento_Descrizione_Scenari_2024_8dce2430d44d101.pdf</x:v>
      </x:c>
      <x:c r="N217" s="83" t="n">
        <x:v>61</x:v>
      </x:c>
      <x:c r="O217" s="83" t="n">
        <x:v>59</x:v>
      </x:c>
      <x:c r="P217" s="83" t="str">
        <x:v>Tabella 15</x:v>
      </x:c>
      <x:c r="Q217" s="83" t="str">
        <x:v>Direct table extraction; visual/text verification</x:v>
      </x:c>
      <x:c r="R217" s="83" t="str">
        <x:v>A - Direct</x:v>
      </x:c>
      <x:c r="S217" s="83" t="str">
        <x:v>Zonal p_nom input after mapping to PyPSA carrier.</x:v>
      </x:c>
      <x:c r="T217" s="83" t="str">
        <x:v>Table source labels rows as Distribuito/Utility; standardized as onshore/offshore.</x:v>
      </x:c>
    </x:row>
    <x:row r="218">
      <x:c r="A218" s="83" t="str">
        <x:v>ZCAP-0214</x:v>
      </x:c>
      <x:c r="B218" s="83" t="str">
        <x:v>DE_IT_2040</x:v>
      </x:c>
      <x:c r="C218" s="83" t="n">
        <x:v>2040</x:v>
      </x:c>
      <x:c r="D218" s="83" t="str">
        <x:v>DE-IT 2040</x:v>
      </x:c>
      <x:c r="E218" s="83" t="str">
        <x:v>Calabria</x:v>
      </x:c>
      <x:c r="F218" s="83" t="str">
        <x:v>Wind</x:v>
      </x:c>
      <x:c r="G218" s="83" t="str">
        <x:v>Eolico offshore</x:v>
      </x:c>
      <x:c r="H218" s="83" t="str">
        <x:v>Utility</x:v>
      </x:c>
      <x:c r="I218" s="143" t="n">
        <x:v>0.6</x:v>
      </x:c>
      <x:c r="J218" s="83" t="str">
        <x:v>GW</x:v>
      </x:c>
      <x:c r="K218" s="83" t="str">
        <x:v>Assunzione di scenario</x:v>
      </x:c>
      <x:c r="L218" s="83" t="str">
        <x:v>S09</x:v>
      </x:c>
      <x:c r="M218" s="83" t="str">
        <x:v>Documento_Descrizione_Scenari_2024_8dce2430d44d101.pdf</x:v>
      </x:c>
      <x:c r="N218" s="83" t="n">
        <x:v>61</x:v>
      </x:c>
      <x:c r="O218" s="83" t="n">
        <x:v>59</x:v>
      </x:c>
      <x:c r="P218" s="83" t="str">
        <x:v>Tabella 15</x:v>
      </x:c>
      <x:c r="Q218" s="83" t="str">
        <x:v>Direct table extraction; visual/text verification</x:v>
      </x:c>
      <x:c r="R218" s="83" t="str">
        <x:v>A - Direct</x:v>
      </x:c>
      <x:c r="S218" s="83" t="str">
        <x:v>Zonal p_nom input after mapping to PyPSA carrier.</x:v>
      </x:c>
      <x:c r="T218" s="83" t="str">
        <x:v>Table source labels rows as Distribuito/Utility; standardized as onshore/offshore.</x:v>
      </x:c>
    </x:row>
    <x:row r="219">
      <x:c r="A219" s="83" t="str">
        <x:v>ZCAP-0215</x:v>
      </x:c>
      <x:c r="B219" s="83" t="str">
        <x:v>GA_IT_2040</x:v>
      </x:c>
      <x:c r="C219" s="83" t="n">
        <x:v>2040</x:v>
      </x:c>
      <x:c r="D219" s="83" t="str">
        <x:v>GA-IT 2040</x:v>
      </x:c>
      <x:c r="E219" s="83" t="str">
        <x:v>Calabria</x:v>
      </x:c>
      <x:c r="F219" s="83" t="str">
        <x:v>Wind</x:v>
      </x:c>
      <x:c r="G219" s="83" t="str">
        <x:v>Eolico offshore</x:v>
      </x:c>
      <x:c r="H219" s="83" t="str">
        <x:v>Utility</x:v>
      </x:c>
      <x:c r="I219" s="143" t="n">
        <x:v>0.4</x:v>
      </x:c>
      <x:c r="J219" s="83" t="str">
        <x:v>GW</x:v>
      </x:c>
      <x:c r="K219" s="83" t="str">
        <x:v>Assunzione di scenario</x:v>
      </x:c>
      <x:c r="L219" s="83" t="str">
        <x:v>S09</x:v>
      </x:c>
      <x:c r="M219" s="83" t="str">
        <x:v>Documento_Descrizione_Scenari_2024_8dce2430d44d101.pdf</x:v>
      </x:c>
      <x:c r="N219" s="83" t="n">
        <x:v>61</x:v>
      </x:c>
      <x:c r="O219" s="83" t="n">
        <x:v>59</x:v>
      </x:c>
      <x:c r="P219" s="83" t="str">
        <x:v>Tabella 15</x:v>
      </x:c>
      <x:c r="Q219" s="83" t="str">
        <x:v>Direct table extraction; visual/text verification</x:v>
      </x:c>
      <x:c r="R219" s="83" t="str">
        <x:v>A - Direct</x:v>
      </x:c>
      <x:c r="S219" s="83" t="str">
        <x:v>Zonal p_nom input after mapping to PyPSA carrier.</x:v>
      </x:c>
      <x:c r="T219" s="83" t="str">
        <x:v>Table source labels rows as Distribuito/Utility; standardized as onshore/offshore.</x:v>
      </x:c>
    </x:row>
    <x:row r="220">
      <x:c r="A220" s="83" t="str">
        <x:v>ZCAP-0216</x:v>
      </x:c>
      <x:c r="B220" s="83" t="str">
        <x:v>PNIEC_SLOW_2040</x:v>
      </x:c>
      <x:c r="C220" s="83" t="n">
        <x:v>2040</x:v>
      </x:c>
      <x:c r="D220" s="83" t="str">
        <x:v>PNIEC Slow 2040</x:v>
      </x:c>
      <x:c r="E220" s="83" t="str">
        <x:v>Calabria</x:v>
      </x:c>
      <x:c r="F220" s="83" t="str">
        <x:v>Wind</x:v>
      </x:c>
      <x:c r="G220" s="83" t="str">
        <x:v>Eolico offshore</x:v>
      </x:c>
      <x:c r="H220" s="83" t="str">
        <x:v>Utility</x:v>
      </x:c>
      <x:c r="I220" s="143" t="n">
        <x:v>0.4</x:v>
      </x:c>
      <x:c r="J220" s="83" t="str">
        <x:v>GW</x:v>
      </x:c>
      <x:c r="K220" s="83" t="str">
        <x:v>Assunzione di scenario</x:v>
      </x:c>
      <x:c r="L220" s="83" t="str">
        <x:v>S09</x:v>
      </x:c>
      <x:c r="M220" s="83" t="str">
        <x:v>Documento_Descrizione_Scenari_2024_8dce2430d44d101.pdf</x:v>
      </x:c>
      <x:c r="N220" s="83" t="n">
        <x:v>61</x:v>
      </x:c>
      <x:c r="O220" s="83" t="n">
        <x:v>59</x:v>
      </x:c>
      <x:c r="P220" s="83" t="str">
        <x:v>Tabella 15</x:v>
      </x:c>
      <x:c r="Q220" s="83" t="str">
        <x:v>Direct table extraction; visual/text verification</x:v>
      </x:c>
      <x:c r="R220" s="83" t="str">
        <x:v>A - Direct</x:v>
      </x:c>
      <x:c r="S220" s="83" t="str">
        <x:v>Zonal p_nom input after mapping to PyPSA carrier.</x:v>
      </x:c>
      <x:c r="T220" s="83" t="str">
        <x:v>Table source labels rows as Distribuito/Utility; standardized as onshore/offshore.</x:v>
      </x:c>
    </x:row>
    <x:row r="221">
      <x:c r="A221" s="83" t="str">
        <x:v>ZCAP-0217</x:v>
      </x:c>
      <x:c r="B221" s="83" t="str">
        <x:v>HIST_2023</x:v>
      </x:c>
      <x:c r="C221" s="83" t="n">
        <x:v>2023</x:v>
      </x:c>
      <x:c r="D221" s="83" t="str">
        <x:v>Storico 2023</x:v>
      </x:c>
      <x:c r="E221" s="83" t="str">
        <x:v>Sicilia</x:v>
      </x:c>
      <x:c r="F221" s="83" t="str">
        <x:v>Wind</x:v>
      </x:c>
      <x:c r="G221" s="83" t="str">
        <x:v>Eolico onshore</x:v>
      </x:c>
      <x:c r="H221" s="83" t="str">
        <x:v>Distribuito</x:v>
      </x:c>
      <x:c r="I221" s="143" t="n">
        <x:v>2.3</x:v>
      </x:c>
      <x:c r="J221" s="83" t="str">
        <x:v>GW</x:v>
      </x:c>
      <x:c r="K221" s="83" t="str">
        <x:v>Dato osservato storico</x:v>
      </x:c>
      <x:c r="L221" s="83" t="str">
        <x:v>S09</x:v>
      </x:c>
      <x:c r="M221" s="83" t="str">
        <x:v>Documento_Descrizione_Scenari_2024_8dce2430d44d101.pdf</x:v>
      </x:c>
      <x:c r="N221" s="83" t="n">
        <x:v>61</x:v>
      </x:c>
      <x:c r="O221" s="83" t="n">
        <x:v>59</x:v>
      </x:c>
      <x:c r="P221" s="83" t="str">
        <x:v>Tabella 15</x:v>
      </x:c>
      <x:c r="Q221" s="83" t="str">
        <x:v>Direct table extraction; visual/text verification</x:v>
      </x:c>
      <x:c r="R221" s="83" t="str">
        <x:v>A - Direct</x:v>
      </x:c>
      <x:c r="S221" s="83" t="str">
        <x:v>Zonal p_nom input after mapping to PyPSA carrier.</x:v>
      </x:c>
      <x:c r="T221" s="83" t="str">
        <x:v>Table source labels rows as Distribuito/Utility; standardized as onshore/offshore.</x:v>
      </x:c>
    </x:row>
    <x:row r="222">
      <x:c r="A222" s="83" t="str">
        <x:v>ZCAP-0218</x:v>
      </x:c>
      <x:c r="B222" s="83" t="str">
        <x:v>PNIEC_POLICY_2030</x:v>
      </x:c>
      <x:c r="C222" s="83" t="n">
        <x:v>2030</x:v>
      </x:c>
      <x:c r="D222" s="83" t="str">
        <x:v>PNIEC Policy 2030</x:v>
      </x:c>
      <x:c r="E222" s="83" t="str">
        <x:v>Sicilia</x:v>
      </x:c>
      <x:c r="F222" s="83" t="str">
        <x:v>Wind</x:v>
      </x:c>
      <x:c r="G222" s="83" t="str">
        <x:v>Eolico onshore</x:v>
      </x:c>
      <x:c r="H222" s="83" t="str">
        <x:v>Distribuito</x:v>
      </x:c>
      <x:c r="I222" s="143" t="n">
        <x:v>4.7</x:v>
      </x:c>
      <x:c r="J222" s="83" t="str">
        <x:v>GW</x:v>
      </x:c>
      <x:c r="K222" s="83" t="str">
        <x:v>Assunzione di scenario</x:v>
      </x:c>
      <x:c r="L222" s="83" t="str">
        <x:v>S09</x:v>
      </x:c>
      <x:c r="M222" s="83" t="str">
        <x:v>Documento_Descrizione_Scenari_2024_8dce2430d44d101.pdf</x:v>
      </x:c>
      <x:c r="N222" s="83" t="n">
        <x:v>61</x:v>
      </x:c>
      <x:c r="O222" s="83" t="n">
        <x:v>59</x:v>
      </x:c>
      <x:c r="P222" s="83" t="str">
        <x:v>Tabella 15</x:v>
      </x:c>
      <x:c r="Q222" s="83" t="str">
        <x:v>Direct table extraction; visual/text verification</x:v>
      </x:c>
      <x:c r="R222" s="83" t="str">
        <x:v>A - Direct</x:v>
      </x:c>
      <x:c r="S222" s="83" t="str">
        <x:v>Zonal p_nom input after mapping to PyPSA carrier.</x:v>
      </x:c>
      <x:c r="T222" s="83" t="str">
        <x:v>Table source labels rows as Distribuito/Utility; standardized as onshore/offshore.</x:v>
      </x:c>
    </x:row>
    <x:row r="223">
      <x:c r="A223" s="83" t="str">
        <x:v>ZCAP-0219</x:v>
      </x:c>
      <x:c r="B223" s="83" t="str">
        <x:v>PNIEC_SLOW_2030</x:v>
      </x:c>
      <x:c r="C223" s="83" t="n">
        <x:v>2030</x:v>
      </x:c>
      <x:c r="D223" s="83" t="str">
        <x:v>PNIEC Slow 2030</x:v>
      </x:c>
      <x:c r="E223" s="83" t="str">
        <x:v>Sicilia</x:v>
      </x:c>
      <x:c r="F223" s="83" t="str">
        <x:v>Wind</x:v>
      </x:c>
      <x:c r="G223" s="83" t="str">
        <x:v>Eolico onshore</x:v>
      </x:c>
      <x:c r="H223" s="83" t="str">
        <x:v>Distribuito</x:v>
      </x:c>
      <x:c r="I223" s="143" t="n">
        <x:v>3.8</x:v>
      </x:c>
      <x:c r="J223" s="83" t="str">
        <x:v>GW</x:v>
      </x:c>
      <x:c r="K223" s="83" t="str">
        <x:v>Assunzione di scenario</x:v>
      </x:c>
      <x:c r="L223" s="83" t="str">
        <x:v>S09</x:v>
      </x:c>
      <x:c r="M223" s="83" t="str">
        <x:v>Documento_Descrizione_Scenari_2024_8dce2430d44d101.pdf</x:v>
      </x:c>
      <x:c r="N223" s="83" t="n">
        <x:v>61</x:v>
      </x:c>
      <x:c r="O223" s="83" t="n">
        <x:v>59</x:v>
      </x:c>
      <x:c r="P223" s="83" t="str">
        <x:v>Tabella 15</x:v>
      </x:c>
      <x:c r="Q223" s="83" t="str">
        <x:v>Direct table extraction; visual/text verification</x:v>
      </x:c>
      <x:c r="R223" s="83" t="str">
        <x:v>A - Direct</x:v>
      </x:c>
      <x:c r="S223" s="83" t="str">
        <x:v>Zonal p_nom input after mapping to PyPSA carrier.</x:v>
      </x:c>
      <x:c r="T223" s="83" t="str">
        <x:v>Table source labels rows as Distribuito/Utility; standardized as onshore/offshore.</x:v>
      </x:c>
    </x:row>
    <x:row r="224">
      <x:c r="A224" s="83" t="str">
        <x:v>ZCAP-0220</x:v>
      </x:c>
      <x:c r="B224" s="83" t="str">
        <x:v>DE_IT_2035</x:v>
      </x:c>
      <x:c r="C224" s="83" t="n">
        <x:v>2035</x:v>
      </x:c>
      <x:c r="D224" s="83" t="str">
        <x:v>DE-IT 2035</x:v>
      </x:c>
      <x:c r="E224" s="83" t="str">
        <x:v>Sicilia</x:v>
      </x:c>
      <x:c r="F224" s="83" t="str">
        <x:v>Wind</x:v>
      </x:c>
      <x:c r="G224" s="83" t="str">
        <x:v>Eolico onshore</x:v>
      </x:c>
      <x:c r="H224" s="83" t="str">
        <x:v>Distribuito</x:v>
      </x:c>
      <x:c r="I224" s="143" t="n">
        <x:v>5.5</x:v>
      </x:c>
      <x:c r="J224" s="83" t="str">
        <x:v>GW</x:v>
      </x:c>
      <x:c r="K224" s="83" t="str">
        <x:v>Assunzione di scenario</x:v>
      </x:c>
      <x:c r="L224" s="83" t="str">
        <x:v>S09</x:v>
      </x:c>
      <x:c r="M224" s="83" t="str">
        <x:v>Documento_Descrizione_Scenari_2024_8dce2430d44d101.pdf</x:v>
      </x:c>
      <x:c r="N224" s="83" t="n">
        <x:v>61</x:v>
      </x:c>
      <x:c r="O224" s="83" t="n">
        <x:v>59</x:v>
      </x:c>
      <x:c r="P224" s="83" t="str">
        <x:v>Tabella 15</x:v>
      </x:c>
      <x:c r="Q224" s="83" t="str">
        <x:v>Direct table extraction; visual/text verification</x:v>
      </x:c>
      <x:c r="R224" s="83" t="str">
        <x:v>A - Direct</x:v>
      </x:c>
      <x:c r="S224" s="83" t="str">
        <x:v>Zonal p_nom input after mapping to PyPSA carrier.</x:v>
      </x:c>
      <x:c r="T224" s="83" t="str">
        <x:v>Table source labels rows as Distribuito/Utility; standardized as onshore/offshore.</x:v>
      </x:c>
    </x:row>
    <x:row r="225">
      <x:c r="A225" s="83" t="str">
        <x:v>ZCAP-0221</x:v>
      </x:c>
      <x:c r="B225" s="83" t="str">
        <x:v>GA_IT_2035</x:v>
      </x:c>
      <x:c r="C225" s="83" t="n">
        <x:v>2035</x:v>
      </x:c>
      <x:c r="D225" s="83" t="str">
        <x:v>GA-IT 2035</x:v>
      </x:c>
      <x:c r="E225" s="83" t="str">
        <x:v>Sicilia</x:v>
      </x:c>
      <x:c r="F225" s="83" t="str">
        <x:v>Wind</x:v>
      </x:c>
      <x:c r="G225" s="83" t="str">
        <x:v>Eolico onshore</x:v>
      </x:c>
      <x:c r="H225" s="83" t="str">
        <x:v>Distribuito</x:v>
      </x:c>
      <x:c r="I225" s="143" t="n">
        <x:v>5.1</x:v>
      </x:c>
      <x:c r="J225" s="83" t="str">
        <x:v>GW</x:v>
      </x:c>
      <x:c r="K225" s="83" t="str">
        <x:v>Assunzione di scenario</x:v>
      </x:c>
      <x:c r="L225" s="83" t="str">
        <x:v>S09</x:v>
      </x:c>
      <x:c r="M225" s="83" t="str">
        <x:v>Documento_Descrizione_Scenari_2024_8dce2430d44d101.pdf</x:v>
      </x:c>
      <x:c r="N225" s="83" t="n">
        <x:v>61</x:v>
      </x:c>
      <x:c r="O225" s="83" t="n">
        <x:v>59</x:v>
      </x:c>
      <x:c r="P225" s="83" t="str">
        <x:v>Tabella 15</x:v>
      </x:c>
      <x:c r="Q225" s="83" t="str">
        <x:v>Direct table extraction; visual/text verification</x:v>
      </x:c>
      <x:c r="R225" s="83" t="str">
        <x:v>A - Direct</x:v>
      </x:c>
      <x:c r="S225" s="83" t="str">
        <x:v>Zonal p_nom input after mapping to PyPSA carrier.</x:v>
      </x:c>
      <x:c r="T225" s="83" t="str">
        <x:v>Table source labels rows as Distribuito/Utility; standardized as onshore/offshore.</x:v>
      </x:c>
    </x:row>
    <x:row r="226">
      <x:c r="A226" s="83" t="str">
        <x:v>ZCAP-0222</x:v>
      </x:c>
      <x:c r="B226" s="83" t="str">
        <x:v>PNIEC_SLOW_2035</x:v>
      </x:c>
      <x:c r="C226" s="83" t="n">
        <x:v>2035</x:v>
      </x:c>
      <x:c r="D226" s="83" t="str">
        <x:v>PNIEC Slow 2035</x:v>
      </x:c>
      <x:c r="E226" s="83" t="str">
        <x:v>Sicilia</x:v>
      </x:c>
      <x:c r="F226" s="83" t="str">
        <x:v>Wind</x:v>
      </x:c>
      <x:c r="G226" s="83" t="str">
        <x:v>Eolico onshore</x:v>
      </x:c>
      <x:c r="H226" s="83" t="str">
        <x:v>Distribuito</x:v>
      </x:c>
      <x:c r="I226" s="143" t="n">
        <x:v>4.8</x:v>
      </x:c>
      <x:c r="J226" s="83" t="str">
        <x:v>GW</x:v>
      </x:c>
      <x:c r="K226" s="83" t="str">
        <x:v>Assunzione di scenario</x:v>
      </x:c>
      <x:c r="L226" s="83" t="str">
        <x:v>S09</x:v>
      </x:c>
      <x:c r="M226" s="83" t="str">
        <x:v>Documento_Descrizione_Scenari_2024_8dce2430d44d101.pdf</x:v>
      </x:c>
      <x:c r="N226" s="83" t="n">
        <x:v>61</x:v>
      </x:c>
      <x:c r="O226" s="83" t="n">
        <x:v>59</x:v>
      </x:c>
      <x:c r="P226" s="83" t="str">
        <x:v>Tabella 15</x:v>
      </x:c>
      <x:c r="Q226" s="83" t="str">
        <x:v>Direct table extraction; visual/text verification</x:v>
      </x:c>
      <x:c r="R226" s="83" t="str">
        <x:v>A - Direct</x:v>
      </x:c>
      <x:c r="S226" s="83" t="str">
        <x:v>Zonal p_nom input after mapping to PyPSA carrier.</x:v>
      </x:c>
      <x:c r="T226" s="83" t="str">
        <x:v>Table source labels rows as Distribuito/Utility; standardized as onshore/offshore.</x:v>
      </x:c>
    </x:row>
    <x:row r="227">
      <x:c r="A227" s="83" t="str">
        <x:v>ZCAP-0223</x:v>
      </x:c>
      <x:c r="B227" s="83" t="str">
        <x:v>DE_IT_2040</x:v>
      </x:c>
      <x:c r="C227" s="83" t="n">
        <x:v>2040</x:v>
      </x:c>
      <x:c r="D227" s="83" t="str">
        <x:v>DE-IT 2040</x:v>
      </x:c>
      <x:c r="E227" s="83" t="str">
        <x:v>Sicilia</x:v>
      </x:c>
      <x:c r="F227" s="83" t="str">
        <x:v>Wind</x:v>
      </x:c>
      <x:c r="G227" s="83" t="str">
        <x:v>Eolico onshore</x:v>
      </x:c>
      <x:c r="H227" s="83" t="str">
        <x:v>Distribuito</x:v>
      </x:c>
      <x:c r="I227" s="143" t="n">
        <x:v>6.3</x:v>
      </x:c>
      <x:c r="J227" s="83" t="str">
        <x:v>GW</x:v>
      </x:c>
      <x:c r="K227" s="83" t="str">
        <x:v>Assunzione di scenario</x:v>
      </x:c>
      <x:c r="L227" s="83" t="str">
        <x:v>S09</x:v>
      </x:c>
      <x:c r="M227" s="83" t="str">
        <x:v>Documento_Descrizione_Scenari_2024_8dce2430d44d101.pdf</x:v>
      </x:c>
      <x:c r="N227" s="83" t="n">
        <x:v>61</x:v>
      </x:c>
      <x:c r="O227" s="83" t="n">
        <x:v>59</x:v>
      </x:c>
      <x:c r="P227" s="83" t="str">
        <x:v>Tabella 15</x:v>
      </x:c>
      <x:c r="Q227" s="83" t="str">
        <x:v>Direct table extraction; visual/text verification</x:v>
      </x:c>
      <x:c r="R227" s="83" t="str">
        <x:v>A - Direct</x:v>
      </x:c>
      <x:c r="S227" s="83" t="str">
        <x:v>Zonal p_nom input after mapping to PyPSA carrier.</x:v>
      </x:c>
      <x:c r="T227" s="83" t="str">
        <x:v>Table source labels rows as Distribuito/Utility; standardized as onshore/offshore.</x:v>
      </x:c>
    </x:row>
    <x:row r="228">
      <x:c r="A228" s="83" t="str">
        <x:v>ZCAP-0224</x:v>
      </x:c>
      <x:c r="B228" s="83" t="str">
        <x:v>GA_IT_2040</x:v>
      </x:c>
      <x:c r="C228" s="83" t="n">
        <x:v>2040</x:v>
      </x:c>
      <x:c r="D228" s="83" t="str">
        <x:v>GA-IT 2040</x:v>
      </x:c>
      <x:c r="E228" s="83" t="str">
        <x:v>Sicilia</x:v>
      </x:c>
      <x:c r="F228" s="83" t="str">
        <x:v>Wind</x:v>
      </x:c>
      <x:c r="G228" s="83" t="str">
        <x:v>Eolico onshore</x:v>
      </x:c>
      <x:c r="H228" s="83" t="str">
        <x:v>Distribuito</x:v>
      </x:c>
      <x:c r="I228" s="143" t="n">
        <x:v>5.7</x:v>
      </x:c>
      <x:c r="J228" s="83" t="str">
        <x:v>GW</x:v>
      </x:c>
      <x:c r="K228" s="83" t="str">
        <x:v>Assunzione di scenario</x:v>
      </x:c>
      <x:c r="L228" s="83" t="str">
        <x:v>S09</x:v>
      </x:c>
      <x:c r="M228" s="83" t="str">
        <x:v>Documento_Descrizione_Scenari_2024_8dce2430d44d101.pdf</x:v>
      </x:c>
      <x:c r="N228" s="83" t="n">
        <x:v>61</x:v>
      </x:c>
      <x:c r="O228" s="83" t="n">
        <x:v>59</x:v>
      </x:c>
      <x:c r="P228" s="83" t="str">
        <x:v>Tabella 15</x:v>
      </x:c>
      <x:c r="Q228" s="83" t="str">
        <x:v>Direct table extraction; visual/text verification</x:v>
      </x:c>
      <x:c r="R228" s="83" t="str">
        <x:v>A - Direct</x:v>
      </x:c>
      <x:c r="S228" s="83" t="str">
        <x:v>Zonal p_nom input after mapping to PyPSA carrier.</x:v>
      </x:c>
      <x:c r="T228" s="83" t="str">
        <x:v>Table source labels rows as Distribuito/Utility; standardized as onshore/offshore.</x:v>
      </x:c>
    </x:row>
    <x:row r="229">
      <x:c r="A229" s="83" t="str">
        <x:v>ZCAP-0225</x:v>
      </x:c>
      <x:c r="B229" s="83" t="str">
        <x:v>PNIEC_SLOW_2040</x:v>
      </x:c>
      <x:c r="C229" s="83" t="n">
        <x:v>2040</x:v>
      </x:c>
      <x:c r="D229" s="83" t="str">
        <x:v>PNIEC Slow 2040</x:v>
      </x:c>
      <x:c r="E229" s="83" t="str">
        <x:v>Sicilia</x:v>
      </x:c>
      <x:c r="F229" s="83" t="str">
        <x:v>Wind</x:v>
      </x:c>
      <x:c r="G229" s="83" t="str">
        <x:v>Eolico onshore</x:v>
      </x:c>
      <x:c r="H229" s="83" t="str">
        <x:v>Distribuito</x:v>
      </x:c>
      <x:c r="I229" s="143" t="n">
        <x:v>5.7</x:v>
      </x:c>
      <x:c r="J229" s="83" t="str">
        <x:v>GW</x:v>
      </x:c>
      <x:c r="K229" s="83" t="str">
        <x:v>Assunzione di scenario</x:v>
      </x:c>
      <x:c r="L229" s="83" t="str">
        <x:v>S09</x:v>
      </x:c>
      <x:c r="M229" s="83" t="str">
        <x:v>Documento_Descrizione_Scenari_2024_8dce2430d44d101.pdf</x:v>
      </x:c>
      <x:c r="N229" s="83" t="n">
        <x:v>61</x:v>
      </x:c>
      <x:c r="O229" s="83" t="n">
        <x:v>59</x:v>
      </x:c>
      <x:c r="P229" s="83" t="str">
        <x:v>Tabella 15</x:v>
      </x:c>
      <x:c r="Q229" s="83" t="str">
        <x:v>Direct table extraction; visual/text verification</x:v>
      </x:c>
      <x:c r="R229" s="83" t="str">
        <x:v>A - Direct</x:v>
      </x:c>
      <x:c r="S229" s="83" t="str">
        <x:v>Zonal p_nom input after mapping to PyPSA carrier.</x:v>
      </x:c>
      <x:c r="T229" s="83" t="str">
        <x:v>Table source labels rows as Distribuito/Utility; standardized as onshore/offshore.</x:v>
      </x:c>
    </x:row>
    <x:row r="230">
      <x:c r="A230" s="83" t="str">
        <x:v>ZCAP-0226</x:v>
      </x:c>
      <x:c r="B230" s="83" t="str">
        <x:v>HIST_2023</x:v>
      </x:c>
      <x:c r="C230" s="83" t="n">
        <x:v>2023</x:v>
      </x:c>
      <x:c r="D230" s="83" t="str">
        <x:v>Storico 2023</x:v>
      </x:c>
      <x:c r="E230" s="83" t="str">
        <x:v>Sicilia</x:v>
      </x:c>
      <x:c r="F230" s="83" t="str">
        <x:v>Wind</x:v>
      </x:c>
      <x:c r="G230" s="83" t="str">
        <x:v>Eolico offshore</x:v>
      </x:c>
      <x:c r="H230" s="83" t="str">
        <x:v>Utility</x:v>
      </x:c>
      <x:c r="I230" s="143" t="n">
        <x:v>0</x:v>
      </x:c>
      <x:c r="J230" s="83" t="str">
        <x:v>GW</x:v>
      </x:c>
      <x:c r="K230" s="83" t="str">
        <x:v>Dato osservato storico</x:v>
      </x:c>
      <x:c r="L230" s="83" t="str">
        <x:v>S09</x:v>
      </x:c>
      <x:c r="M230" s="83" t="str">
        <x:v>Documento_Descrizione_Scenari_2024_8dce2430d44d101.pdf</x:v>
      </x:c>
      <x:c r="N230" s="83" t="n">
        <x:v>61</x:v>
      </x:c>
      <x:c r="O230" s="83" t="n">
        <x:v>59</x:v>
      </x:c>
      <x:c r="P230" s="83" t="str">
        <x:v>Tabella 15</x:v>
      </x:c>
      <x:c r="Q230" s="83" t="str">
        <x:v>Direct table extraction; visual/text verification</x:v>
      </x:c>
      <x:c r="R230" s="83" t="str">
        <x:v>A - Direct</x:v>
      </x:c>
      <x:c r="S230" s="83" t="str">
        <x:v>Zonal p_nom input after mapping to PyPSA carrier.</x:v>
      </x:c>
      <x:c r="T230" s="83" t="str">
        <x:v>Table source labels rows as Distribuito/Utility; standardized as onshore/offshore.</x:v>
      </x:c>
    </x:row>
    <x:row r="231">
      <x:c r="A231" s="83" t="str">
        <x:v>ZCAP-0227</x:v>
      </x:c>
      <x:c r="B231" s="83" t="str">
        <x:v>PNIEC_POLICY_2030</x:v>
      </x:c>
      <x:c r="C231" s="83" t="n">
        <x:v>2030</x:v>
      </x:c>
      <x:c r="D231" s="83" t="str">
        <x:v>PNIEC Policy 2030</x:v>
      </x:c>
      <x:c r="E231" s="83" t="str">
        <x:v>Sicilia</x:v>
      </x:c>
      <x:c r="F231" s="83" t="str">
        <x:v>Wind</x:v>
      </x:c>
      <x:c r="G231" s="83" t="str">
        <x:v>Eolico offshore</x:v>
      </x:c>
      <x:c r="H231" s="83" t="str">
        <x:v>Utility</x:v>
      </x:c>
      <x:c r="I231" s="143" t="n">
        <x:v>0.6</x:v>
      </x:c>
      <x:c r="J231" s="83" t="str">
        <x:v>GW</x:v>
      </x:c>
      <x:c r="K231" s="83" t="str">
        <x:v>Assunzione di scenario</x:v>
      </x:c>
      <x:c r="L231" s="83" t="str">
        <x:v>S09</x:v>
      </x:c>
      <x:c r="M231" s="83" t="str">
        <x:v>Documento_Descrizione_Scenari_2024_8dce2430d44d101.pdf</x:v>
      </x:c>
      <x:c r="N231" s="83" t="n">
        <x:v>61</x:v>
      </x:c>
      <x:c r="O231" s="83" t="n">
        <x:v>59</x:v>
      </x:c>
      <x:c r="P231" s="83" t="str">
        <x:v>Tabella 15</x:v>
      </x:c>
      <x:c r="Q231" s="83" t="str">
        <x:v>Direct table extraction; visual/text verification</x:v>
      </x:c>
      <x:c r="R231" s="83" t="str">
        <x:v>A - Direct</x:v>
      </x:c>
      <x:c r="S231" s="83" t="str">
        <x:v>Zonal p_nom input after mapping to PyPSA carrier.</x:v>
      </x:c>
      <x:c r="T231" s="83" t="str">
        <x:v>Table source labels rows as Distribuito/Utility; standardized as onshore/offshore.</x:v>
      </x:c>
    </x:row>
    <x:row r="232">
      <x:c r="A232" s="83" t="str">
        <x:v>ZCAP-0228</x:v>
      </x:c>
      <x:c r="B232" s="83" t="str">
        <x:v>PNIEC_SLOW_2030</x:v>
      </x:c>
      <x:c r="C232" s="83" t="n">
        <x:v>2030</x:v>
      </x:c>
      <x:c r="D232" s="83" t="str">
        <x:v>PNIEC Slow 2030</x:v>
      </x:c>
      <x:c r="E232" s="83" t="str">
        <x:v>Sicilia</x:v>
      </x:c>
      <x:c r="F232" s="83" t="str">
        <x:v>Wind</x:v>
      </x:c>
      <x:c r="G232" s="83" t="str">
        <x:v>Eolico offshore</x:v>
      </x:c>
      <x:c r="H232" s="83" t="str">
        <x:v>Utility</x:v>
      </x:c>
      <x:c r="I232" s="143" t="n">
        <x:v>0.3</x:v>
      </x:c>
      <x:c r="J232" s="83" t="str">
        <x:v>GW</x:v>
      </x:c>
      <x:c r="K232" s="83" t="str">
        <x:v>Assunzione di scenario</x:v>
      </x:c>
      <x:c r="L232" s="83" t="str">
        <x:v>S09</x:v>
      </x:c>
      <x:c r="M232" s="83" t="str">
        <x:v>Documento_Descrizione_Scenari_2024_8dce2430d44d101.pdf</x:v>
      </x:c>
      <x:c r="N232" s="83" t="n">
        <x:v>61</x:v>
      </x:c>
      <x:c r="O232" s="83" t="n">
        <x:v>59</x:v>
      </x:c>
      <x:c r="P232" s="83" t="str">
        <x:v>Tabella 15</x:v>
      </x:c>
      <x:c r="Q232" s="83" t="str">
        <x:v>Direct table extraction; visual/text verification</x:v>
      </x:c>
      <x:c r="R232" s="83" t="str">
        <x:v>A - Direct</x:v>
      </x:c>
      <x:c r="S232" s="83" t="str">
        <x:v>Zonal p_nom input after mapping to PyPSA carrier.</x:v>
      </x:c>
      <x:c r="T232" s="83" t="str">
        <x:v>Table source labels rows as Distribuito/Utility; standardized as onshore/offshore.</x:v>
      </x:c>
    </x:row>
    <x:row r="233">
      <x:c r="A233" s="83" t="str">
        <x:v>ZCAP-0229</x:v>
      </x:c>
      <x:c r="B233" s="83" t="str">
        <x:v>DE_IT_2035</x:v>
      </x:c>
      <x:c r="C233" s="83" t="n">
        <x:v>2035</x:v>
      </x:c>
      <x:c r="D233" s="83" t="str">
        <x:v>DE-IT 2035</x:v>
      </x:c>
      <x:c r="E233" s="83" t="str">
        <x:v>Sicilia</x:v>
      </x:c>
      <x:c r="F233" s="83" t="str">
        <x:v>Wind</x:v>
      </x:c>
      <x:c r="G233" s="83" t="str">
        <x:v>Eolico offshore</x:v>
      </x:c>
      <x:c r="H233" s="83" t="str">
        <x:v>Utility</x:v>
      </x:c>
      <x:c r="I233" s="143" t="n">
        <x:v>1.5</x:v>
      </x:c>
      <x:c r="J233" s="83" t="str">
        <x:v>GW</x:v>
      </x:c>
      <x:c r="K233" s="83" t="str">
        <x:v>Assunzione di scenario</x:v>
      </x:c>
      <x:c r="L233" s="83" t="str">
        <x:v>S09</x:v>
      </x:c>
      <x:c r="M233" s="83" t="str">
        <x:v>Documento_Descrizione_Scenari_2024_8dce2430d44d101.pdf</x:v>
      </x:c>
      <x:c r="N233" s="83" t="n">
        <x:v>61</x:v>
      </x:c>
      <x:c r="O233" s="83" t="n">
        <x:v>59</x:v>
      </x:c>
      <x:c r="P233" s="83" t="str">
        <x:v>Tabella 15</x:v>
      </x:c>
      <x:c r="Q233" s="83" t="str">
        <x:v>Direct table extraction; visual/text verification</x:v>
      </x:c>
      <x:c r="R233" s="83" t="str">
        <x:v>A - Direct</x:v>
      </x:c>
      <x:c r="S233" s="83" t="str">
        <x:v>Zonal p_nom input after mapping to PyPSA carrier.</x:v>
      </x:c>
      <x:c r="T233" s="83" t="str">
        <x:v>Table source labels rows as Distribuito/Utility; standardized as onshore/offshore.</x:v>
      </x:c>
    </x:row>
    <x:row r="234">
      <x:c r="A234" s="83" t="str">
        <x:v>ZCAP-0230</x:v>
      </x:c>
      <x:c r="B234" s="83" t="str">
        <x:v>GA_IT_2035</x:v>
      </x:c>
      <x:c r="C234" s="83" t="n">
        <x:v>2035</x:v>
      </x:c>
      <x:c r="D234" s="83" t="str">
        <x:v>GA-IT 2035</x:v>
      </x:c>
      <x:c r="E234" s="83" t="str">
        <x:v>Sicilia</x:v>
      </x:c>
      <x:c r="F234" s="83" t="str">
        <x:v>Wind</x:v>
      </x:c>
      <x:c r="G234" s="83" t="str">
        <x:v>Eolico offshore</x:v>
      </x:c>
      <x:c r="H234" s="83" t="str">
        <x:v>Utility</x:v>
      </x:c>
      <x:c r="I234" s="143" t="n">
        <x:v>1.3</x:v>
      </x:c>
      <x:c r="J234" s="83" t="str">
        <x:v>GW</x:v>
      </x:c>
      <x:c r="K234" s="83" t="str">
        <x:v>Assunzione di scenario</x:v>
      </x:c>
      <x:c r="L234" s="83" t="str">
        <x:v>S09</x:v>
      </x:c>
      <x:c r="M234" s="83" t="str">
        <x:v>Documento_Descrizione_Scenari_2024_8dce2430d44d101.pdf</x:v>
      </x:c>
      <x:c r="N234" s="83" t="n">
        <x:v>61</x:v>
      </x:c>
      <x:c r="O234" s="83" t="n">
        <x:v>59</x:v>
      </x:c>
      <x:c r="P234" s="83" t="str">
        <x:v>Tabella 15</x:v>
      </x:c>
      <x:c r="Q234" s="83" t="str">
        <x:v>Direct table extraction; visual/text verification</x:v>
      </x:c>
      <x:c r="R234" s="83" t="str">
        <x:v>A - Direct</x:v>
      </x:c>
      <x:c r="S234" s="83" t="str">
        <x:v>Zonal p_nom input after mapping to PyPSA carrier.</x:v>
      </x:c>
      <x:c r="T234" s="83" t="str">
        <x:v>Table source labels rows as Distribuito/Utility; standardized as onshore/offshore.</x:v>
      </x:c>
    </x:row>
    <x:row r="235">
      <x:c r="A235" s="83" t="str">
        <x:v>ZCAP-0231</x:v>
      </x:c>
      <x:c r="B235" s="83" t="str">
        <x:v>PNIEC_SLOW_2035</x:v>
      </x:c>
      <x:c r="C235" s="83" t="n">
        <x:v>2035</x:v>
      </x:c>
      <x:c r="D235" s="83" t="str">
        <x:v>PNIEC Slow 2035</x:v>
      </x:c>
      <x:c r="E235" s="83" t="str">
        <x:v>Sicilia</x:v>
      </x:c>
      <x:c r="F235" s="83" t="str">
        <x:v>Wind</x:v>
      </x:c>
      <x:c r="G235" s="83" t="str">
        <x:v>Eolico offshore</x:v>
      </x:c>
      <x:c r="H235" s="83" t="str">
        <x:v>Utility</x:v>
      </x:c>
      <x:c r="I235" s="143" t="n">
        <x:v>1</x:v>
      </x:c>
      <x:c r="J235" s="83" t="str">
        <x:v>GW</x:v>
      </x:c>
      <x:c r="K235" s="83" t="str">
        <x:v>Assunzione di scenario</x:v>
      </x:c>
      <x:c r="L235" s="83" t="str">
        <x:v>S09</x:v>
      </x:c>
      <x:c r="M235" s="83" t="str">
        <x:v>Documento_Descrizione_Scenari_2024_8dce2430d44d101.pdf</x:v>
      </x:c>
      <x:c r="N235" s="83" t="n">
        <x:v>61</x:v>
      </x:c>
      <x:c r="O235" s="83" t="n">
        <x:v>59</x:v>
      </x:c>
      <x:c r="P235" s="83" t="str">
        <x:v>Tabella 15</x:v>
      </x:c>
      <x:c r="Q235" s="83" t="str">
        <x:v>Direct table extraction; visual/text verification</x:v>
      </x:c>
      <x:c r="R235" s="83" t="str">
        <x:v>A - Direct</x:v>
      </x:c>
      <x:c r="S235" s="83" t="str">
        <x:v>Zonal p_nom input after mapping to PyPSA carrier.</x:v>
      </x:c>
      <x:c r="T235" s="83" t="str">
        <x:v>Table source labels rows as Distribuito/Utility; standardized as onshore/offshore.</x:v>
      </x:c>
    </x:row>
    <x:row r="236">
      <x:c r="A236" s="83" t="str">
        <x:v>ZCAP-0232</x:v>
      </x:c>
      <x:c r="B236" s="83" t="str">
        <x:v>DE_IT_2040</x:v>
      </x:c>
      <x:c r="C236" s="83" t="n">
        <x:v>2040</x:v>
      </x:c>
      <x:c r="D236" s="83" t="str">
        <x:v>DE-IT 2040</x:v>
      </x:c>
      <x:c r="E236" s="83" t="str">
        <x:v>Sicilia</x:v>
      </x:c>
      <x:c r="F236" s="83" t="str">
        <x:v>Wind</x:v>
      </x:c>
      <x:c r="G236" s="83" t="str">
        <x:v>Eolico offshore</x:v>
      </x:c>
      <x:c r="H236" s="83" t="str">
        <x:v>Utility</x:v>
      </x:c>
      <x:c r="I236" s="143" t="n">
        <x:v>3</x:v>
      </x:c>
      <x:c r="J236" s="83" t="str">
        <x:v>GW</x:v>
      </x:c>
      <x:c r="K236" s="83" t="str">
        <x:v>Assunzione di scenario</x:v>
      </x:c>
      <x:c r="L236" s="83" t="str">
        <x:v>S09</x:v>
      </x:c>
      <x:c r="M236" s="83" t="str">
        <x:v>Documento_Descrizione_Scenari_2024_8dce2430d44d101.pdf</x:v>
      </x:c>
      <x:c r="N236" s="83" t="n">
        <x:v>61</x:v>
      </x:c>
      <x:c r="O236" s="83" t="n">
        <x:v>59</x:v>
      </x:c>
      <x:c r="P236" s="83" t="str">
        <x:v>Tabella 15</x:v>
      </x:c>
      <x:c r="Q236" s="83" t="str">
        <x:v>Direct table extraction; visual/text verification</x:v>
      </x:c>
      <x:c r="R236" s="83" t="str">
        <x:v>A - Direct</x:v>
      </x:c>
      <x:c r="S236" s="83" t="str">
        <x:v>Zonal p_nom input after mapping to PyPSA carrier.</x:v>
      </x:c>
      <x:c r="T236" s="83" t="str">
        <x:v>Table source labels rows as Distribuito/Utility; standardized as onshore/offshore.</x:v>
      </x:c>
    </x:row>
    <x:row r="237">
      <x:c r="A237" s="83" t="str">
        <x:v>ZCAP-0233</x:v>
      </x:c>
      <x:c r="B237" s="83" t="str">
        <x:v>GA_IT_2040</x:v>
      </x:c>
      <x:c r="C237" s="83" t="n">
        <x:v>2040</x:v>
      </x:c>
      <x:c r="D237" s="83" t="str">
        <x:v>GA-IT 2040</x:v>
      </x:c>
      <x:c r="E237" s="83" t="str">
        <x:v>Sicilia</x:v>
      </x:c>
      <x:c r="F237" s="83" t="str">
        <x:v>Wind</x:v>
      </x:c>
      <x:c r="G237" s="83" t="str">
        <x:v>Eolico offshore</x:v>
      </x:c>
      <x:c r="H237" s="83" t="str">
        <x:v>Utility</x:v>
      </x:c>
      <x:c r="I237" s="143" t="n">
        <x:v>2.5</x:v>
      </x:c>
      <x:c r="J237" s="83" t="str">
        <x:v>GW</x:v>
      </x:c>
      <x:c r="K237" s="83" t="str">
        <x:v>Assunzione di scenario</x:v>
      </x:c>
      <x:c r="L237" s="83" t="str">
        <x:v>S09</x:v>
      </x:c>
      <x:c r="M237" s="83" t="str">
        <x:v>Documento_Descrizione_Scenari_2024_8dce2430d44d101.pdf</x:v>
      </x:c>
      <x:c r="N237" s="83" t="n">
        <x:v>61</x:v>
      </x:c>
      <x:c r="O237" s="83" t="n">
        <x:v>59</x:v>
      </x:c>
      <x:c r="P237" s="83" t="str">
        <x:v>Tabella 15</x:v>
      </x:c>
      <x:c r="Q237" s="83" t="str">
        <x:v>Direct table extraction; visual/text verification</x:v>
      </x:c>
      <x:c r="R237" s="83" t="str">
        <x:v>A - Direct</x:v>
      </x:c>
      <x:c r="S237" s="83" t="str">
        <x:v>Zonal p_nom input after mapping to PyPSA carrier.</x:v>
      </x:c>
      <x:c r="T237" s="83" t="str">
        <x:v>Table source labels rows as Distribuito/Utility; standardized as onshore/offshore.</x:v>
      </x:c>
    </x:row>
    <x:row r="238">
      <x:c r="A238" s="83" t="str">
        <x:v>ZCAP-0234</x:v>
      </x:c>
      <x:c r="B238" s="83" t="str">
        <x:v>PNIEC_SLOW_2040</x:v>
      </x:c>
      <x:c r="C238" s="83" t="n">
        <x:v>2040</x:v>
      </x:c>
      <x:c r="D238" s="83" t="str">
        <x:v>PNIEC Slow 2040</x:v>
      </x:c>
      <x:c r="E238" s="83" t="str">
        <x:v>Sicilia</x:v>
      </x:c>
      <x:c r="F238" s="83" t="str">
        <x:v>Wind</x:v>
      </x:c>
      <x:c r="G238" s="83" t="str">
        <x:v>Eolico offshore</x:v>
      </x:c>
      <x:c r="H238" s="83" t="str">
        <x:v>Utility</x:v>
      </x:c>
      <x:c r="I238" s="143" t="n">
        <x:v>2.3</x:v>
      </x:c>
      <x:c r="J238" s="83" t="str">
        <x:v>GW</x:v>
      </x:c>
      <x:c r="K238" s="83" t="str">
        <x:v>Assunzione di scenario</x:v>
      </x:c>
      <x:c r="L238" s="83" t="str">
        <x:v>S09</x:v>
      </x:c>
      <x:c r="M238" s="83" t="str">
        <x:v>Documento_Descrizione_Scenari_2024_8dce2430d44d101.pdf</x:v>
      </x:c>
      <x:c r="N238" s="83" t="n">
        <x:v>61</x:v>
      </x:c>
      <x:c r="O238" s="83" t="n">
        <x:v>59</x:v>
      </x:c>
      <x:c r="P238" s="83" t="str">
        <x:v>Tabella 15</x:v>
      </x:c>
      <x:c r="Q238" s="83" t="str">
        <x:v>Direct table extraction; visual/text verification</x:v>
      </x:c>
      <x:c r="R238" s="83" t="str">
        <x:v>A - Direct</x:v>
      </x:c>
      <x:c r="S238" s="83" t="str">
        <x:v>Zonal p_nom input after mapping to PyPSA carrier.</x:v>
      </x:c>
      <x:c r="T238" s="83" t="str">
        <x:v>Table source labels rows as Distribuito/Utility; standardized as onshore/offshore.</x:v>
      </x:c>
    </x:row>
    <x:row r="239">
      <x:c r="A239" s="83" t="str">
        <x:v>ZCAP-0235</x:v>
      </x:c>
      <x:c r="B239" s="83" t="str">
        <x:v>HIST_2023</x:v>
      </x:c>
      <x:c r="C239" s="83" t="n">
        <x:v>2023</x:v>
      </x:c>
      <x:c r="D239" s="83" t="str">
        <x:v>Storico 2023</x:v>
      </x:c>
      <x:c r="E239" s="83" t="str">
        <x:v>Sardegna</x:v>
      </x:c>
      <x:c r="F239" s="83" t="str">
        <x:v>Wind</x:v>
      </x:c>
      <x:c r="G239" s="83" t="str">
        <x:v>Eolico onshore</x:v>
      </x:c>
      <x:c r="H239" s="83" t="str">
        <x:v>Distribuito</x:v>
      </x:c>
      <x:c r="I239" s="143" t="n">
        <x:v>1.2</x:v>
      </x:c>
      <x:c r="J239" s="83" t="str">
        <x:v>GW</x:v>
      </x:c>
      <x:c r="K239" s="83" t="str">
        <x:v>Dato osservato storico</x:v>
      </x:c>
      <x:c r="L239" s="83" t="str">
        <x:v>S09</x:v>
      </x:c>
      <x:c r="M239" s="83" t="str">
        <x:v>Documento_Descrizione_Scenari_2024_8dce2430d44d101.pdf</x:v>
      </x:c>
      <x:c r="N239" s="83" t="n">
        <x:v>61</x:v>
      </x:c>
      <x:c r="O239" s="83" t="n">
        <x:v>59</x:v>
      </x:c>
      <x:c r="P239" s="83" t="str">
        <x:v>Tabella 15</x:v>
      </x:c>
      <x:c r="Q239" s="83" t="str">
        <x:v>Direct table extraction; visual/text verification</x:v>
      </x:c>
      <x:c r="R239" s="83" t="str">
        <x:v>A - Direct</x:v>
      </x:c>
      <x:c r="S239" s="83" t="str">
        <x:v>Zonal p_nom input after mapping to PyPSA carrier.</x:v>
      </x:c>
      <x:c r="T239" s="83" t="str">
        <x:v>Table source labels rows as Distribuito/Utility; standardized as onshore/offshore.</x:v>
      </x:c>
    </x:row>
    <x:row r="240">
      <x:c r="A240" s="83" t="str">
        <x:v>ZCAP-0236</x:v>
      </x:c>
      <x:c r="B240" s="83" t="str">
        <x:v>PNIEC_POLICY_2030</x:v>
      </x:c>
      <x:c r="C240" s="83" t="n">
        <x:v>2030</x:v>
      </x:c>
      <x:c r="D240" s="83" t="str">
        <x:v>PNIEC Policy 2030</x:v>
      </x:c>
      <x:c r="E240" s="83" t="str">
        <x:v>Sardegna</x:v>
      </x:c>
      <x:c r="F240" s="83" t="str">
        <x:v>Wind</x:v>
      </x:c>
      <x:c r="G240" s="83" t="str">
        <x:v>Eolico onshore</x:v>
      </x:c>
      <x:c r="H240" s="83" t="str">
        <x:v>Distribuito</x:v>
      </x:c>
      <x:c r="I240" s="143" t="n">
        <x:v>2.5</x:v>
      </x:c>
      <x:c r="J240" s="83" t="str">
        <x:v>GW</x:v>
      </x:c>
      <x:c r="K240" s="83" t="str">
        <x:v>Assunzione di scenario</x:v>
      </x:c>
      <x:c r="L240" s="83" t="str">
        <x:v>S09</x:v>
      </x:c>
      <x:c r="M240" s="83" t="str">
        <x:v>Documento_Descrizione_Scenari_2024_8dce2430d44d101.pdf</x:v>
      </x:c>
      <x:c r="N240" s="83" t="n">
        <x:v>61</x:v>
      </x:c>
      <x:c r="O240" s="83" t="n">
        <x:v>59</x:v>
      </x:c>
      <x:c r="P240" s="83" t="str">
        <x:v>Tabella 15</x:v>
      </x:c>
      <x:c r="Q240" s="83" t="str">
        <x:v>Direct table extraction; visual/text verification</x:v>
      </x:c>
      <x:c r="R240" s="83" t="str">
        <x:v>A - Direct</x:v>
      </x:c>
      <x:c r="S240" s="83" t="str">
        <x:v>Zonal p_nom input after mapping to PyPSA carrier.</x:v>
      </x:c>
      <x:c r="T240" s="83" t="str">
        <x:v>Table source labels rows as Distribuito/Utility; standardized as onshore/offshore.</x:v>
      </x:c>
    </x:row>
    <x:row r="241">
      <x:c r="A241" s="83" t="str">
        <x:v>ZCAP-0237</x:v>
      </x:c>
      <x:c r="B241" s="83" t="str">
        <x:v>PNIEC_SLOW_2030</x:v>
      </x:c>
      <x:c r="C241" s="83" t="n">
        <x:v>2030</x:v>
      </x:c>
      <x:c r="D241" s="83" t="str">
        <x:v>PNIEC Slow 2030</x:v>
      </x:c>
      <x:c r="E241" s="83" t="str">
        <x:v>Sardegna</x:v>
      </x:c>
      <x:c r="F241" s="83" t="str">
        <x:v>Wind</x:v>
      </x:c>
      <x:c r="G241" s="83" t="str">
        <x:v>Eolico onshore</x:v>
      </x:c>
      <x:c r="H241" s="83" t="str">
        <x:v>Distribuito</x:v>
      </x:c>
      <x:c r="I241" s="143" t="n">
        <x:v>2.1</x:v>
      </x:c>
      <x:c r="J241" s="83" t="str">
        <x:v>GW</x:v>
      </x:c>
      <x:c r="K241" s="83" t="str">
        <x:v>Assunzione di scenario</x:v>
      </x:c>
      <x:c r="L241" s="83" t="str">
        <x:v>S09</x:v>
      </x:c>
      <x:c r="M241" s="83" t="str">
        <x:v>Documento_Descrizione_Scenari_2024_8dce2430d44d101.pdf</x:v>
      </x:c>
      <x:c r="N241" s="83" t="n">
        <x:v>61</x:v>
      </x:c>
      <x:c r="O241" s="83" t="n">
        <x:v>59</x:v>
      </x:c>
      <x:c r="P241" s="83" t="str">
        <x:v>Tabella 15</x:v>
      </x:c>
      <x:c r="Q241" s="83" t="str">
        <x:v>Direct table extraction; visual/text verification</x:v>
      </x:c>
      <x:c r="R241" s="83" t="str">
        <x:v>A - Direct</x:v>
      </x:c>
      <x:c r="S241" s="83" t="str">
        <x:v>Zonal p_nom input after mapping to PyPSA carrier.</x:v>
      </x:c>
      <x:c r="T241" s="83" t="str">
        <x:v>Table source labels rows as Distribuito/Utility; standardized as onshore/offshore.</x:v>
      </x:c>
    </x:row>
    <x:row r="242">
      <x:c r="A242" s="83" t="str">
        <x:v>ZCAP-0238</x:v>
      </x:c>
      <x:c r="B242" s="83" t="str">
        <x:v>DE_IT_2035</x:v>
      </x:c>
      <x:c r="C242" s="83" t="n">
        <x:v>2035</x:v>
      </x:c>
      <x:c r="D242" s="83" t="str">
        <x:v>DE-IT 2035</x:v>
      </x:c>
      <x:c r="E242" s="83" t="str">
        <x:v>Sardegna</x:v>
      </x:c>
      <x:c r="F242" s="83" t="str">
        <x:v>Wind</x:v>
      </x:c>
      <x:c r="G242" s="83" t="str">
        <x:v>Eolico onshore</x:v>
      </x:c>
      <x:c r="H242" s="83" t="str">
        <x:v>Distribuito</x:v>
      </x:c>
      <x:c r="I242" s="143" t="n">
        <x:v>3</x:v>
      </x:c>
      <x:c r="J242" s="83" t="str">
        <x:v>GW</x:v>
      </x:c>
      <x:c r="K242" s="83" t="str">
        <x:v>Assunzione di scenario</x:v>
      </x:c>
      <x:c r="L242" s="83" t="str">
        <x:v>S09</x:v>
      </x:c>
      <x:c r="M242" s="83" t="str">
        <x:v>Documento_Descrizione_Scenari_2024_8dce2430d44d101.pdf</x:v>
      </x:c>
      <x:c r="N242" s="83" t="n">
        <x:v>61</x:v>
      </x:c>
      <x:c r="O242" s="83" t="n">
        <x:v>59</x:v>
      </x:c>
      <x:c r="P242" s="83" t="str">
        <x:v>Tabella 15</x:v>
      </x:c>
      <x:c r="Q242" s="83" t="str">
        <x:v>Direct table extraction; visual/text verification</x:v>
      </x:c>
      <x:c r="R242" s="83" t="str">
        <x:v>A - Direct</x:v>
      </x:c>
      <x:c r="S242" s="83" t="str">
        <x:v>Zonal p_nom input after mapping to PyPSA carrier.</x:v>
      </x:c>
      <x:c r="T242" s="83" t="str">
        <x:v>Table source labels rows as Distribuito/Utility; standardized as onshore/offshore.</x:v>
      </x:c>
    </x:row>
    <x:row r="243">
      <x:c r="A243" s="83" t="str">
        <x:v>ZCAP-0239</x:v>
      </x:c>
      <x:c r="B243" s="83" t="str">
        <x:v>GA_IT_2035</x:v>
      </x:c>
      <x:c r="C243" s="83" t="n">
        <x:v>2035</x:v>
      </x:c>
      <x:c r="D243" s="83" t="str">
        <x:v>GA-IT 2035</x:v>
      </x:c>
      <x:c r="E243" s="83" t="str">
        <x:v>Sardegna</x:v>
      </x:c>
      <x:c r="F243" s="83" t="str">
        <x:v>Wind</x:v>
      </x:c>
      <x:c r="G243" s="83" t="str">
        <x:v>Eolico onshore</x:v>
      </x:c>
      <x:c r="H243" s="83" t="str">
        <x:v>Distribuito</x:v>
      </x:c>
      <x:c r="I243" s="143" t="n">
        <x:v>2.8</x:v>
      </x:c>
      <x:c r="J243" s="83" t="str">
        <x:v>GW</x:v>
      </x:c>
      <x:c r="K243" s="83" t="str">
        <x:v>Assunzione di scenario</x:v>
      </x:c>
      <x:c r="L243" s="83" t="str">
        <x:v>S09</x:v>
      </x:c>
      <x:c r="M243" s="83" t="str">
        <x:v>Documento_Descrizione_Scenari_2024_8dce2430d44d101.pdf</x:v>
      </x:c>
      <x:c r="N243" s="83" t="n">
        <x:v>61</x:v>
      </x:c>
      <x:c r="O243" s="83" t="n">
        <x:v>59</x:v>
      </x:c>
      <x:c r="P243" s="83" t="str">
        <x:v>Tabella 15</x:v>
      </x:c>
      <x:c r="Q243" s="83" t="str">
        <x:v>Direct table extraction; visual/text verification</x:v>
      </x:c>
      <x:c r="R243" s="83" t="str">
        <x:v>A - Direct</x:v>
      </x:c>
      <x:c r="S243" s="83" t="str">
        <x:v>Zonal p_nom input after mapping to PyPSA carrier.</x:v>
      </x:c>
      <x:c r="T243" s="83" t="str">
        <x:v>Table source labels rows as Distribuito/Utility; standardized as onshore/offshore.</x:v>
      </x:c>
    </x:row>
    <x:row r="244">
      <x:c r="A244" s="83" t="str">
        <x:v>ZCAP-0240</x:v>
      </x:c>
      <x:c r="B244" s="83" t="str">
        <x:v>PNIEC_SLOW_2035</x:v>
      </x:c>
      <x:c r="C244" s="83" t="n">
        <x:v>2035</x:v>
      </x:c>
      <x:c r="D244" s="83" t="str">
        <x:v>PNIEC Slow 2035</x:v>
      </x:c>
      <x:c r="E244" s="83" t="str">
        <x:v>Sardegna</x:v>
      </x:c>
      <x:c r="F244" s="83" t="str">
        <x:v>Wind</x:v>
      </x:c>
      <x:c r="G244" s="83" t="str">
        <x:v>Eolico onshore</x:v>
      </x:c>
      <x:c r="H244" s="83" t="str">
        <x:v>Distribuito</x:v>
      </x:c>
      <x:c r="I244" s="143" t="n">
        <x:v>2.6</x:v>
      </x:c>
      <x:c r="J244" s="83" t="str">
        <x:v>GW</x:v>
      </x:c>
      <x:c r="K244" s="83" t="str">
        <x:v>Assunzione di scenario</x:v>
      </x:c>
      <x:c r="L244" s="83" t="str">
        <x:v>S09</x:v>
      </x:c>
      <x:c r="M244" s="83" t="str">
        <x:v>Documento_Descrizione_Scenari_2024_8dce2430d44d101.pdf</x:v>
      </x:c>
      <x:c r="N244" s="83" t="n">
        <x:v>61</x:v>
      </x:c>
      <x:c r="O244" s="83" t="n">
        <x:v>59</x:v>
      </x:c>
      <x:c r="P244" s="83" t="str">
        <x:v>Tabella 15</x:v>
      </x:c>
      <x:c r="Q244" s="83" t="str">
        <x:v>Direct table extraction; visual/text verification</x:v>
      </x:c>
      <x:c r="R244" s="83" t="str">
        <x:v>A - Direct</x:v>
      </x:c>
      <x:c r="S244" s="83" t="str">
        <x:v>Zonal p_nom input after mapping to PyPSA carrier.</x:v>
      </x:c>
      <x:c r="T244" s="83" t="str">
        <x:v>Table source labels rows as Distribuito/Utility; standardized as onshore/offshore.</x:v>
      </x:c>
    </x:row>
    <x:row r="245">
      <x:c r="A245" s="83" t="str">
        <x:v>ZCAP-0241</x:v>
      </x:c>
      <x:c r="B245" s="83" t="str">
        <x:v>DE_IT_2040</x:v>
      </x:c>
      <x:c r="C245" s="83" t="n">
        <x:v>2040</x:v>
      </x:c>
      <x:c r="D245" s="83" t="str">
        <x:v>DE-IT 2040</x:v>
      </x:c>
      <x:c r="E245" s="83" t="str">
        <x:v>Sardegna</x:v>
      </x:c>
      <x:c r="F245" s="83" t="str">
        <x:v>Wind</x:v>
      </x:c>
      <x:c r="G245" s="83" t="str">
        <x:v>Eolico onshore</x:v>
      </x:c>
      <x:c r="H245" s="83" t="str">
        <x:v>Distribuito</x:v>
      </x:c>
      <x:c r="I245" s="143" t="n">
        <x:v>3.5</x:v>
      </x:c>
      <x:c r="J245" s="83" t="str">
        <x:v>GW</x:v>
      </x:c>
      <x:c r="K245" s="83" t="str">
        <x:v>Assunzione di scenario</x:v>
      </x:c>
      <x:c r="L245" s="83" t="str">
        <x:v>S09</x:v>
      </x:c>
      <x:c r="M245" s="83" t="str">
        <x:v>Documento_Descrizione_Scenari_2024_8dce2430d44d101.pdf</x:v>
      </x:c>
      <x:c r="N245" s="83" t="n">
        <x:v>61</x:v>
      </x:c>
      <x:c r="O245" s="83" t="n">
        <x:v>59</x:v>
      </x:c>
      <x:c r="P245" s="83" t="str">
        <x:v>Tabella 15</x:v>
      </x:c>
      <x:c r="Q245" s="83" t="str">
        <x:v>Direct table extraction; visual/text verification</x:v>
      </x:c>
      <x:c r="R245" s="83" t="str">
        <x:v>A - Direct</x:v>
      </x:c>
      <x:c r="S245" s="83" t="str">
        <x:v>Zonal p_nom input after mapping to PyPSA carrier.</x:v>
      </x:c>
      <x:c r="T245" s="83" t="str">
        <x:v>Table source labels rows as Distribuito/Utility; standardized as onshore/offshore.</x:v>
      </x:c>
    </x:row>
    <x:row r="246">
      <x:c r="A246" s="83" t="str">
        <x:v>ZCAP-0242</x:v>
      </x:c>
      <x:c r="B246" s="83" t="str">
        <x:v>GA_IT_2040</x:v>
      </x:c>
      <x:c r="C246" s="83" t="n">
        <x:v>2040</x:v>
      </x:c>
      <x:c r="D246" s="83" t="str">
        <x:v>GA-IT 2040</x:v>
      </x:c>
      <x:c r="E246" s="83" t="str">
        <x:v>Sardegna</x:v>
      </x:c>
      <x:c r="F246" s="83" t="str">
        <x:v>Wind</x:v>
      </x:c>
      <x:c r="G246" s="83" t="str">
        <x:v>Eolico onshore</x:v>
      </x:c>
      <x:c r="H246" s="83" t="str">
        <x:v>Distribuito</x:v>
      </x:c>
      <x:c r="I246" s="143" t="n">
        <x:v>3.1</x:v>
      </x:c>
      <x:c r="J246" s="83" t="str">
        <x:v>GW</x:v>
      </x:c>
      <x:c r="K246" s="83" t="str">
        <x:v>Assunzione di scenario</x:v>
      </x:c>
      <x:c r="L246" s="83" t="str">
        <x:v>S09</x:v>
      </x:c>
      <x:c r="M246" s="83" t="str">
        <x:v>Documento_Descrizione_Scenari_2024_8dce2430d44d101.pdf</x:v>
      </x:c>
      <x:c r="N246" s="83" t="n">
        <x:v>61</x:v>
      </x:c>
      <x:c r="O246" s="83" t="n">
        <x:v>59</x:v>
      </x:c>
      <x:c r="P246" s="83" t="str">
        <x:v>Tabella 15</x:v>
      </x:c>
      <x:c r="Q246" s="83" t="str">
        <x:v>Direct table extraction; visual/text verification</x:v>
      </x:c>
      <x:c r="R246" s="83" t="str">
        <x:v>A - Direct</x:v>
      </x:c>
      <x:c r="S246" s="83" t="str">
        <x:v>Zonal p_nom input after mapping to PyPSA carrier.</x:v>
      </x:c>
      <x:c r="T246" s="83" t="str">
        <x:v>Table source labels rows as Distribuito/Utility; standardized as onshore/offshore.</x:v>
      </x:c>
    </x:row>
    <x:row r="247">
      <x:c r="A247" s="83" t="str">
        <x:v>ZCAP-0243</x:v>
      </x:c>
      <x:c r="B247" s="83" t="str">
        <x:v>PNIEC_SLOW_2040</x:v>
      </x:c>
      <x:c r="C247" s="83" t="n">
        <x:v>2040</x:v>
      </x:c>
      <x:c r="D247" s="83" t="str">
        <x:v>PNIEC Slow 2040</x:v>
      </x:c>
      <x:c r="E247" s="83" t="str">
        <x:v>Sardegna</x:v>
      </x:c>
      <x:c r="F247" s="83" t="str">
        <x:v>Wind</x:v>
      </x:c>
      <x:c r="G247" s="83" t="str">
        <x:v>Eolico onshore</x:v>
      </x:c>
      <x:c r="H247" s="83" t="str">
        <x:v>Distribuito</x:v>
      </x:c>
      <x:c r="I247" s="143" t="n">
        <x:v>3.1</x:v>
      </x:c>
      <x:c r="J247" s="83" t="str">
        <x:v>GW</x:v>
      </x:c>
      <x:c r="K247" s="83" t="str">
        <x:v>Assunzione di scenario</x:v>
      </x:c>
      <x:c r="L247" s="83" t="str">
        <x:v>S09</x:v>
      </x:c>
      <x:c r="M247" s="83" t="str">
        <x:v>Documento_Descrizione_Scenari_2024_8dce2430d44d101.pdf</x:v>
      </x:c>
      <x:c r="N247" s="83" t="n">
        <x:v>61</x:v>
      </x:c>
      <x:c r="O247" s="83" t="n">
        <x:v>59</x:v>
      </x:c>
      <x:c r="P247" s="83" t="str">
        <x:v>Tabella 15</x:v>
      </x:c>
      <x:c r="Q247" s="83" t="str">
        <x:v>Direct table extraction; visual/text verification</x:v>
      </x:c>
      <x:c r="R247" s="83" t="str">
        <x:v>A - Direct</x:v>
      </x:c>
      <x:c r="S247" s="83" t="str">
        <x:v>Zonal p_nom input after mapping to PyPSA carrier.</x:v>
      </x:c>
      <x:c r="T247" s="83" t="str">
        <x:v>Table source labels rows as Distribuito/Utility; standardized as onshore/offshore.</x:v>
      </x:c>
    </x:row>
    <x:row r="248">
      <x:c r="A248" s="83" t="str">
        <x:v>ZCAP-0244</x:v>
      </x:c>
      <x:c r="B248" s="83" t="str">
        <x:v>HIST_2023</x:v>
      </x:c>
      <x:c r="C248" s="83" t="n">
        <x:v>2023</x:v>
      </x:c>
      <x:c r="D248" s="83" t="str">
        <x:v>Storico 2023</x:v>
      </x:c>
      <x:c r="E248" s="83" t="str">
        <x:v>Sardegna</x:v>
      </x:c>
      <x:c r="F248" s="83" t="str">
        <x:v>Wind</x:v>
      </x:c>
      <x:c r="G248" s="83" t="str">
        <x:v>Eolico offshore</x:v>
      </x:c>
      <x:c r="H248" s="83" t="str">
        <x:v>Utility</x:v>
      </x:c>
      <x:c r="I248" s="143" t="n">
        <x:v>0</x:v>
      </x:c>
      <x:c r="J248" s="83" t="str">
        <x:v>GW</x:v>
      </x:c>
      <x:c r="K248" s="83" t="str">
        <x:v>Dato osservato storico</x:v>
      </x:c>
      <x:c r="L248" s="83" t="str">
        <x:v>S09</x:v>
      </x:c>
      <x:c r="M248" s="83" t="str">
        <x:v>Documento_Descrizione_Scenari_2024_8dce2430d44d101.pdf</x:v>
      </x:c>
      <x:c r="N248" s="83" t="n">
        <x:v>61</x:v>
      </x:c>
      <x:c r="O248" s="83" t="n">
        <x:v>59</x:v>
      </x:c>
      <x:c r="P248" s="83" t="str">
        <x:v>Tabella 15</x:v>
      </x:c>
      <x:c r="Q248" s="83" t="str">
        <x:v>Direct table extraction; visual/text verification</x:v>
      </x:c>
      <x:c r="R248" s="83" t="str">
        <x:v>A - Direct</x:v>
      </x:c>
      <x:c r="S248" s="83" t="str">
        <x:v>Zonal p_nom input after mapping to PyPSA carrier.</x:v>
      </x:c>
      <x:c r="T248" s="83" t="str">
        <x:v>Table source labels rows as Distribuito/Utility; standardized as onshore/offshore.</x:v>
      </x:c>
    </x:row>
    <x:row r="249">
      <x:c r="A249" s="83" t="str">
        <x:v>ZCAP-0245</x:v>
      </x:c>
      <x:c r="B249" s="83" t="str">
        <x:v>PNIEC_POLICY_2030</x:v>
      </x:c>
      <x:c r="C249" s="83" t="n">
        <x:v>2030</x:v>
      </x:c>
      <x:c r="D249" s="83" t="str">
        <x:v>PNIEC Policy 2030</x:v>
      </x:c>
      <x:c r="E249" s="83" t="str">
        <x:v>Sardegna</x:v>
      </x:c>
      <x:c r="F249" s="83" t="str">
        <x:v>Wind</x:v>
      </x:c>
      <x:c r="G249" s="83" t="str">
        <x:v>Eolico offshore</x:v>
      </x:c>
      <x:c r="H249" s="83" t="str">
        <x:v>Utility</x:v>
      </x:c>
      <x:c r="I249" s="143" t="n">
        <x:v>0.6</x:v>
      </x:c>
      <x:c r="J249" s="83" t="str">
        <x:v>GW</x:v>
      </x:c>
      <x:c r="K249" s="83" t="str">
        <x:v>Assunzione di scenario</x:v>
      </x:c>
      <x:c r="L249" s="83" t="str">
        <x:v>S09</x:v>
      </x:c>
      <x:c r="M249" s="83" t="str">
        <x:v>Documento_Descrizione_Scenari_2024_8dce2430d44d101.pdf</x:v>
      </x:c>
      <x:c r="N249" s="83" t="n">
        <x:v>61</x:v>
      </x:c>
      <x:c r="O249" s="83" t="n">
        <x:v>59</x:v>
      </x:c>
      <x:c r="P249" s="83" t="str">
        <x:v>Tabella 15</x:v>
      </x:c>
      <x:c r="Q249" s="83" t="str">
        <x:v>Direct table extraction; visual/text verification</x:v>
      </x:c>
      <x:c r="R249" s="83" t="str">
        <x:v>A - Direct</x:v>
      </x:c>
      <x:c r="S249" s="83" t="str">
        <x:v>Zonal p_nom input after mapping to PyPSA carrier.</x:v>
      </x:c>
      <x:c r="T249" s="83" t="str">
        <x:v>Table source labels rows as Distribuito/Utility; standardized as onshore/offshore.</x:v>
      </x:c>
    </x:row>
    <x:row r="250">
      <x:c r="A250" s="83" t="str">
        <x:v>ZCAP-0246</x:v>
      </x:c>
      <x:c r="B250" s="83" t="str">
        <x:v>PNIEC_SLOW_2030</x:v>
      </x:c>
      <x:c r="C250" s="83" t="n">
        <x:v>2030</x:v>
      </x:c>
      <x:c r="D250" s="83" t="str">
        <x:v>PNIEC Slow 2030</x:v>
      </x:c>
      <x:c r="E250" s="83" t="str">
        <x:v>Sardegna</x:v>
      </x:c>
      <x:c r="F250" s="83" t="str">
        <x:v>Wind</x:v>
      </x:c>
      <x:c r="G250" s="83" t="str">
        <x:v>Eolico offshore</x:v>
      </x:c>
      <x:c r="H250" s="83" t="str">
        <x:v>Utility</x:v>
      </x:c>
      <x:c r="I250" s="143" t="n">
        <x:v>0.3</x:v>
      </x:c>
      <x:c r="J250" s="83" t="str">
        <x:v>GW</x:v>
      </x:c>
      <x:c r="K250" s="83" t="str">
        <x:v>Assunzione di scenario</x:v>
      </x:c>
      <x:c r="L250" s="83" t="str">
        <x:v>S09</x:v>
      </x:c>
      <x:c r="M250" s="83" t="str">
        <x:v>Documento_Descrizione_Scenari_2024_8dce2430d44d101.pdf</x:v>
      </x:c>
      <x:c r="N250" s="83" t="n">
        <x:v>61</x:v>
      </x:c>
      <x:c r="O250" s="83" t="n">
        <x:v>59</x:v>
      </x:c>
      <x:c r="P250" s="83" t="str">
        <x:v>Tabella 15</x:v>
      </x:c>
      <x:c r="Q250" s="83" t="str">
        <x:v>Direct table extraction; visual/text verification</x:v>
      </x:c>
      <x:c r="R250" s="83" t="str">
        <x:v>A - Direct</x:v>
      </x:c>
      <x:c r="S250" s="83" t="str">
        <x:v>Zonal p_nom input after mapping to PyPSA carrier.</x:v>
      </x:c>
      <x:c r="T250" s="83" t="str">
        <x:v>Table source labels rows as Distribuito/Utility; standardized as onshore/offshore.</x:v>
      </x:c>
    </x:row>
    <x:row r="251">
      <x:c r="A251" s="83" t="str">
        <x:v>ZCAP-0247</x:v>
      </x:c>
      <x:c r="B251" s="83" t="str">
        <x:v>DE_IT_2035</x:v>
      </x:c>
      <x:c r="C251" s="83" t="n">
        <x:v>2035</x:v>
      </x:c>
      <x:c r="D251" s="83" t="str">
        <x:v>DE-IT 2035</x:v>
      </x:c>
      <x:c r="E251" s="83" t="str">
        <x:v>Sardegna</x:v>
      </x:c>
      <x:c r="F251" s="83" t="str">
        <x:v>Wind</x:v>
      </x:c>
      <x:c r="G251" s="83" t="str">
        <x:v>Eolico offshore</x:v>
      </x:c>
      <x:c r="H251" s="83" t="str">
        <x:v>Utility</x:v>
      </x:c>
      <x:c r="I251" s="143" t="n">
        <x:v>1.5</x:v>
      </x:c>
      <x:c r="J251" s="83" t="str">
        <x:v>GW</x:v>
      </x:c>
      <x:c r="K251" s="83" t="str">
        <x:v>Assunzione di scenario</x:v>
      </x:c>
      <x:c r="L251" s="83" t="str">
        <x:v>S09</x:v>
      </x:c>
      <x:c r="M251" s="83" t="str">
        <x:v>Documento_Descrizione_Scenari_2024_8dce2430d44d101.pdf</x:v>
      </x:c>
      <x:c r="N251" s="83" t="n">
        <x:v>61</x:v>
      </x:c>
      <x:c r="O251" s="83" t="n">
        <x:v>59</x:v>
      </x:c>
      <x:c r="P251" s="83" t="str">
        <x:v>Tabella 15</x:v>
      </x:c>
      <x:c r="Q251" s="83" t="str">
        <x:v>Direct table extraction; visual/text verification</x:v>
      </x:c>
      <x:c r="R251" s="83" t="str">
        <x:v>A - Direct</x:v>
      </x:c>
      <x:c r="S251" s="83" t="str">
        <x:v>Zonal p_nom input after mapping to PyPSA carrier.</x:v>
      </x:c>
      <x:c r="T251" s="83" t="str">
        <x:v>Table source labels rows as Distribuito/Utility; standardized as onshore/offshore.</x:v>
      </x:c>
    </x:row>
    <x:row r="252">
      <x:c r="A252" s="83" t="str">
        <x:v>ZCAP-0248</x:v>
      </x:c>
      <x:c r="B252" s="83" t="str">
        <x:v>GA_IT_2035</x:v>
      </x:c>
      <x:c r="C252" s="83" t="n">
        <x:v>2035</x:v>
      </x:c>
      <x:c r="D252" s="83" t="str">
        <x:v>GA-IT 2035</x:v>
      </x:c>
      <x:c r="E252" s="83" t="str">
        <x:v>Sardegna</x:v>
      </x:c>
      <x:c r="F252" s="83" t="str">
        <x:v>Wind</x:v>
      </x:c>
      <x:c r="G252" s="83" t="str">
        <x:v>Eolico offshore</x:v>
      </x:c>
      <x:c r="H252" s="83" t="str">
        <x:v>Utility</x:v>
      </x:c>
      <x:c r="I252" s="143" t="n">
        <x:v>1.3</x:v>
      </x:c>
      <x:c r="J252" s="83" t="str">
        <x:v>GW</x:v>
      </x:c>
      <x:c r="K252" s="83" t="str">
        <x:v>Assunzione di scenario</x:v>
      </x:c>
      <x:c r="L252" s="83" t="str">
        <x:v>S09</x:v>
      </x:c>
      <x:c r="M252" s="83" t="str">
        <x:v>Documento_Descrizione_Scenari_2024_8dce2430d44d101.pdf</x:v>
      </x:c>
      <x:c r="N252" s="83" t="n">
        <x:v>61</x:v>
      </x:c>
      <x:c r="O252" s="83" t="n">
        <x:v>59</x:v>
      </x:c>
      <x:c r="P252" s="83" t="str">
        <x:v>Tabella 15</x:v>
      </x:c>
      <x:c r="Q252" s="83" t="str">
        <x:v>Direct table extraction; visual/text verification</x:v>
      </x:c>
      <x:c r="R252" s="83" t="str">
        <x:v>A - Direct</x:v>
      </x:c>
      <x:c r="S252" s="83" t="str">
        <x:v>Zonal p_nom input after mapping to PyPSA carrier.</x:v>
      </x:c>
      <x:c r="T252" s="83" t="str">
        <x:v>Table source labels rows as Distribuito/Utility; standardized as onshore/offshore.</x:v>
      </x:c>
    </x:row>
    <x:row r="253">
      <x:c r="A253" s="83" t="str">
        <x:v>ZCAP-0249</x:v>
      </x:c>
      <x:c r="B253" s="83" t="str">
        <x:v>PNIEC_SLOW_2035</x:v>
      </x:c>
      <x:c r="C253" s="83" t="n">
        <x:v>2035</x:v>
      </x:c>
      <x:c r="D253" s="83" t="str">
        <x:v>PNIEC Slow 2035</x:v>
      </x:c>
      <x:c r="E253" s="83" t="str">
        <x:v>Sardegna</x:v>
      </x:c>
      <x:c r="F253" s="83" t="str">
        <x:v>Wind</x:v>
      </x:c>
      <x:c r="G253" s="83" t="str">
        <x:v>Eolico offshore</x:v>
      </x:c>
      <x:c r="H253" s="83" t="str">
        <x:v>Utility</x:v>
      </x:c>
      <x:c r="I253" s="143" t="n">
        <x:v>0.9</x:v>
      </x:c>
      <x:c r="J253" s="83" t="str">
        <x:v>GW</x:v>
      </x:c>
      <x:c r="K253" s="83" t="str">
        <x:v>Assunzione di scenario</x:v>
      </x:c>
      <x:c r="L253" s="83" t="str">
        <x:v>S09</x:v>
      </x:c>
      <x:c r="M253" s="83" t="str">
        <x:v>Documento_Descrizione_Scenari_2024_8dce2430d44d101.pdf</x:v>
      </x:c>
      <x:c r="N253" s="83" t="n">
        <x:v>61</x:v>
      </x:c>
      <x:c r="O253" s="83" t="n">
        <x:v>59</x:v>
      </x:c>
      <x:c r="P253" s="83" t="str">
        <x:v>Tabella 15</x:v>
      </x:c>
      <x:c r="Q253" s="83" t="str">
        <x:v>Direct table extraction; visual/text verification</x:v>
      </x:c>
      <x:c r="R253" s="83" t="str">
        <x:v>A - Direct</x:v>
      </x:c>
      <x:c r="S253" s="83" t="str">
        <x:v>Zonal p_nom input after mapping to PyPSA carrier.</x:v>
      </x:c>
      <x:c r="T253" s="83" t="str">
        <x:v>Table source labels rows as Distribuito/Utility; standardized as onshore/offshore.</x:v>
      </x:c>
    </x:row>
    <x:row r="254">
      <x:c r="A254" s="83" t="str">
        <x:v>ZCAP-0250</x:v>
      </x:c>
      <x:c r="B254" s="83" t="str">
        <x:v>DE_IT_2040</x:v>
      </x:c>
      <x:c r="C254" s="83" t="n">
        <x:v>2040</x:v>
      </x:c>
      <x:c r="D254" s="83" t="str">
        <x:v>DE-IT 2040</x:v>
      </x:c>
      <x:c r="E254" s="83" t="str">
        <x:v>Sardegna</x:v>
      </x:c>
      <x:c r="F254" s="83" t="str">
        <x:v>Wind</x:v>
      </x:c>
      <x:c r="G254" s="83" t="str">
        <x:v>Eolico offshore</x:v>
      </x:c>
      <x:c r="H254" s="83" t="str">
        <x:v>Utility</x:v>
      </x:c>
      <x:c r="I254" s="143" t="n">
        <x:v>3</x:v>
      </x:c>
      <x:c r="J254" s="83" t="str">
        <x:v>GW</x:v>
      </x:c>
      <x:c r="K254" s="83" t="str">
        <x:v>Assunzione di scenario</x:v>
      </x:c>
      <x:c r="L254" s="83" t="str">
        <x:v>S09</x:v>
      </x:c>
      <x:c r="M254" s="83" t="str">
        <x:v>Documento_Descrizione_Scenari_2024_8dce2430d44d101.pdf</x:v>
      </x:c>
      <x:c r="N254" s="83" t="n">
        <x:v>61</x:v>
      </x:c>
      <x:c r="O254" s="83" t="n">
        <x:v>59</x:v>
      </x:c>
      <x:c r="P254" s="83" t="str">
        <x:v>Tabella 15</x:v>
      </x:c>
      <x:c r="Q254" s="83" t="str">
        <x:v>Direct table extraction; visual/text verification</x:v>
      </x:c>
      <x:c r="R254" s="83" t="str">
        <x:v>A - Direct</x:v>
      </x:c>
      <x:c r="S254" s="83" t="str">
        <x:v>Zonal p_nom input after mapping to PyPSA carrier.</x:v>
      </x:c>
      <x:c r="T254" s="83" t="str">
        <x:v>Table source labels rows as Distribuito/Utility; standardized as onshore/offshore.</x:v>
      </x:c>
    </x:row>
    <x:row r="255">
      <x:c r="A255" s="83" t="str">
        <x:v>ZCAP-0251</x:v>
      </x:c>
      <x:c r="B255" s="83" t="str">
        <x:v>GA_IT_2040</x:v>
      </x:c>
      <x:c r="C255" s="83" t="n">
        <x:v>2040</x:v>
      </x:c>
      <x:c r="D255" s="83" t="str">
        <x:v>GA-IT 2040</x:v>
      </x:c>
      <x:c r="E255" s="83" t="str">
        <x:v>Sardegna</x:v>
      </x:c>
      <x:c r="F255" s="83" t="str">
        <x:v>Wind</x:v>
      </x:c>
      <x:c r="G255" s="83" t="str">
        <x:v>Eolico offshore</x:v>
      </x:c>
      <x:c r="H255" s="83" t="str">
        <x:v>Utility</x:v>
      </x:c>
      <x:c r="I255" s="143" t="n">
        <x:v>2.5</x:v>
      </x:c>
      <x:c r="J255" s="83" t="str">
        <x:v>GW</x:v>
      </x:c>
      <x:c r="K255" s="83" t="str">
        <x:v>Assunzione di scenario</x:v>
      </x:c>
      <x:c r="L255" s="83" t="str">
        <x:v>S09</x:v>
      </x:c>
      <x:c r="M255" s="83" t="str">
        <x:v>Documento_Descrizione_Scenari_2024_8dce2430d44d101.pdf</x:v>
      </x:c>
      <x:c r="N255" s="83" t="n">
        <x:v>61</x:v>
      </x:c>
      <x:c r="O255" s="83" t="n">
        <x:v>59</x:v>
      </x:c>
      <x:c r="P255" s="83" t="str">
        <x:v>Tabella 15</x:v>
      </x:c>
      <x:c r="Q255" s="83" t="str">
        <x:v>Direct table extraction; visual/text verification</x:v>
      </x:c>
      <x:c r="R255" s="83" t="str">
        <x:v>A - Direct</x:v>
      </x:c>
      <x:c r="S255" s="83" t="str">
        <x:v>Zonal p_nom input after mapping to PyPSA carrier.</x:v>
      </x:c>
      <x:c r="T255" s="83" t="str">
        <x:v>Table source labels rows as Distribuito/Utility; standardized as onshore/offshore.</x:v>
      </x:c>
    </x:row>
    <x:row r="256">
      <x:c r="A256" s="83" t="str">
        <x:v>ZCAP-0252</x:v>
      </x:c>
      <x:c r="B256" s="83" t="str">
        <x:v>PNIEC_SLOW_2040</x:v>
      </x:c>
      <x:c r="C256" s="83" t="n">
        <x:v>2040</x:v>
      </x:c>
      <x:c r="D256" s="83" t="str">
        <x:v>PNIEC Slow 2040</x:v>
      </x:c>
      <x:c r="E256" s="83" t="str">
        <x:v>Sardegna</x:v>
      </x:c>
      <x:c r="F256" s="83" t="str">
        <x:v>Wind</x:v>
      </x:c>
      <x:c r="G256" s="83" t="str">
        <x:v>Eolico offshore</x:v>
      </x:c>
      <x:c r="H256" s="83" t="str">
        <x:v>Utility</x:v>
      </x:c>
      <x:c r="I256" s="143" t="n">
        <x:v>2</x:v>
      </x:c>
      <x:c r="J256" s="83" t="str">
        <x:v>GW</x:v>
      </x:c>
      <x:c r="K256" s="83" t="str">
        <x:v>Assunzione di scenario</x:v>
      </x:c>
      <x:c r="L256" s="83" t="str">
        <x:v>S09</x:v>
      </x:c>
      <x:c r="M256" s="83" t="str">
        <x:v>Documento_Descrizione_Scenari_2024_8dce2430d44d101.pdf</x:v>
      </x:c>
      <x:c r="N256" s="83" t="n">
        <x:v>61</x:v>
      </x:c>
      <x:c r="O256" s="83" t="n">
        <x:v>59</x:v>
      </x:c>
      <x:c r="P256" s="83" t="str">
        <x:v>Tabella 15</x:v>
      </x:c>
      <x:c r="Q256" s="83" t="str">
        <x:v>Direct table extraction; visual/text verification</x:v>
      </x:c>
      <x:c r="R256" s="83" t="str">
        <x:v>A - Direct</x:v>
      </x:c>
      <x:c r="S256" s="83" t="str">
        <x:v>Zonal p_nom input after mapping to PyPSA carrier.</x:v>
      </x:c>
      <x:c r="T256" s="83" t="str">
        <x:v>Table source labels rows as Distribuito/Utility; standardized as onshore/offshore.</x:v>
      </x:c>
    </x:row>
  </x:sheetData>
  <x:mergeCells>
    <x:mergeCell ref="A1:T1"/>
    <x:mergeCell ref="A2:T2"/>
  </x:mergeCells>
  <x:conditionalFormatting sqref="R5:R256">
    <x:cfRule type="expression" dxfId="33" priority="1">
      <x:formula>LEFT(R5,1)="A"</x:formula>
    </x:cfRule>
    <x:cfRule type="expression" dxfId="34" priority="2">
      <x:formula>OR(LEFT(R5,1)="D",LEFT(R5,1)="E")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568c01a2c44f32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0" hidden="0" customWidth="1"/>
    <x:col min="4" max="4" width="28" hidden="0" customWidth="1"/>
    <x:col min="5" max="5" width="34" hidden="0" customWidth="1"/>
    <x:col min="6" max="6" width="14" hidden="0" customWidth="1"/>
    <x:col min="7" max="7" width="10" hidden="0" customWidth="1"/>
    <x:col min="8" max="8" width="14" hidden="0" customWidth="1"/>
    <x:col min="9" max="9" width="32" hidden="0" customWidth="1"/>
    <x:col min="10" max="10" width="14" hidden="0" customWidth="1"/>
    <x:col min="11" max="11" width="44" hidden="0" customWidth="1"/>
    <x:col min="12" max="12" width="12" hidden="0" customWidth="1"/>
    <x:col min="13" max="13" width="16" hidden="0" customWidth="1"/>
    <x:col min="14" max="14" width="20" hidden="0" customWidth="1"/>
    <x:col min="15" max="15" width="32" hidden="0" customWidth="1"/>
    <x:col min="16" max="16" width="18" hidden="0" customWidth="1"/>
    <x:col min="17" max="17" width="50" hidden="0" customWidth="1"/>
  </x:cols>
  <x:sheetData>
    <x:row r="1" ht="34" customHeight="1">
      <x:c r="A1" s="134" t="str">
        <x:v>Bilanci elettrici annuali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  <x:c r="L1" s="134"/>
      <x:c r="M1" s="134"/>
      <x:c r="N1" s="134"/>
      <x:c r="O1" s="134"/>
      <x:c r="P1" s="134"/>
      <x:c r="Q1" s="134"/>
    </x:row>
    <x:row r="2" ht="30" customHeight="1">
      <x:c r="A2" s="138" t="str">
        <x:v>195 righe; DDS 2023–2040 e Terna 2050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</x:row>
    <x:row r="4" ht="38" customHeight="1">
      <x:c r="A4" s="142" t="str">
        <x:v>Record ID</x:v>
      </x:c>
      <x:c r="B4" s="142" t="str">
        <x:v>Scenario ID</x:v>
      </x:c>
      <x:c r="C4" s="142" t="str">
        <x:v>Anno</x:v>
      </x:c>
      <x:c r="D4" s="142" t="str">
        <x:v>Scenario</x:v>
      </x:c>
      <x:c r="E4" s="142" t="str">
        <x:v>Voce</x:v>
      </x:c>
      <x:c r="F4" s="142" t="str">
        <x:v>Valore</x:v>
      </x:c>
      <x:c r="G4" s="142" t="str">
        <x:v>Unità</x:v>
      </x:c>
      <x:c r="H4" s="142" t="str">
        <x:v>Geografia</x:v>
      </x:c>
      <x:c r="I4" s="142" t="str">
        <x:v>Tipo evidenza</x:v>
      </x:c>
      <x:c r="J4" s="142" t="str">
        <x:v>Fonte</x:v>
      </x:c>
      <x:c r="K4" s="142" t="str">
        <x:v>File fonte</x:v>
      </x:c>
      <x:c r="L4" s="142" t="str">
        <x:v>Pagina PDF</x:v>
      </x:c>
      <x:c r="M4" s="142" t="str">
        <x:v>Pagina stampata</x:v>
      </x:c>
      <x:c r="N4" s="142" t="str">
        <x:v>Tabella/Figura</x:v>
      </x:c>
      <x:c r="O4" s="142" t="str">
        <x:v>Metodo</x:v>
      </x:c>
      <x:c r="P4" s="142" t="str">
        <x:v>Affidabilità</x:v>
      </x:c>
      <x:c r="Q4" s="142" t="str">
        <x:v>Note</x:v>
      </x:c>
    </x:row>
    <x:row r="5">
      <x:c r="A5" s="83" t="str">
        <x:v>BAL-0001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Fabbisogno elettrico totale</x:v>
      </x:c>
      <x:c r="F5" s="143" t="n">
        <x:v>306</x:v>
      </x:c>
      <x:c r="G5" s="83" t="str">
        <x:v>TWh</x:v>
      </x:c>
      <x:c r="H5" s="83" t="str">
        <x:v>Italia</x:v>
      </x:c>
      <x:c r="I5" s="83" t="str">
        <x:v>Dato osservato storico</x:v>
      </x:c>
      <x:c r="J5" s="83" t="str">
        <x:v>S09</x:v>
      </x:c>
      <x:c r="K5" s="83" t="str">
        <x:v>Documento_Descrizione_Scenari_2024_8dce2430d44d101.pdf</x:v>
      </x:c>
      <x:c r="L5" s="83" t="n">
        <x:v>66</x:v>
      </x:c>
      <x:c r="M5" s="83" t="n">
        <x:v>64</x:v>
      </x:c>
      <x:c r="N5" s="83" t="str">
        <x:v>Tabella 18</x:v>
      </x:c>
      <x:c r="O5" s="83" t="str">
        <x:v>Direct table extraction</x:v>
      </x:c>
      <x:c r="P5" s="83" t="str">
        <x:v>A - Direct</x:v>
      </x:c>
      <x:c r="Q5" s="83" t="str"/>
    </x:row>
    <x:row r="6">
      <x:c r="A6" s="83" t="str">
        <x:v>BAL-0002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Fabbisogno elettrico totale</x:v>
      </x:c>
      <x:c r="F6" s="143" t="n">
        <x:v>362</x:v>
      </x:c>
      <x:c r="G6" s="83" t="str">
        <x:v>TWh</x:v>
      </x:c>
      <x:c r="H6" s="83" t="str">
        <x:v>Italia</x:v>
      </x:c>
      <x:c r="I6" s="83" t="str">
        <x:v>Risultato di modello della fonte</x:v>
      </x:c>
      <x:c r="J6" s="83" t="str">
        <x:v>S09</x:v>
      </x:c>
      <x:c r="K6" s="83" t="str">
        <x:v>Documento_Descrizione_Scenari_2024_8dce2430d44d101.pdf</x:v>
      </x:c>
      <x:c r="L6" s="83" t="n">
        <x:v>66</x:v>
      </x:c>
      <x:c r="M6" s="83" t="n">
        <x:v>64</x:v>
      </x:c>
      <x:c r="N6" s="83" t="str">
        <x:v>Tabella 18</x:v>
      </x:c>
      <x:c r="O6" s="83" t="str">
        <x:v>Direct table extraction</x:v>
      </x:c>
      <x:c r="P6" s="83" t="str">
        <x:v>A - Direct</x:v>
      </x:c>
      <x:c r="Q6" s="83" t="str"/>
    </x:row>
    <x:row r="7">
      <x:c r="A7" s="83" t="str">
        <x:v>BAL-0003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Fabbisogno elettrico totale</x:v>
      </x:c>
      <x:c r="F7" s="143" t="n">
        <x:v>347</x:v>
      </x:c>
      <x:c r="G7" s="83" t="str">
        <x:v>TWh</x:v>
      </x:c>
      <x:c r="H7" s="83" t="str">
        <x:v>Italia</x:v>
      </x:c>
      <x:c r="I7" s="83" t="str">
        <x:v>Risultato di modello della fonte</x:v>
      </x:c>
      <x:c r="J7" s="83" t="str">
        <x:v>S09</x:v>
      </x:c>
      <x:c r="K7" s="83" t="str">
        <x:v>Documento_Descrizione_Scenari_2024_8dce2430d44d101.pdf</x:v>
      </x:c>
      <x:c r="L7" s="83" t="n">
        <x:v>66</x:v>
      </x:c>
      <x:c r="M7" s="83" t="n">
        <x:v>64</x:v>
      </x:c>
      <x:c r="N7" s="83" t="str">
        <x:v>Tabella 18</x:v>
      </x:c>
      <x:c r="O7" s="83" t="str">
        <x:v>Direct table extraction</x:v>
      </x:c>
      <x:c r="P7" s="83" t="str">
        <x:v>A - Direct</x:v>
      </x:c>
      <x:c r="Q7" s="83" t="str"/>
    </x:row>
    <x:row r="8">
      <x:c r="A8" s="83" t="str">
        <x:v>BAL-0004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Fabbisogno elettrico totale</x:v>
      </x:c>
      <x:c r="F8" s="143" t="n">
        <x:v>397</x:v>
      </x:c>
      <x:c r="G8" s="83" t="str">
        <x:v>TWh</x:v>
      </x:c>
      <x:c r="H8" s="83" t="str">
        <x:v>Italia</x:v>
      </x:c>
      <x:c r="I8" s="83" t="str">
        <x:v>Risultato di modello della fonte</x:v>
      </x:c>
      <x:c r="J8" s="83" t="str">
        <x:v>S09</x:v>
      </x:c>
      <x:c r="K8" s="83" t="str">
        <x:v>Documento_Descrizione_Scenari_2024_8dce2430d44d101.pdf</x:v>
      </x:c>
      <x:c r="L8" s="83" t="n">
        <x:v>66</x:v>
      </x:c>
      <x:c r="M8" s="83" t="n">
        <x:v>64</x:v>
      </x:c>
      <x:c r="N8" s="83" t="str">
        <x:v>Tabella 18</x:v>
      </x:c>
      <x:c r="O8" s="83" t="str">
        <x:v>Direct table extraction</x:v>
      </x:c>
      <x:c r="P8" s="83" t="str">
        <x:v>A - Direct</x:v>
      </x:c>
      <x:c r="Q8" s="83" t="str"/>
    </x:row>
    <x:row r="9">
      <x:c r="A9" s="83" t="str">
        <x:v>BAL-0005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Fabbisogno elettrico totale</x:v>
      </x:c>
      <x:c r="F9" s="143" t="n">
        <x:v>385</x:v>
      </x:c>
      <x:c r="G9" s="83" t="str">
        <x:v>TWh</x:v>
      </x:c>
      <x:c r="H9" s="83" t="str">
        <x:v>Italia</x:v>
      </x:c>
      <x:c r="I9" s="83" t="str">
        <x:v>Risultato di modello della fonte</x:v>
      </x:c>
      <x:c r="J9" s="83" t="str">
        <x:v>S09</x:v>
      </x:c>
      <x:c r="K9" s="83" t="str">
        <x:v>Documento_Descrizione_Scenari_2024_8dce2430d44d101.pdf</x:v>
      </x:c>
      <x:c r="L9" s="83" t="n">
        <x:v>66</x:v>
      </x:c>
      <x:c r="M9" s="83" t="n">
        <x:v>64</x:v>
      </x:c>
      <x:c r="N9" s="83" t="str">
        <x:v>Tabella 18</x:v>
      </x:c>
      <x:c r="O9" s="83" t="str">
        <x:v>Direct table extraction</x:v>
      </x:c>
      <x:c r="P9" s="83" t="str">
        <x:v>A - Direct</x:v>
      </x:c>
      <x:c r="Q9" s="83" t="str"/>
    </x:row>
    <x:row r="10">
      <x:c r="A10" s="83" t="str">
        <x:v>BAL-0006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Fabbisogno elettrico totale</x:v>
      </x:c>
      <x:c r="F10" s="143" t="n">
        <x:v>376</x:v>
      </x:c>
      <x:c r="G10" s="83" t="str">
        <x:v>TWh</x:v>
      </x:c>
      <x:c r="H10" s="83" t="str">
        <x:v>Italia</x:v>
      </x:c>
      <x:c r="I10" s="83" t="str">
        <x:v>Risultato di modello della fonte</x:v>
      </x:c>
      <x:c r="J10" s="83" t="str">
        <x:v>S09</x:v>
      </x:c>
      <x:c r="K10" s="83" t="str">
        <x:v>Documento_Descrizione_Scenari_2024_8dce2430d44d101.pdf</x:v>
      </x:c>
      <x:c r="L10" s="83" t="n">
        <x:v>66</x:v>
      </x:c>
      <x:c r="M10" s="83" t="n">
        <x:v>64</x:v>
      </x:c>
      <x:c r="N10" s="83" t="str">
        <x:v>Tabella 18</x:v>
      </x:c>
      <x:c r="O10" s="83" t="str">
        <x:v>Direct table extraction</x:v>
      </x:c>
      <x:c r="P10" s="83" t="str">
        <x:v>A - Direct</x:v>
      </x:c>
      <x:c r="Q10" s="83" t="str"/>
    </x:row>
    <x:row r="11">
      <x:c r="A11" s="83" t="str">
        <x:v>BAL-0007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Fabbisogno elettrico totale</x:v>
      </x:c>
      <x:c r="F11" s="143" t="n">
        <x:v>439</x:v>
      </x:c>
      <x:c r="G11" s="83" t="str">
        <x:v>TWh</x:v>
      </x:c>
      <x:c r="H11" s="83" t="str">
        <x:v>Italia</x:v>
      </x:c>
      <x:c r="I11" s="83" t="str">
        <x:v>Risultato di modello della fonte</x:v>
      </x:c>
      <x:c r="J11" s="83" t="str">
        <x:v>S09</x:v>
      </x:c>
      <x:c r="K11" s="83" t="str">
        <x:v>Documento_Descrizione_Scenari_2024_8dce2430d44d101.pdf</x:v>
      </x:c>
      <x:c r="L11" s="83" t="n">
        <x:v>66</x:v>
      </x:c>
      <x:c r="M11" s="83" t="n">
        <x:v>64</x:v>
      </x:c>
      <x:c r="N11" s="83" t="str">
        <x:v>Tabella 18</x:v>
      </x:c>
      <x:c r="O11" s="83" t="str">
        <x:v>Direct table extraction</x:v>
      </x:c>
      <x:c r="P11" s="83" t="str">
        <x:v>A - Direct</x:v>
      </x:c>
      <x:c r="Q11" s="83" t="str"/>
    </x:row>
    <x:row r="12">
      <x:c r="A12" s="83" t="str">
        <x:v>BAL-0008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Fabbisogno elettrico totale</x:v>
      </x:c>
      <x:c r="F12" s="143" t="n">
        <x:v>415</x:v>
      </x:c>
      <x:c r="G12" s="83" t="str">
        <x:v>TWh</x:v>
      </x:c>
      <x:c r="H12" s="83" t="str">
        <x:v>Italia</x:v>
      </x:c>
      <x:c r="I12" s="83" t="str">
        <x:v>Risultato di modello della fonte</x:v>
      </x:c>
      <x:c r="J12" s="83" t="str">
        <x:v>S09</x:v>
      </x:c>
      <x:c r="K12" s="83" t="str">
        <x:v>Documento_Descrizione_Scenari_2024_8dce2430d44d101.pdf</x:v>
      </x:c>
      <x:c r="L12" s="83" t="n">
        <x:v>66</x:v>
      </x:c>
      <x:c r="M12" s="83" t="n">
        <x:v>64</x:v>
      </x:c>
      <x:c r="N12" s="83" t="str">
        <x:v>Tabella 18</x:v>
      </x:c>
      <x:c r="O12" s="83" t="str">
        <x:v>Direct table extraction</x:v>
      </x:c>
      <x:c r="P12" s="83" t="str">
        <x:v>A - Direct</x:v>
      </x:c>
      <x:c r="Q12" s="83" t="str"/>
    </x:row>
    <x:row r="13">
      <x:c r="A13" s="83" t="str">
        <x:v>BAL-0009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Fabbisogno elettrico totale</x:v>
      </x:c>
      <x:c r="F13" s="143" t="n">
        <x:v>404</x:v>
      </x:c>
      <x:c r="G13" s="83" t="str">
        <x:v>TWh</x:v>
      </x:c>
      <x:c r="H13" s="83" t="str">
        <x:v>Italia</x:v>
      </x:c>
      <x:c r="I13" s="83" t="str">
        <x:v>Risultato di modello della fonte</x:v>
      </x:c>
      <x:c r="J13" s="83" t="str">
        <x:v>S09</x:v>
      </x:c>
      <x:c r="K13" s="83" t="str">
        <x:v>Documento_Descrizione_Scenari_2024_8dce2430d44d101.pdf</x:v>
      </x:c>
      <x:c r="L13" s="83" t="n">
        <x:v>66</x:v>
      </x:c>
      <x:c r="M13" s="83" t="n">
        <x:v>64</x:v>
      </x:c>
      <x:c r="N13" s="83" t="str">
        <x:v>Tabella 18</x:v>
      </x:c>
      <x:c r="O13" s="83" t="str">
        <x:v>Direct table extraction</x:v>
      </x:c>
      <x:c r="P13" s="83" t="str">
        <x:v>A - Direct</x:v>
      </x:c>
      <x:c r="Q13" s="83" t="str"/>
    </x:row>
    <x:row r="14">
      <x:c r="A14" s="83" t="str">
        <x:v>BAL-0010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Fabbisogno elettrico puro</x:v>
      </x:c>
      <x:c r="F14" s="143" t="n">
        <x:v>306</x:v>
      </x:c>
      <x:c r="G14" s="83" t="str">
        <x:v>TWh</x:v>
      </x:c>
      <x:c r="H14" s="83" t="str">
        <x:v>Italia</x:v>
      </x:c>
      <x:c r="I14" s="83" t="str">
        <x:v>Dato osservato storico</x:v>
      </x:c>
      <x:c r="J14" s="83" t="str">
        <x:v>S09</x:v>
      </x:c>
      <x:c r="K14" s="83" t="str">
        <x:v>Documento_Descrizione_Scenari_2024_8dce2430d44d101.pdf</x:v>
      </x:c>
      <x:c r="L14" s="83" t="n">
        <x:v>66</x:v>
      </x:c>
      <x:c r="M14" s="83" t="n">
        <x:v>64</x:v>
      </x:c>
      <x:c r="N14" s="83" t="str">
        <x:v>Tabella 18</x:v>
      </x:c>
      <x:c r="O14" s="83" t="str">
        <x:v>Direct table extraction</x:v>
      </x:c>
      <x:c r="P14" s="83" t="str">
        <x:v>A - Direct</x:v>
      </x:c>
      <x:c r="Q14" s="83" t="str"/>
    </x:row>
    <x:row r="15">
      <x:c r="A15" s="83" t="str">
        <x:v>BAL-0011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Fabbisogno elettrico puro</x:v>
      </x:c>
      <x:c r="F15" s="143" t="n">
        <x:v>352</x:v>
      </x:c>
      <x:c r="G15" s="83" t="str">
        <x:v>TWh</x:v>
      </x:c>
      <x:c r="H15" s="83" t="str">
        <x:v>Italia</x:v>
      </x:c>
      <x:c r="I15" s="83" t="str">
        <x:v>Risultato di modello della fonte</x:v>
      </x:c>
      <x:c r="J15" s="83" t="str">
        <x:v>S09</x:v>
      </x:c>
      <x:c r="K15" s="83" t="str">
        <x:v>Documento_Descrizione_Scenari_2024_8dce2430d44d101.pdf</x:v>
      </x:c>
      <x:c r="L15" s="83" t="n">
        <x:v>66</x:v>
      </x:c>
      <x:c r="M15" s="83" t="n">
        <x:v>64</x:v>
      </x:c>
      <x:c r="N15" s="83" t="str">
        <x:v>Tabella 18</x:v>
      </x:c>
      <x:c r="O15" s="83" t="str">
        <x:v>Direct table extraction</x:v>
      </x:c>
      <x:c r="P15" s="83" t="str">
        <x:v>A - Direct</x:v>
      </x:c>
      <x:c r="Q15" s="83" t="str"/>
    </x:row>
    <x:row r="16">
      <x:c r="A16" s="83" t="str">
        <x:v>BAL-0012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Fabbisogno elettrico puro</x:v>
      </x:c>
      <x:c r="F16" s="143" t="n">
        <x:v>341</x:v>
      </x:c>
      <x:c r="G16" s="83" t="str">
        <x:v>TWh</x:v>
      </x:c>
      <x:c r="H16" s="83" t="str">
        <x:v>Italia</x:v>
      </x:c>
      <x:c r="I16" s="83" t="str">
        <x:v>Risultato di modello della fonte</x:v>
      </x:c>
      <x:c r="J16" s="83" t="str">
        <x:v>S09</x:v>
      </x:c>
      <x:c r="K16" s="83" t="str">
        <x:v>Documento_Descrizione_Scenari_2024_8dce2430d44d101.pdf</x:v>
      </x:c>
      <x:c r="L16" s="83" t="n">
        <x:v>66</x:v>
      </x:c>
      <x:c r="M16" s="83" t="n">
        <x:v>64</x:v>
      </x:c>
      <x:c r="N16" s="83" t="str">
        <x:v>Tabella 18</x:v>
      </x:c>
      <x:c r="O16" s="83" t="str">
        <x:v>Direct table extraction</x:v>
      </x:c>
      <x:c r="P16" s="83" t="str">
        <x:v>A - Direct</x:v>
      </x:c>
      <x:c r="Q16" s="83" t="str"/>
    </x:row>
    <x:row r="17">
      <x:c r="A17" s="83" t="str">
        <x:v>BAL-0013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Fabbisogno elettrico puro</x:v>
      </x:c>
      <x:c r="F17" s="143" t="n">
        <x:v>378</x:v>
      </x:c>
      <x:c r="G17" s="83" t="str">
        <x:v>TWh</x:v>
      </x:c>
      <x:c r="H17" s="83" t="str">
        <x:v>Italia</x:v>
      </x:c>
      <x:c r="I17" s="83" t="str">
        <x:v>Risultato di modello della fonte</x:v>
      </x:c>
      <x:c r="J17" s="83" t="str">
        <x:v>S09</x:v>
      </x:c>
      <x:c r="K17" s="83" t="str">
        <x:v>Documento_Descrizione_Scenari_2024_8dce2430d44d101.pdf</x:v>
      </x:c>
      <x:c r="L17" s="83" t="n">
        <x:v>66</x:v>
      </x:c>
      <x:c r="M17" s="83" t="n">
        <x:v>64</x:v>
      </x:c>
      <x:c r="N17" s="83" t="str">
        <x:v>Tabella 18</x:v>
      </x:c>
      <x:c r="O17" s="83" t="str">
        <x:v>Direct table extraction</x:v>
      </x:c>
      <x:c r="P17" s="83" t="str">
        <x:v>A - Direct</x:v>
      </x:c>
      <x:c r="Q17" s="83" t="str"/>
    </x:row>
    <x:row r="18">
      <x:c r="A18" s="83" t="str">
        <x:v>BAL-0014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Fabbisogno elettrico puro</x:v>
      </x:c>
      <x:c r="F18" s="143" t="n">
        <x:v>366</x:v>
      </x:c>
      <x:c r="G18" s="83" t="str">
        <x:v>TWh</x:v>
      </x:c>
      <x:c r="H18" s="83" t="str">
        <x:v>Italia</x:v>
      </x:c>
      <x:c r="I18" s="83" t="str">
        <x:v>Risultato di modello della fonte</x:v>
      </x:c>
      <x:c r="J18" s="83" t="str">
        <x:v>S09</x:v>
      </x:c>
      <x:c r="K18" s="83" t="str">
        <x:v>Documento_Descrizione_Scenari_2024_8dce2430d44d101.pdf</x:v>
      </x:c>
      <x:c r="L18" s="83" t="n">
        <x:v>66</x:v>
      </x:c>
      <x:c r="M18" s="83" t="n">
        <x:v>64</x:v>
      </x:c>
      <x:c r="N18" s="83" t="str">
        <x:v>Tabella 18</x:v>
      </x:c>
      <x:c r="O18" s="83" t="str">
        <x:v>Direct table extraction</x:v>
      </x:c>
      <x:c r="P18" s="83" t="str">
        <x:v>A - Direct</x:v>
      </x:c>
      <x:c r="Q18" s="83" t="str"/>
    </x:row>
    <x:row r="19">
      <x:c r="A19" s="83" t="str">
        <x:v>BAL-0015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Fabbisogno elettrico puro</x:v>
      </x:c>
      <x:c r="F19" s="143" t="n">
        <x:v>363</x:v>
      </x:c>
      <x:c r="G19" s="83" t="str">
        <x:v>TWh</x:v>
      </x:c>
      <x:c r="H19" s="83" t="str">
        <x:v>Italia</x:v>
      </x:c>
      <x:c r="I19" s="83" t="str">
        <x:v>Risultato di modello della fonte</x:v>
      </x:c>
      <x:c r="J19" s="83" t="str">
        <x:v>S09</x:v>
      </x:c>
      <x:c r="K19" s="83" t="str">
        <x:v>Documento_Descrizione_Scenari_2024_8dce2430d44d101.pdf</x:v>
      </x:c>
      <x:c r="L19" s="83" t="n">
        <x:v>66</x:v>
      </x:c>
      <x:c r="M19" s="83" t="n">
        <x:v>64</x:v>
      </x:c>
      <x:c r="N19" s="83" t="str">
        <x:v>Tabella 18</x:v>
      </x:c>
      <x:c r="O19" s="83" t="str">
        <x:v>Direct table extraction</x:v>
      </x:c>
      <x:c r="P19" s="83" t="str">
        <x:v>A - Direct</x:v>
      </x:c>
      <x:c r="Q19" s="83" t="str"/>
    </x:row>
    <x:row r="20">
      <x:c r="A20" s="83" t="str">
        <x:v>BAL-0016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Fabbisogno elettrico puro</x:v>
      </x:c>
      <x:c r="F20" s="143" t="n">
        <x:v>412</x:v>
      </x:c>
      <x:c r="G20" s="83" t="str">
        <x:v>TWh</x:v>
      </x:c>
      <x:c r="H20" s="83" t="str">
        <x:v>Italia</x:v>
      </x:c>
      <x:c r="I20" s="83" t="str">
        <x:v>Risultato di modello della fonte</x:v>
      </x:c>
      <x:c r="J20" s="83" t="str">
        <x:v>S09</x:v>
      </x:c>
      <x:c r="K20" s="83" t="str">
        <x:v>Documento_Descrizione_Scenari_2024_8dce2430d44d101.pdf</x:v>
      </x:c>
      <x:c r="L20" s="83" t="n">
        <x:v>66</x:v>
      </x:c>
      <x:c r="M20" s="83" t="n">
        <x:v>64</x:v>
      </x:c>
      <x:c r="N20" s="83" t="str">
        <x:v>Tabella 18</x:v>
      </x:c>
      <x:c r="O20" s="83" t="str">
        <x:v>Direct table extraction</x:v>
      </x:c>
      <x:c r="P20" s="83" t="str">
        <x:v>A - Direct</x:v>
      </x:c>
      <x:c r="Q20" s="83" t="str"/>
    </x:row>
    <x:row r="21">
      <x:c r="A21" s="83" t="str">
        <x:v>BAL-0017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Fabbisogno elettrico puro</x:v>
      </x:c>
      <x:c r="F21" s="143" t="n">
        <x:v>388</x:v>
      </x:c>
      <x:c r="G21" s="83" t="str">
        <x:v>TWh</x:v>
      </x:c>
      <x:c r="H21" s="83" t="str">
        <x:v>Italia</x:v>
      </x:c>
      <x:c r="I21" s="83" t="str">
        <x:v>Risultato di modello della fonte</x:v>
      </x:c>
      <x:c r="J21" s="83" t="str">
        <x:v>S09</x:v>
      </x:c>
      <x:c r="K21" s="83" t="str">
        <x:v>Documento_Descrizione_Scenari_2024_8dce2430d44d101.pdf</x:v>
      </x:c>
      <x:c r="L21" s="83" t="n">
        <x:v>66</x:v>
      </x:c>
      <x:c r="M21" s="83" t="n">
        <x:v>64</x:v>
      </x:c>
      <x:c r="N21" s="83" t="str">
        <x:v>Tabella 18</x:v>
      </x:c>
      <x:c r="O21" s="83" t="str">
        <x:v>Direct table extraction</x:v>
      </x:c>
      <x:c r="P21" s="83" t="str">
        <x:v>A - Direct</x:v>
      </x:c>
      <x:c r="Q21" s="83" t="str"/>
    </x:row>
    <x:row r="22">
      <x:c r="A22" s="83" t="str">
        <x:v>BAL-0018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Fabbisogno elettrico puro</x:v>
      </x:c>
      <x:c r="F22" s="143" t="n">
        <x:v>385</x:v>
      </x:c>
      <x:c r="G22" s="83" t="str">
        <x:v>TWh</x:v>
      </x:c>
      <x:c r="H22" s="83" t="str">
        <x:v>Italia</x:v>
      </x:c>
      <x:c r="I22" s="83" t="str">
        <x:v>Risultato di modello della fonte</x:v>
      </x:c>
      <x:c r="J22" s="83" t="str">
        <x:v>S09</x:v>
      </x:c>
      <x:c r="K22" s="83" t="str">
        <x:v>Documento_Descrizione_Scenari_2024_8dce2430d44d101.pdf</x:v>
      </x:c>
      <x:c r="L22" s="83" t="n">
        <x:v>66</x:v>
      </x:c>
      <x:c r="M22" s="83" t="n">
        <x:v>64</x:v>
      </x:c>
      <x:c r="N22" s="83" t="str">
        <x:v>Tabella 18</x:v>
      </x:c>
      <x:c r="O22" s="83" t="str">
        <x:v>Direct table extraction</x:v>
      </x:c>
      <x:c r="P22" s="83" t="str">
        <x:v>A - Direct</x:v>
      </x:c>
      <x:c r="Q22" s="83" t="str"/>
    </x:row>
    <x:row r="23">
      <x:c r="A23" s="83" t="str">
        <x:v>BAL-0019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Consumi elettrici per produzione H2</x:v>
      </x:c>
      <x:c r="F23" s="143" t="n">
        <x:v>0</x:v>
      </x:c>
      <x:c r="G23" s="83" t="str">
        <x:v>TWh</x:v>
      </x:c>
      <x:c r="H23" s="83" t="str">
        <x:v>Italia</x:v>
      </x:c>
      <x:c r="I23" s="83" t="str">
        <x:v>Dato osservato storico</x:v>
      </x:c>
      <x:c r="J23" s="83" t="str">
        <x:v>S09</x:v>
      </x:c>
      <x:c r="K23" s="83" t="str">
        <x:v>Documento_Descrizione_Scenari_2024_8dce2430d44d101.pdf</x:v>
      </x:c>
      <x:c r="L23" s="83" t="n">
        <x:v>66</x:v>
      </x:c>
      <x:c r="M23" s="83" t="n">
        <x:v>64</x:v>
      </x:c>
      <x:c r="N23" s="83" t="str">
        <x:v>Tabella 18</x:v>
      </x:c>
      <x:c r="O23" s="83" t="str">
        <x:v>Direct table extraction</x:v>
      </x:c>
      <x:c r="P23" s="83" t="str">
        <x:v>A - Direct</x:v>
      </x:c>
      <x:c r="Q23" s="83" t="str"/>
    </x:row>
    <x:row r="24">
      <x:c r="A24" s="83" t="str">
        <x:v>BAL-0020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Consumi elettrici per produzione H2</x:v>
      </x:c>
      <x:c r="F24" s="143" t="n">
        <x:v>10</x:v>
      </x:c>
      <x:c r="G24" s="83" t="str">
        <x:v>TWh</x:v>
      </x:c>
      <x:c r="H24" s="83" t="str">
        <x:v>Italia</x:v>
      </x:c>
      <x:c r="I24" s="83" t="str">
        <x:v>Risultato di modello della fonte</x:v>
      </x:c>
      <x:c r="J24" s="83" t="str">
        <x:v>S09</x:v>
      </x:c>
      <x:c r="K24" s="83" t="str">
        <x:v>Documento_Descrizione_Scenari_2024_8dce2430d44d101.pdf</x:v>
      </x:c>
      <x:c r="L24" s="83" t="n">
        <x:v>66</x:v>
      </x:c>
      <x:c r="M24" s="83" t="n">
        <x:v>64</x:v>
      </x:c>
      <x:c r="N24" s="83" t="str">
        <x:v>Tabella 18</x:v>
      </x:c>
      <x:c r="O24" s="83" t="str">
        <x:v>Direct table extraction</x:v>
      </x:c>
      <x:c r="P24" s="83" t="str">
        <x:v>A - Direct</x:v>
      </x:c>
      <x:c r="Q24" s="83" t="str"/>
    </x:row>
    <x:row r="25">
      <x:c r="A25" s="83" t="str">
        <x:v>BAL-0021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Consumi elettrici per produzione H2</x:v>
      </x:c>
      <x:c r="F25" s="143" t="n">
        <x:v>6</x:v>
      </x:c>
      <x:c r="G25" s="83" t="str">
        <x:v>TWh</x:v>
      </x:c>
      <x:c r="H25" s="83" t="str">
        <x:v>Italia</x:v>
      </x:c>
      <x:c r="I25" s="83" t="str">
        <x:v>Risultato di modello della fonte</x:v>
      </x:c>
      <x:c r="J25" s="83" t="str">
        <x:v>S09</x:v>
      </x:c>
      <x:c r="K25" s="83" t="str">
        <x:v>Documento_Descrizione_Scenari_2024_8dce2430d44d101.pdf</x:v>
      </x:c>
      <x:c r="L25" s="83" t="n">
        <x:v>66</x:v>
      </x:c>
      <x:c r="M25" s="83" t="n">
        <x:v>64</x:v>
      </x:c>
      <x:c r="N25" s="83" t="str">
        <x:v>Tabella 18</x:v>
      </x:c>
      <x:c r="O25" s="83" t="str">
        <x:v>Direct table extraction</x:v>
      </x:c>
      <x:c r="P25" s="83" t="str">
        <x:v>A - Direct</x:v>
      </x:c>
      <x:c r="Q25" s="83" t="str"/>
    </x:row>
    <x:row r="26">
      <x:c r="A26" s="83" t="str">
        <x:v>BAL-0022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Consumi elettrici per produzione H2</x:v>
      </x:c>
      <x:c r="F26" s="143" t="n">
        <x:v>19</x:v>
      </x:c>
      <x:c r="G26" s="83" t="str">
        <x:v>TWh</x:v>
      </x:c>
      <x:c r="H26" s="83" t="str">
        <x:v>Italia</x:v>
      </x:c>
      <x:c r="I26" s="83" t="str">
        <x:v>Risultato di modello della fonte</x:v>
      </x:c>
      <x:c r="J26" s="83" t="str">
        <x:v>S09</x:v>
      </x:c>
      <x:c r="K26" s="83" t="str">
        <x:v>Documento_Descrizione_Scenari_2024_8dce2430d44d101.pdf</x:v>
      </x:c>
      <x:c r="L26" s="83" t="n">
        <x:v>66</x:v>
      </x:c>
      <x:c r="M26" s="83" t="n">
        <x:v>64</x:v>
      </x:c>
      <x:c r="N26" s="83" t="str">
        <x:v>Tabella 18</x:v>
      </x:c>
      <x:c r="O26" s="83" t="str">
        <x:v>Direct table extraction</x:v>
      </x:c>
      <x:c r="P26" s="83" t="str">
        <x:v>A - Direct</x:v>
      </x:c>
      <x:c r="Q26" s="83" t="str"/>
    </x:row>
    <x:row r="27">
      <x:c r="A27" s="83" t="str">
        <x:v>BAL-0023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Consumi elettrici per produzione H2</x:v>
      </x:c>
      <x:c r="F27" s="143" t="n">
        <x:v>19</x:v>
      </x:c>
      <x:c r="G27" s="83" t="str">
        <x:v>TWh</x:v>
      </x:c>
      <x:c r="H27" s="83" t="str">
        <x:v>Italia</x:v>
      </x:c>
      <x:c r="I27" s="83" t="str">
        <x:v>Risultato di modello della fonte</x:v>
      </x:c>
      <x:c r="J27" s="83" t="str">
        <x:v>S09</x:v>
      </x:c>
      <x:c r="K27" s="83" t="str">
        <x:v>Documento_Descrizione_Scenari_2024_8dce2430d44d101.pdf</x:v>
      </x:c>
      <x:c r="L27" s="83" t="n">
        <x:v>66</x:v>
      </x:c>
      <x:c r="M27" s="83" t="n">
        <x:v>64</x:v>
      </x:c>
      <x:c r="N27" s="83" t="str">
        <x:v>Tabella 18</x:v>
      </x:c>
      <x:c r="O27" s="83" t="str">
        <x:v>Direct table extraction</x:v>
      </x:c>
      <x:c r="P27" s="83" t="str">
        <x:v>A - Direct</x:v>
      </x:c>
      <x:c r="Q27" s="83" t="str"/>
    </x:row>
    <x:row r="28">
      <x:c r="A28" s="83" t="str">
        <x:v>BAL-0024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Consumi elettrici per produzione H2</x:v>
      </x:c>
      <x:c r="F28" s="143" t="n">
        <x:v>13</x:v>
      </x:c>
      <x:c r="G28" s="83" t="str">
        <x:v>TWh</x:v>
      </x:c>
      <x:c r="H28" s="83" t="str">
        <x:v>Italia</x:v>
      </x:c>
      <x:c r="I28" s="83" t="str">
        <x:v>Risultato di modello della fonte</x:v>
      </x:c>
      <x:c r="J28" s="83" t="str">
        <x:v>S09</x:v>
      </x:c>
      <x:c r="K28" s="83" t="str">
        <x:v>Documento_Descrizione_Scenari_2024_8dce2430d44d101.pdf</x:v>
      </x:c>
      <x:c r="L28" s="83" t="n">
        <x:v>66</x:v>
      </x:c>
      <x:c r="M28" s="83" t="n">
        <x:v>64</x:v>
      </x:c>
      <x:c r="N28" s="83" t="str">
        <x:v>Tabella 18</x:v>
      </x:c>
      <x:c r="O28" s="83" t="str">
        <x:v>Direct table extraction</x:v>
      </x:c>
      <x:c r="P28" s="83" t="str">
        <x:v>A - Direct</x:v>
      </x:c>
      <x:c r="Q28" s="83" t="str"/>
    </x:row>
    <x:row r="29">
      <x:c r="A29" s="83" t="str">
        <x:v>BAL-0025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Consumi elettrici per produzione H2</x:v>
      </x:c>
      <x:c r="F29" s="143" t="n">
        <x:v>28</x:v>
      </x:c>
      <x:c r="G29" s="83" t="str">
        <x:v>TWh</x:v>
      </x:c>
      <x:c r="H29" s="83" t="str">
        <x:v>Italia</x:v>
      </x:c>
      <x:c r="I29" s="83" t="str">
        <x:v>Risultato di modello della fonte</x:v>
      </x:c>
      <x:c r="J29" s="83" t="str">
        <x:v>S09</x:v>
      </x:c>
      <x:c r="K29" s="83" t="str">
        <x:v>Documento_Descrizione_Scenari_2024_8dce2430d44d101.pdf</x:v>
      </x:c>
      <x:c r="L29" s="83" t="n">
        <x:v>66</x:v>
      </x:c>
      <x:c r="M29" s="83" t="n">
        <x:v>64</x:v>
      </x:c>
      <x:c r="N29" s="83" t="str">
        <x:v>Tabella 18</x:v>
      </x:c>
      <x:c r="O29" s="83" t="str">
        <x:v>Direct table extraction</x:v>
      </x:c>
      <x:c r="P29" s="83" t="str">
        <x:v>A - Direct</x:v>
      </x:c>
      <x:c r="Q29" s="83" t="str"/>
    </x:row>
    <x:row r="30">
      <x:c r="A30" s="83" t="str">
        <x:v>BAL-0026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Consumi elettrici per produzione H2</x:v>
      </x:c>
      <x:c r="F30" s="143" t="n">
        <x:v>28</x:v>
      </x:c>
      <x:c r="G30" s="83" t="str">
        <x:v>TWh</x:v>
      </x:c>
      <x:c r="H30" s="83" t="str">
        <x:v>Italia</x:v>
      </x:c>
      <x:c r="I30" s="83" t="str">
        <x:v>Risultato di modello della fonte</x:v>
      </x:c>
      <x:c r="J30" s="83" t="str">
        <x:v>S09</x:v>
      </x:c>
      <x:c r="K30" s="83" t="str">
        <x:v>Documento_Descrizione_Scenari_2024_8dce2430d44d101.pdf</x:v>
      </x:c>
      <x:c r="L30" s="83" t="n">
        <x:v>66</x:v>
      </x:c>
      <x:c r="M30" s="83" t="n">
        <x:v>64</x:v>
      </x:c>
      <x:c r="N30" s="83" t="str">
        <x:v>Tabella 18</x:v>
      </x:c>
      <x:c r="O30" s="83" t="str">
        <x:v>Direct table extraction</x:v>
      </x:c>
      <x:c r="P30" s="83" t="str">
        <x:v>A - Direct</x:v>
      </x:c>
      <x:c r="Q30" s="83" t="str"/>
    </x:row>
    <x:row r="31">
      <x:c r="A31" s="83" t="str">
        <x:v>BAL-0027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Consumi elettrici per produzione H2</x:v>
      </x:c>
      <x:c r="F31" s="143" t="n">
        <x:v>20</x:v>
      </x:c>
      <x:c r="G31" s="83" t="str">
        <x:v>TWh</x:v>
      </x:c>
      <x:c r="H31" s="83" t="str">
        <x:v>Italia</x:v>
      </x:c>
      <x:c r="I31" s="83" t="str">
        <x:v>Risultato di modello della fonte</x:v>
      </x:c>
      <x:c r="J31" s="83" t="str">
        <x:v>S09</x:v>
      </x:c>
      <x:c r="K31" s="83" t="str">
        <x:v>Documento_Descrizione_Scenari_2024_8dce2430d44d101.pdf</x:v>
      </x:c>
      <x:c r="L31" s="83" t="n">
        <x:v>66</x:v>
      </x:c>
      <x:c r="M31" s="83" t="n">
        <x:v>64</x:v>
      </x:c>
      <x:c r="N31" s="83" t="str">
        <x:v>Tabella 18</x:v>
      </x:c>
      <x:c r="O31" s="83" t="str">
        <x:v>Direct table extraction</x:v>
      </x:c>
      <x:c r="P31" s="83" t="str">
        <x:v>A - Direct</x:v>
      </x:c>
      <x:c r="Q31" s="83" t="str"/>
    </x:row>
    <x:row r="32">
      <x:c r="A32" s="83" t="str">
        <x:v>BAL-0028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Totale produzione nazionale</x:v>
      </x:c>
      <x:c r="F32" s="143" t="n">
        <x:v>256</x:v>
      </x:c>
      <x:c r="G32" s="83" t="str">
        <x:v>TWh</x:v>
      </x:c>
      <x:c r="H32" s="83" t="str">
        <x:v>Italia</x:v>
      </x:c>
      <x:c r="I32" s="83" t="str">
        <x:v>Dato osservato storico</x:v>
      </x:c>
      <x:c r="J32" s="83" t="str">
        <x:v>S09</x:v>
      </x:c>
      <x:c r="K32" s="83" t="str">
        <x:v>Documento_Descrizione_Scenari_2024_8dce2430d44d101.pdf</x:v>
      </x:c>
      <x:c r="L32" s="83" t="n">
        <x:v>66</x:v>
      </x:c>
      <x:c r="M32" s="83" t="n">
        <x:v>64</x:v>
      </x:c>
      <x:c r="N32" s="83" t="str">
        <x:v>Tabella 18</x:v>
      </x:c>
      <x:c r="O32" s="83" t="str">
        <x:v>Direct table extraction</x:v>
      </x:c>
      <x:c r="P32" s="83" t="str">
        <x:v>A - Direct</x:v>
      </x:c>
      <x:c r="Q32" s="83" t="str"/>
    </x:row>
    <x:row r="33">
      <x:c r="A33" s="83" t="str">
        <x:v>BAL-0029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Totale produzione nazionale</x:v>
      </x:c>
      <x:c r="F33" s="143" t="n">
        <x:v>322</x:v>
      </x:c>
      <x:c r="G33" s="83" t="str">
        <x:v>TWh</x:v>
      </x:c>
      <x:c r="H33" s="83" t="str">
        <x:v>Italia</x:v>
      </x:c>
      <x:c r="I33" s="83" t="str">
        <x:v>Risultato di modello della fonte</x:v>
      </x:c>
      <x:c r="J33" s="83" t="str">
        <x:v>S09</x:v>
      </x:c>
      <x:c r="K33" s="83" t="str">
        <x:v>Documento_Descrizione_Scenari_2024_8dce2430d44d101.pdf</x:v>
      </x:c>
      <x:c r="L33" s="83" t="n">
        <x:v>66</x:v>
      </x:c>
      <x:c r="M33" s="83" t="n">
        <x:v>64</x:v>
      </x:c>
      <x:c r="N33" s="83" t="str">
        <x:v>Tabella 18</x:v>
      </x:c>
      <x:c r="O33" s="83" t="str">
        <x:v>Direct table extraction</x:v>
      </x:c>
      <x:c r="P33" s="83" t="str">
        <x:v>A - Direct</x:v>
      </x:c>
      <x:c r="Q33" s="83" t="str"/>
    </x:row>
    <x:row r="34">
      <x:c r="A34" s="83" t="str">
        <x:v>BAL-0030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Totale produzione nazionale</x:v>
      </x:c>
      <x:c r="F34" s="143" t="n">
        <x:v>301</x:v>
      </x:c>
      <x:c r="G34" s="83" t="str">
        <x:v>TWh</x:v>
      </x:c>
      <x:c r="H34" s="83" t="str">
        <x:v>Italia</x:v>
      </x:c>
      <x:c r="I34" s="83" t="str">
        <x:v>Risultato di modello della fonte</x:v>
      </x:c>
      <x:c r="J34" s="83" t="str">
        <x:v>S09</x:v>
      </x:c>
      <x:c r="K34" s="83" t="str">
        <x:v>Documento_Descrizione_Scenari_2024_8dce2430d44d101.pdf</x:v>
      </x:c>
      <x:c r="L34" s="83" t="n">
        <x:v>66</x:v>
      </x:c>
      <x:c r="M34" s="83" t="n">
        <x:v>64</x:v>
      </x:c>
      <x:c r="N34" s="83" t="str">
        <x:v>Tabella 18</x:v>
      </x:c>
      <x:c r="O34" s="83" t="str">
        <x:v>Direct table extraction</x:v>
      </x:c>
      <x:c r="P34" s="83" t="str">
        <x:v>A - Direct</x:v>
      </x:c>
      <x:c r="Q34" s="83" t="str"/>
    </x:row>
    <x:row r="35">
      <x:c r="A35" s="83" t="str">
        <x:v>BAL-0031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Totale produzione nazionale</x:v>
      </x:c>
      <x:c r="F35" s="143" t="n">
        <x:v>358</x:v>
      </x:c>
      <x:c r="G35" s="83" t="str">
        <x:v>TWh</x:v>
      </x:c>
      <x:c r="H35" s="83" t="str">
        <x:v>Italia</x:v>
      </x:c>
      <x:c r="I35" s="83" t="str">
        <x:v>Risultato di modello della fonte</x:v>
      </x:c>
      <x:c r="J35" s="83" t="str">
        <x:v>S09</x:v>
      </x:c>
      <x:c r="K35" s="83" t="str">
        <x:v>Documento_Descrizione_Scenari_2024_8dce2430d44d101.pdf</x:v>
      </x:c>
      <x:c r="L35" s="83" t="n">
        <x:v>66</x:v>
      </x:c>
      <x:c r="M35" s="83" t="n">
        <x:v>64</x:v>
      </x:c>
      <x:c r="N35" s="83" t="str">
        <x:v>Tabella 18</x:v>
      </x:c>
      <x:c r="O35" s="83" t="str">
        <x:v>Direct table extraction</x:v>
      </x:c>
      <x:c r="P35" s="83" t="str">
        <x:v>A - Direct</x:v>
      </x:c>
      <x:c r="Q35" s="83" t="str"/>
    </x:row>
    <x:row r="36">
      <x:c r="A36" s="83" t="str">
        <x:v>BAL-0032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Totale produzione nazionale</x:v>
      </x:c>
      <x:c r="F36" s="143" t="n">
        <x:v>343</x:v>
      </x:c>
      <x:c r="G36" s="83" t="str">
        <x:v>TWh</x:v>
      </x:c>
      <x:c r="H36" s="83" t="str">
        <x:v>Italia</x:v>
      </x:c>
      <x:c r="I36" s="83" t="str">
        <x:v>Risultato di modello della fonte</x:v>
      </x:c>
      <x:c r="J36" s="83" t="str">
        <x:v>S09</x:v>
      </x:c>
      <x:c r="K36" s="83" t="str">
        <x:v>Documento_Descrizione_Scenari_2024_8dce2430d44d101.pdf</x:v>
      </x:c>
      <x:c r="L36" s="83" t="n">
        <x:v>66</x:v>
      </x:c>
      <x:c r="M36" s="83" t="n">
        <x:v>64</x:v>
      </x:c>
      <x:c r="N36" s="83" t="str">
        <x:v>Tabella 18</x:v>
      </x:c>
      <x:c r="O36" s="83" t="str">
        <x:v>Direct table extraction</x:v>
      </x:c>
      <x:c r="P36" s="83" t="str">
        <x:v>A - Direct</x:v>
      </x:c>
      <x:c r="Q36" s="83" t="str"/>
    </x:row>
    <x:row r="37">
      <x:c r="A37" s="83" t="str">
        <x:v>BAL-0033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Totale produzione nazionale</x:v>
      </x:c>
      <x:c r="F37" s="143" t="n">
        <x:v>330</x:v>
      </x:c>
      <x:c r="G37" s="83" t="str">
        <x:v>TWh</x:v>
      </x:c>
      <x:c r="H37" s="83" t="str">
        <x:v>Italia</x:v>
      </x:c>
      <x:c r="I37" s="83" t="str">
        <x:v>Risultato di modello della fonte</x:v>
      </x:c>
      <x:c r="J37" s="83" t="str">
        <x:v>S09</x:v>
      </x:c>
      <x:c r="K37" s="83" t="str">
        <x:v>Documento_Descrizione_Scenari_2024_8dce2430d44d101.pdf</x:v>
      </x:c>
      <x:c r="L37" s="83" t="n">
        <x:v>66</x:v>
      </x:c>
      <x:c r="M37" s="83" t="n">
        <x:v>64</x:v>
      </x:c>
      <x:c r="N37" s="83" t="str">
        <x:v>Tabella 18</x:v>
      </x:c>
      <x:c r="O37" s="83" t="str">
        <x:v>Direct table extraction</x:v>
      </x:c>
      <x:c r="P37" s="83" t="str">
        <x:v>A - Direct</x:v>
      </x:c>
      <x:c r="Q37" s="83" t="str"/>
    </x:row>
    <x:row r="38">
      <x:c r="A38" s="83" t="str">
        <x:v>BAL-0034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Totale produzione nazionale</x:v>
      </x:c>
      <x:c r="F38" s="143" t="n">
        <x:v>400</x:v>
      </x:c>
      <x:c r="G38" s="83" t="str">
        <x:v>TWh</x:v>
      </x:c>
      <x:c r="H38" s="83" t="str">
        <x:v>Italia</x:v>
      </x:c>
      <x:c r="I38" s="83" t="str">
        <x:v>Risultato di modello della fonte</x:v>
      </x:c>
      <x:c r="J38" s="83" t="str">
        <x:v>S09</x:v>
      </x:c>
      <x:c r="K38" s="83" t="str">
        <x:v>Documento_Descrizione_Scenari_2024_8dce2430d44d101.pdf</x:v>
      </x:c>
      <x:c r="L38" s="83" t="n">
        <x:v>66</x:v>
      </x:c>
      <x:c r="M38" s="83" t="n">
        <x:v>64</x:v>
      </x:c>
      <x:c r="N38" s="83" t="str">
        <x:v>Tabella 18</x:v>
      </x:c>
      <x:c r="O38" s="83" t="str">
        <x:v>Direct table extraction</x:v>
      </x:c>
      <x:c r="P38" s="83" t="str">
        <x:v>A - Direct</x:v>
      </x:c>
      <x:c r="Q38" s="83" t="str"/>
    </x:row>
    <x:row r="39">
      <x:c r="A39" s="83" t="str">
        <x:v>BAL-0035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Totale produzione nazionale</x:v>
      </x:c>
      <x:c r="F39" s="143" t="n">
        <x:v>377</x:v>
      </x:c>
      <x:c r="G39" s="83" t="str">
        <x:v>TWh</x:v>
      </x:c>
      <x:c r="H39" s="83" t="str">
        <x:v>Italia</x:v>
      </x:c>
      <x:c r="I39" s="83" t="str">
        <x:v>Risultato di modello della fonte</x:v>
      </x:c>
      <x:c r="J39" s="83" t="str">
        <x:v>S09</x:v>
      </x:c>
      <x:c r="K39" s="83" t="str">
        <x:v>Documento_Descrizione_Scenari_2024_8dce2430d44d101.pdf</x:v>
      </x:c>
      <x:c r="L39" s="83" t="n">
        <x:v>66</x:v>
      </x:c>
      <x:c r="M39" s="83" t="n">
        <x:v>64</x:v>
      </x:c>
      <x:c r="N39" s="83" t="str">
        <x:v>Tabella 18</x:v>
      </x:c>
      <x:c r="O39" s="83" t="str">
        <x:v>Direct table extraction</x:v>
      </x:c>
      <x:c r="P39" s="83" t="str">
        <x:v>A - Direct</x:v>
      </x:c>
      <x:c r="Q39" s="83" t="str"/>
    </x:row>
    <x:row r="40">
      <x:c r="A40" s="83" t="str">
        <x:v>BAL-0036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Totale produzione nazionale</x:v>
      </x:c>
      <x:c r="F40" s="143" t="n">
        <x:v>363</x:v>
      </x:c>
      <x:c r="G40" s="83" t="str">
        <x:v>TWh</x:v>
      </x:c>
      <x:c r="H40" s="83" t="str">
        <x:v>Italia</x:v>
      </x:c>
      <x:c r="I40" s="83" t="str">
        <x:v>Risultato di modello della fonte</x:v>
      </x:c>
      <x:c r="J40" s="83" t="str">
        <x:v>S09</x:v>
      </x:c>
      <x:c r="K40" s="83" t="str">
        <x:v>Documento_Descrizione_Scenari_2024_8dce2430d44d101.pdf</x:v>
      </x:c>
      <x:c r="L40" s="83" t="n">
        <x:v>66</x:v>
      </x:c>
      <x:c r="M40" s="83" t="n">
        <x:v>64</x:v>
      </x:c>
      <x:c r="N40" s="83" t="str">
        <x:v>Tabella 18</x:v>
      </x:c>
      <x:c r="O40" s="83" t="str">
        <x:v>Direct table extraction</x:v>
      </x:c>
      <x:c r="P40" s="83" t="str">
        <x:v>A - Direct</x:v>
      </x:c>
      <x:c r="Q40" s="83" t="str"/>
    </x:row>
    <x:row r="41">
      <x:c r="A41" s="83" t="str">
        <x:v>BAL-0037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Totale produzione FER</x:v>
      </x:c>
      <x:c r="F41" s="143" t="n">
        <x:v>113</x:v>
      </x:c>
      <x:c r="G41" s="83" t="str">
        <x:v>TWh</x:v>
      </x:c>
      <x:c r="H41" s="83" t="str">
        <x:v>Italia</x:v>
      </x:c>
      <x:c r="I41" s="83" t="str">
        <x:v>Dato osservato storico</x:v>
      </x:c>
      <x:c r="J41" s="83" t="str">
        <x:v>S09</x:v>
      </x:c>
      <x:c r="K41" s="83" t="str">
        <x:v>Documento_Descrizione_Scenari_2024_8dce2430d44d101.pdf</x:v>
      </x:c>
      <x:c r="L41" s="83" t="n">
        <x:v>66</x:v>
      </x:c>
      <x:c r="M41" s="83" t="n">
        <x:v>64</x:v>
      </x:c>
      <x:c r="N41" s="83" t="str">
        <x:v>Tabella 18</x:v>
      </x:c>
      <x:c r="O41" s="83" t="str">
        <x:v>Direct table extraction</x:v>
      </x:c>
      <x:c r="P41" s="83" t="str">
        <x:v>A - Direct</x:v>
      </x:c>
      <x:c r="Q41" s="83" t="str"/>
    </x:row>
    <x:row r="42">
      <x:c r="A42" s="83" t="str">
        <x:v>BAL-0038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Totale produzione FER</x:v>
      </x:c>
      <x:c r="F42" s="143" t="n">
        <x:v>227</x:v>
      </x:c>
      <x:c r="G42" s="83" t="str">
        <x:v>TWh</x:v>
      </x:c>
      <x:c r="H42" s="83" t="str">
        <x:v>Italia</x:v>
      </x:c>
      <x:c r="I42" s="83" t="str">
        <x:v>Risultato di modello della fonte</x:v>
      </x:c>
      <x:c r="J42" s="83" t="str">
        <x:v>S09</x:v>
      </x:c>
      <x:c r="K42" s="83" t="str">
        <x:v>Documento_Descrizione_Scenari_2024_8dce2430d44d101.pdf</x:v>
      </x:c>
      <x:c r="L42" s="83" t="n">
        <x:v>66</x:v>
      </x:c>
      <x:c r="M42" s="83" t="n">
        <x:v>64</x:v>
      </x:c>
      <x:c r="N42" s="83" t="str">
        <x:v>Tabella 18</x:v>
      </x:c>
      <x:c r="O42" s="83" t="str">
        <x:v>Direct table extraction</x:v>
      </x:c>
      <x:c r="P42" s="83" t="str">
        <x:v>A - Direct</x:v>
      </x:c>
      <x:c r="Q42" s="83" t="str"/>
    </x:row>
    <x:row r="43">
      <x:c r="A43" s="83" t="str">
        <x:v>BAL-0039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Totale produzione FER</x:v>
      </x:c>
      <x:c r="F43" s="143" t="n">
        <x:v>201</x:v>
      </x:c>
      <x:c r="G43" s="83" t="str">
        <x:v>TWh</x:v>
      </x:c>
      <x:c r="H43" s="83" t="str">
        <x:v>Italia</x:v>
      </x:c>
      <x:c r="I43" s="83" t="str">
        <x:v>Risultato di modello della fonte</x:v>
      </x:c>
      <x:c r="J43" s="83" t="str">
        <x:v>S09</x:v>
      </x:c>
      <x:c r="K43" s="83" t="str">
        <x:v>Documento_Descrizione_Scenari_2024_8dce2430d44d101.pdf</x:v>
      </x:c>
      <x:c r="L43" s="83" t="n">
        <x:v>66</x:v>
      </x:c>
      <x:c r="M43" s="83" t="n">
        <x:v>64</x:v>
      </x:c>
      <x:c r="N43" s="83" t="str">
        <x:v>Tabella 18</x:v>
      </x:c>
      <x:c r="O43" s="83" t="str">
        <x:v>Direct table extraction</x:v>
      </x:c>
      <x:c r="P43" s="83" t="str">
        <x:v>A - Direct</x:v>
      </x:c>
      <x:c r="Q43" s="83" t="str"/>
    </x:row>
    <x:row r="44">
      <x:c r="A44" s="83" t="str">
        <x:v>BAL-0040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Totale produzione FER</x:v>
      </x:c>
      <x:c r="F44" s="143" t="n">
        <x:v>276</x:v>
      </x:c>
      <x:c r="G44" s="83" t="str">
        <x:v>TWh</x:v>
      </x:c>
      <x:c r="H44" s="83" t="str">
        <x:v>Italia</x:v>
      </x:c>
      <x:c r="I44" s="83" t="str">
        <x:v>Risultato di modello della fonte</x:v>
      </x:c>
      <x:c r="J44" s="83" t="str">
        <x:v>S09</x:v>
      </x:c>
      <x:c r="K44" s="83" t="str">
        <x:v>Documento_Descrizione_Scenari_2024_8dce2430d44d101.pdf</x:v>
      </x:c>
      <x:c r="L44" s="83" t="n">
        <x:v>66</x:v>
      </x:c>
      <x:c r="M44" s="83" t="n">
        <x:v>64</x:v>
      </x:c>
      <x:c r="N44" s="83" t="str">
        <x:v>Tabella 18</x:v>
      </x:c>
      <x:c r="O44" s="83" t="str">
        <x:v>Direct table extraction</x:v>
      </x:c>
      <x:c r="P44" s="83" t="str">
        <x:v>A - Direct</x:v>
      </x:c>
      <x:c r="Q44" s="83" t="str"/>
    </x:row>
    <x:row r="45">
      <x:c r="A45" s="83" t="str">
        <x:v>BAL-0041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Totale produzione FER</x:v>
      </x:c>
      <x:c r="F45" s="143" t="n">
        <x:v>259</x:v>
      </x:c>
      <x:c r="G45" s="83" t="str">
        <x:v>TWh</x:v>
      </x:c>
      <x:c r="H45" s="83" t="str">
        <x:v>Italia</x:v>
      </x:c>
      <x:c r="I45" s="83" t="str">
        <x:v>Risultato di modello della fonte</x:v>
      </x:c>
      <x:c r="J45" s="83" t="str">
        <x:v>S09</x:v>
      </x:c>
      <x:c r="K45" s="83" t="str">
        <x:v>Documento_Descrizione_Scenari_2024_8dce2430d44d101.pdf</x:v>
      </x:c>
      <x:c r="L45" s="83" t="n">
        <x:v>66</x:v>
      </x:c>
      <x:c r="M45" s="83" t="n">
        <x:v>64</x:v>
      </x:c>
      <x:c r="N45" s="83" t="str">
        <x:v>Tabella 18</x:v>
      </x:c>
      <x:c r="O45" s="83" t="str">
        <x:v>Direct table extraction</x:v>
      </x:c>
      <x:c r="P45" s="83" t="str">
        <x:v>A - Direct</x:v>
      </x:c>
      <x:c r="Q45" s="83" t="str"/>
    </x:row>
    <x:row r="46">
      <x:c r="A46" s="83" t="str">
        <x:v>BAL-0042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Totale produzione FER</x:v>
      </x:c>
      <x:c r="F46" s="143" t="n">
        <x:v>241</x:v>
      </x:c>
      <x:c r="G46" s="83" t="str">
        <x:v>TWh</x:v>
      </x:c>
      <x:c r="H46" s="83" t="str">
        <x:v>Italia</x:v>
      </x:c>
      <x:c r="I46" s="83" t="str">
        <x:v>Risultato di modello della fonte</x:v>
      </x:c>
      <x:c r="J46" s="83" t="str">
        <x:v>S09</x:v>
      </x:c>
      <x:c r="K46" s="83" t="str">
        <x:v>Documento_Descrizione_Scenari_2024_8dce2430d44d101.pdf</x:v>
      </x:c>
      <x:c r="L46" s="83" t="n">
        <x:v>66</x:v>
      </x:c>
      <x:c r="M46" s="83" t="n">
        <x:v>64</x:v>
      </x:c>
      <x:c r="N46" s="83" t="str">
        <x:v>Tabella 18</x:v>
      </x:c>
      <x:c r="O46" s="83" t="str">
        <x:v>Direct table extraction</x:v>
      </x:c>
      <x:c r="P46" s="83" t="str">
        <x:v>A - Direct</x:v>
      </x:c>
      <x:c r="Q46" s="83" t="str"/>
    </x:row>
    <x:row r="47">
      <x:c r="A47" s="83" t="str">
        <x:v>BAL-0043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Totale produzione FER</x:v>
      </x:c>
      <x:c r="F47" s="143" t="n">
        <x:v>336</x:v>
      </x:c>
      <x:c r="G47" s="83" t="str">
        <x:v>TWh</x:v>
      </x:c>
      <x:c r="H47" s="83" t="str">
        <x:v>Italia</x:v>
      </x:c>
      <x:c r="I47" s="83" t="str">
        <x:v>Risultato di modello della fonte</x:v>
      </x:c>
      <x:c r="J47" s="83" t="str">
        <x:v>S09</x:v>
      </x:c>
      <x:c r="K47" s="83" t="str">
        <x:v>Documento_Descrizione_Scenari_2024_8dce2430d44d101.pdf</x:v>
      </x:c>
      <x:c r="L47" s="83" t="n">
        <x:v>66</x:v>
      </x:c>
      <x:c r="M47" s="83" t="n">
        <x:v>64</x:v>
      </x:c>
      <x:c r="N47" s="83" t="str">
        <x:v>Tabella 18</x:v>
      </x:c>
      <x:c r="O47" s="83" t="str">
        <x:v>Direct table extraction</x:v>
      </x:c>
      <x:c r="P47" s="83" t="str">
        <x:v>A - Direct</x:v>
      </x:c>
      <x:c r="Q47" s="83" t="str"/>
    </x:row>
    <x:row r="48">
      <x:c r="A48" s="83" t="str">
        <x:v>BAL-0044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Totale produzione FER</x:v>
      </x:c>
      <x:c r="F48" s="143" t="n">
        <x:v>309</x:v>
      </x:c>
      <x:c r="G48" s="83" t="str">
        <x:v>TWh</x:v>
      </x:c>
      <x:c r="H48" s="83" t="str">
        <x:v>Italia</x:v>
      </x:c>
      <x:c r="I48" s="83" t="str">
        <x:v>Risultato di modello della fonte</x:v>
      </x:c>
      <x:c r="J48" s="83" t="str">
        <x:v>S09</x:v>
      </x:c>
      <x:c r="K48" s="83" t="str">
        <x:v>Documento_Descrizione_Scenari_2024_8dce2430d44d101.pdf</x:v>
      </x:c>
      <x:c r="L48" s="83" t="n">
        <x:v>66</x:v>
      </x:c>
      <x:c r="M48" s="83" t="n">
        <x:v>64</x:v>
      </x:c>
      <x:c r="N48" s="83" t="str">
        <x:v>Tabella 18</x:v>
      </x:c>
      <x:c r="O48" s="83" t="str">
        <x:v>Direct table extraction</x:v>
      </x:c>
      <x:c r="P48" s="83" t="str">
        <x:v>A - Direct</x:v>
      </x:c>
      <x:c r="Q48" s="83" t="str"/>
    </x:row>
    <x:row r="49">
      <x:c r="A49" s="83" t="str">
        <x:v>BAL-0045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Totale produzione FER</x:v>
      </x:c>
      <x:c r="F49" s="143" t="n">
        <x:v>293</x:v>
      </x:c>
      <x:c r="G49" s="83" t="str">
        <x:v>TWh</x:v>
      </x:c>
      <x:c r="H49" s="83" t="str">
        <x:v>Italia</x:v>
      </x:c>
      <x:c r="I49" s="83" t="str">
        <x:v>Risultato di modello della fonte</x:v>
      </x:c>
      <x:c r="J49" s="83" t="str">
        <x:v>S09</x:v>
      </x:c>
      <x:c r="K49" s="83" t="str">
        <x:v>Documento_Descrizione_Scenari_2024_8dce2430d44d101.pdf</x:v>
      </x:c>
      <x:c r="L49" s="83" t="n">
        <x:v>66</x:v>
      </x:c>
      <x:c r="M49" s="83" t="n">
        <x:v>64</x:v>
      </x:c>
      <x:c r="N49" s="83" t="str">
        <x:v>Tabella 18</x:v>
      </x:c>
      <x:c r="O49" s="83" t="str">
        <x:v>Direct table extraction</x:v>
      </x:c>
      <x:c r="P49" s="83" t="str">
        <x:v>A - Direct</x:v>
      </x:c>
      <x:c r="Q49" s="83" t="str"/>
    </x:row>
    <x:row r="50">
      <x:c r="A50" s="83" t="str">
        <x:v>BAL-0046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Idroelettrico</x:v>
      </x:c>
      <x:c r="F50" s="143" t="n">
        <x:v>38</x:v>
      </x:c>
      <x:c r="G50" s="83" t="str">
        <x:v>TWh</x:v>
      </x:c>
      <x:c r="H50" s="83" t="str">
        <x:v>Italia</x:v>
      </x:c>
      <x:c r="I50" s="83" t="str">
        <x:v>Dato osservato storico</x:v>
      </x:c>
      <x:c r="J50" s="83" t="str">
        <x:v>S09</x:v>
      </x:c>
      <x:c r="K50" s="83" t="str">
        <x:v>Documento_Descrizione_Scenari_2024_8dce2430d44d101.pdf</x:v>
      </x:c>
      <x:c r="L50" s="83" t="n">
        <x:v>66</x:v>
      </x:c>
      <x:c r="M50" s="83" t="n">
        <x:v>64</x:v>
      </x:c>
      <x:c r="N50" s="83" t="str">
        <x:v>Tabella 18</x:v>
      </x:c>
      <x:c r="O50" s="83" t="str">
        <x:v>Direct table extraction</x:v>
      </x:c>
      <x:c r="P50" s="83" t="str">
        <x:v>A - Direct</x:v>
      </x:c>
      <x:c r="Q50" s="83" t="str"/>
    </x:row>
    <x:row r="51">
      <x:c r="A51" s="83" t="str">
        <x:v>BAL-0047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Idroelettrico</x:v>
      </x:c>
      <x:c r="F51" s="143" t="n">
        <x:v>46</x:v>
      </x:c>
      <x:c r="G51" s="83" t="str">
        <x:v>TWh</x:v>
      </x:c>
      <x:c r="H51" s="83" t="str">
        <x:v>Italia</x:v>
      </x:c>
      <x:c r="I51" s="83" t="str">
        <x:v>Risultato di modello della fonte</x:v>
      </x:c>
      <x:c r="J51" s="83" t="str">
        <x:v>S09</x:v>
      </x:c>
      <x:c r="K51" s="83" t="str">
        <x:v>Documento_Descrizione_Scenari_2024_8dce2430d44d101.pdf</x:v>
      </x:c>
      <x:c r="L51" s="83" t="n">
        <x:v>66</x:v>
      </x:c>
      <x:c r="M51" s="83" t="n">
        <x:v>64</x:v>
      </x:c>
      <x:c r="N51" s="83" t="str">
        <x:v>Tabella 18</x:v>
      </x:c>
      <x:c r="O51" s="83" t="str">
        <x:v>Direct table extraction</x:v>
      </x:c>
      <x:c r="P51" s="83" t="str">
        <x:v>A - Direct</x:v>
      </x:c>
      <x:c r="Q51" s="83" t="str"/>
    </x:row>
    <x:row r="52">
      <x:c r="A52" s="83" t="str">
        <x:v>BAL-0048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Idroelettrico</x:v>
      </x:c>
      <x:c r="F52" s="143" t="n">
        <x:v>46</x:v>
      </x:c>
      <x:c r="G52" s="83" t="str">
        <x:v>TWh</x:v>
      </x:c>
      <x:c r="H52" s="83" t="str">
        <x:v>Italia</x:v>
      </x:c>
      <x:c r="I52" s="83" t="str">
        <x:v>Risultato di modello della fonte</x:v>
      </x:c>
      <x:c r="J52" s="83" t="str">
        <x:v>S09</x:v>
      </x:c>
      <x:c r="K52" s="83" t="str">
        <x:v>Documento_Descrizione_Scenari_2024_8dce2430d44d101.pdf</x:v>
      </x:c>
      <x:c r="L52" s="83" t="n">
        <x:v>66</x:v>
      </x:c>
      <x:c r="M52" s="83" t="n">
        <x:v>64</x:v>
      </x:c>
      <x:c r="N52" s="83" t="str">
        <x:v>Tabella 18</x:v>
      </x:c>
      <x:c r="O52" s="83" t="str">
        <x:v>Direct table extraction</x:v>
      </x:c>
      <x:c r="P52" s="83" t="str">
        <x:v>A - Direct</x:v>
      </x:c>
      <x:c r="Q52" s="83" t="str"/>
    </x:row>
    <x:row r="53">
      <x:c r="A53" s="83" t="str">
        <x:v>BAL-0049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Idroelettrico</x:v>
      </x:c>
      <x:c r="F53" s="143" t="n">
        <x:v>46</x:v>
      </x:c>
      <x:c r="G53" s="83" t="str">
        <x:v>TWh</x:v>
      </x:c>
      <x:c r="H53" s="83" t="str">
        <x:v>Italia</x:v>
      </x:c>
      <x:c r="I53" s="83" t="str">
        <x:v>Risultato di modello della fonte</x:v>
      </x:c>
      <x:c r="J53" s="83" t="str">
        <x:v>S09</x:v>
      </x:c>
      <x:c r="K53" s="83" t="str">
        <x:v>Documento_Descrizione_Scenari_2024_8dce2430d44d101.pdf</x:v>
      </x:c>
      <x:c r="L53" s="83" t="n">
        <x:v>66</x:v>
      </x:c>
      <x:c r="M53" s="83" t="n">
        <x:v>64</x:v>
      </x:c>
      <x:c r="N53" s="83" t="str">
        <x:v>Tabella 18</x:v>
      </x:c>
      <x:c r="O53" s="83" t="str">
        <x:v>Direct table extraction</x:v>
      </x:c>
      <x:c r="P53" s="83" t="str">
        <x:v>A - Direct</x:v>
      </x:c>
      <x:c r="Q53" s="83" t="str"/>
    </x:row>
    <x:row r="54">
      <x:c r="A54" s="83" t="str">
        <x:v>BAL-0050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Idroelettrico</x:v>
      </x:c>
      <x:c r="F54" s="143" t="n">
        <x:v>46</x:v>
      </x:c>
      <x:c r="G54" s="83" t="str">
        <x:v>TWh</x:v>
      </x:c>
      <x:c r="H54" s="83" t="str">
        <x:v>Italia</x:v>
      </x:c>
      <x:c r="I54" s="83" t="str">
        <x:v>Risultato di modello della fonte</x:v>
      </x:c>
      <x:c r="J54" s="83" t="str">
        <x:v>S09</x:v>
      </x:c>
      <x:c r="K54" s="83" t="str">
        <x:v>Documento_Descrizione_Scenari_2024_8dce2430d44d101.pdf</x:v>
      </x:c>
      <x:c r="L54" s="83" t="n">
        <x:v>66</x:v>
      </x:c>
      <x:c r="M54" s="83" t="n">
        <x:v>64</x:v>
      </x:c>
      <x:c r="N54" s="83" t="str">
        <x:v>Tabella 18</x:v>
      </x:c>
      <x:c r="O54" s="83" t="str">
        <x:v>Direct table extraction</x:v>
      </x:c>
      <x:c r="P54" s="83" t="str">
        <x:v>A - Direct</x:v>
      </x:c>
      <x:c r="Q54" s="83" t="str"/>
    </x:row>
    <x:row r="55">
      <x:c r="A55" s="83" t="str">
        <x:v>BAL-0051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Idroelettrico</x:v>
      </x:c>
      <x:c r="F55" s="143" t="n">
        <x:v>46</x:v>
      </x:c>
      <x:c r="G55" s="83" t="str">
        <x:v>TWh</x:v>
      </x:c>
      <x:c r="H55" s="83" t="str">
        <x:v>Italia</x:v>
      </x:c>
      <x:c r="I55" s="83" t="str">
        <x:v>Risultato di modello della fonte</x:v>
      </x:c>
      <x:c r="J55" s="83" t="str">
        <x:v>S09</x:v>
      </x:c>
      <x:c r="K55" s="83" t="str">
        <x:v>Documento_Descrizione_Scenari_2024_8dce2430d44d101.pdf</x:v>
      </x:c>
      <x:c r="L55" s="83" t="n">
        <x:v>66</x:v>
      </x:c>
      <x:c r="M55" s="83" t="n">
        <x:v>64</x:v>
      </x:c>
      <x:c r="N55" s="83" t="str">
        <x:v>Tabella 18</x:v>
      </x:c>
      <x:c r="O55" s="83" t="str">
        <x:v>Direct table extraction</x:v>
      </x:c>
      <x:c r="P55" s="83" t="str">
        <x:v>A - Direct</x:v>
      </x:c>
      <x:c r="Q55" s="83" t="str"/>
    </x:row>
    <x:row r="56">
      <x:c r="A56" s="83" t="str">
        <x:v>BAL-0052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Idroelettrico</x:v>
      </x:c>
      <x:c r="F56" s="143" t="n">
        <x:v>46</x:v>
      </x:c>
      <x:c r="G56" s="83" t="str">
        <x:v>TWh</x:v>
      </x:c>
      <x:c r="H56" s="83" t="str">
        <x:v>Italia</x:v>
      </x:c>
      <x:c r="I56" s="83" t="str">
        <x:v>Risultato di modello della fonte</x:v>
      </x:c>
      <x:c r="J56" s="83" t="str">
        <x:v>S09</x:v>
      </x:c>
      <x:c r="K56" s="83" t="str">
        <x:v>Documento_Descrizione_Scenari_2024_8dce2430d44d101.pdf</x:v>
      </x:c>
      <x:c r="L56" s="83" t="n">
        <x:v>66</x:v>
      </x:c>
      <x:c r="M56" s="83" t="n">
        <x:v>64</x:v>
      </x:c>
      <x:c r="N56" s="83" t="str">
        <x:v>Tabella 18</x:v>
      </x:c>
      <x:c r="O56" s="83" t="str">
        <x:v>Direct table extraction</x:v>
      </x:c>
      <x:c r="P56" s="83" t="str">
        <x:v>A - Direct</x:v>
      </x:c>
      <x:c r="Q56" s="83" t="str"/>
    </x:row>
    <x:row r="57">
      <x:c r="A57" s="83" t="str">
        <x:v>BAL-0053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Idroelettrico</x:v>
      </x:c>
      <x:c r="F57" s="143" t="n">
        <x:v>46</x:v>
      </x:c>
      <x:c r="G57" s="83" t="str">
        <x:v>TWh</x:v>
      </x:c>
      <x:c r="H57" s="83" t="str">
        <x:v>Italia</x:v>
      </x:c>
      <x:c r="I57" s="83" t="str">
        <x:v>Risultato di modello della fonte</x:v>
      </x:c>
      <x:c r="J57" s="83" t="str">
        <x:v>S09</x:v>
      </x:c>
      <x:c r="K57" s="83" t="str">
        <x:v>Documento_Descrizione_Scenari_2024_8dce2430d44d101.pdf</x:v>
      </x:c>
      <x:c r="L57" s="83" t="n">
        <x:v>66</x:v>
      </x:c>
      <x:c r="M57" s="83" t="n">
        <x:v>64</x:v>
      </x:c>
      <x:c r="N57" s="83" t="str">
        <x:v>Tabella 18</x:v>
      </x:c>
      <x:c r="O57" s="83" t="str">
        <x:v>Direct table extraction</x:v>
      </x:c>
      <x:c r="P57" s="83" t="str">
        <x:v>A - Direct</x:v>
      </x:c>
      <x:c r="Q57" s="83" t="str"/>
    </x:row>
    <x:row r="58">
      <x:c r="A58" s="83" t="str">
        <x:v>BAL-0054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Idroelettrico</x:v>
      </x:c>
      <x:c r="F58" s="143" t="n">
        <x:v>46</x:v>
      </x:c>
      <x:c r="G58" s="83" t="str">
        <x:v>TWh</x:v>
      </x:c>
      <x:c r="H58" s="83" t="str">
        <x:v>Italia</x:v>
      </x:c>
      <x:c r="I58" s="83" t="str">
        <x:v>Risultato di modello della fonte</x:v>
      </x:c>
      <x:c r="J58" s="83" t="str">
        <x:v>S09</x:v>
      </x:c>
      <x:c r="K58" s="83" t="str">
        <x:v>Documento_Descrizione_Scenari_2024_8dce2430d44d101.pdf</x:v>
      </x:c>
      <x:c r="L58" s="83" t="n">
        <x:v>66</x:v>
      </x:c>
      <x:c r="M58" s="83" t="n">
        <x:v>64</x:v>
      </x:c>
      <x:c r="N58" s="83" t="str">
        <x:v>Tabella 18</x:v>
      </x:c>
      <x:c r="O58" s="83" t="str">
        <x:v>Direct table extraction</x:v>
      </x:c>
      <x:c r="P58" s="83" t="str">
        <x:v>A - Direct</x:v>
      </x:c>
      <x:c r="Q58" s="83" t="str"/>
    </x:row>
    <x:row r="59">
      <x:c r="A59" s="83" t="str">
        <x:v>BAL-0055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Solare</x:v>
      </x:c>
      <x:c r="F59" s="143" t="n">
        <x:v>31</x:v>
      </x:c>
      <x:c r="G59" s="83" t="str">
        <x:v>TWh</x:v>
      </x:c>
      <x:c r="H59" s="83" t="str">
        <x:v>Italia</x:v>
      </x:c>
      <x:c r="I59" s="83" t="str">
        <x:v>Dato osservato storico</x:v>
      </x:c>
      <x:c r="J59" s="83" t="str">
        <x:v>S09</x:v>
      </x:c>
      <x:c r="K59" s="83" t="str">
        <x:v>Documento_Descrizione_Scenari_2024_8dce2430d44d101.pdf</x:v>
      </x:c>
      <x:c r="L59" s="83" t="n">
        <x:v>66</x:v>
      </x:c>
      <x:c r="M59" s="83" t="n">
        <x:v>64</x:v>
      </x:c>
      <x:c r="N59" s="83" t="str">
        <x:v>Tabella 18</x:v>
      </x:c>
      <x:c r="O59" s="83" t="str">
        <x:v>Direct table extraction</x:v>
      </x:c>
      <x:c r="P59" s="83" t="str">
        <x:v>A - Direct</x:v>
      </x:c>
      <x:c r="Q59" s="83" t="str"/>
    </x:row>
    <x:row r="60">
      <x:c r="A60" s="83" t="str">
        <x:v>BAL-0056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Solare</x:v>
      </x:c>
      <x:c r="F60" s="143" t="n">
        <x:v>105</x:v>
      </x:c>
      <x:c r="G60" s="83" t="str">
        <x:v>TWh</x:v>
      </x:c>
      <x:c r="H60" s="83" t="str">
        <x:v>Italia</x:v>
      </x:c>
      <x:c r="I60" s="83" t="str">
        <x:v>Risultato di modello della fonte</x:v>
      </x:c>
      <x:c r="J60" s="83" t="str">
        <x:v>S09</x:v>
      </x:c>
      <x:c r="K60" s="83" t="str">
        <x:v>Documento_Descrizione_Scenari_2024_8dce2430d44d101.pdf</x:v>
      </x:c>
      <x:c r="L60" s="83" t="n">
        <x:v>66</x:v>
      </x:c>
      <x:c r="M60" s="83" t="n">
        <x:v>64</x:v>
      </x:c>
      <x:c r="N60" s="83" t="str">
        <x:v>Tabella 18</x:v>
      </x:c>
      <x:c r="O60" s="83" t="str">
        <x:v>Direct table extraction</x:v>
      </x:c>
      <x:c r="P60" s="83" t="str">
        <x:v>A - Direct</x:v>
      </x:c>
      <x:c r="Q60" s="83" t="str"/>
    </x:row>
    <x:row r="61">
      <x:c r="A61" s="83" t="str">
        <x:v>BAL-0057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Solare</x:v>
      </x:c>
      <x:c r="F61" s="143" t="n">
        <x:v>92</x:v>
      </x:c>
      <x:c r="G61" s="83" t="str">
        <x:v>TWh</x:v>
      </x:c>
      <x:c r="H61" s="83" t="str">
        <x:v>Italia</x:v>
      </x:c>
      <x:c r="I61" s="83" t="str">
        <x:v>Risultato di modello della fonte</x:v>
      </x:c>
      <x:c r="J61" s="83" t="str">
        <x:v>S09</x:v>
      </x:c>
      <x:c r="K61" s="83" t="str">
        <x:v>Documento_Descrizione_Scenari_2024_8dce2430d44d101.pdf</x:v>
      </x:c>
      <x:c r="L61" s="83" t="n">
        <x:v>66</x:v>
      </x:c>
      <x:c r="M61" s="83" t="n">
        <x:v>64</x:v>
      </x:c>
      <x:c r="N61" s="83" t="str">
        <x:v>Tabella 18</x:v>
      </x:c>
      <x:c r="O61" s="83" t="str">
        <x:v>Direct table extraction</x:v>
      </x:c>
      <x:c r="P61" s="83" t="str">
        <x:v>A - Direct</x:v>
      </x:c>
      <x:c r="Q61" s="83" t="str"/>
    </x:row>
    <x:row r="62">
      <x:c r="A62" s="83" t="str">
        <x:v>BAL-0058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Solare</x:v>
      </x:c>
      <x:c r="F62" s="143" t="n">
        <x:v>136</x:v>
      </x:c>
      <x:c r="G62" s="83" t="str">
        <x:v>TWh</x:v>
      </x:c>
      <x:c r="H62" s="83" t="str">
        <x:v>Italia</x:v>
      </x:c>
      <x:c r="I62" s="83" t="str">
        <x:v>Risultato di modello della fonte</x:v>
      </x:c>
      <x:c r="J62" s="83" t="str">
        <x:v>S09</x:v>
      </x:c>
      <x:c r="K62" s="83" t="str">
        <x:v>Documento_Descrizione_Scenari_2024_8dce2430d44d101.pdf</x:v>
      </x:c>
      <x:c r="L62" s="83" t="n">
        <x:v>66</x:v>
      </x:c>
      <x:c r="M62" s="83" t="n">
        <x:v>64</x:v>
      </x:c>
      <x:c r="N62" s="83" t="str">
        <x:v>Tabella 18</x:v>
      </x:c>
      <x:c r="O62" s="83" t="str">
        <x:v>Direct table extraction</x:v>
      </x:c>
      <x:c r="P62" s="83" t="str">
        <x:v>A - Direct</x:v>
      </x:c>
      <x:c r="Q62" s="83" t="str"/>
    </x:row>
    <x:row r="63">
      <x:c r="A63" s="83" t="str">
        <x:v>BAL-0059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Solare</x:v>
      </x:c>
      <x:c r="F63" s="143" t="n">
        <x:v>127</x:v>
      </x:c>
      <x:c r="G63" s="83" t="str">
        <x:v>TWh</x:v>
      </x:c>
      <x:c r="H63" s="83" t="str">
        <x:v>Italia</x:v>
      </x:c>
      <x:c r="I63" s="83" t="str">
        <x:v>Risultato di modello della fonte</x:v>
      </x:c>
      <x:c r="J63" s="83" t="str">
        <x:v>S09</x:v>
      </x:c>
      <x:c r="K63" s="83" t="str">
        <x:v>Documento_Descrizione_Scenari_2024_8dce2430d44d101.pdf</x:v>
      </x:c>
      <x:c r="L63" s="83" t="n">
        <x:v>66</x:v>
      </x:c>
      <x:c r="M63" s="83" t="n">
        <x:v>64</x:v>
      </x:c>
      <x:c r="N63" s="83" t="str">
        <x:v>Tabella 18</x:v>
      </x:c>
      <x:c r="O63" s="83" t="str">
        <x:v>Direct table extraction</x:v>
      </x:c>
      <x:c r="P63" s="83" t="str">
        <x:v>A - Direct</x:v>
      </x:c>
      <x:c r="Q63" s="83" t="str"/>
    </x:row>
    <x:row r="64">
      <x:c r="A64" s="83" t="str">
        <x:v>BAL-0060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Solare</x:v>
      </x:c>
      <x:c r="F64" s="143" t="n">
        <x:v>116</x:v>
      </x:c>
      <x:c r="G64" s="83" t="str">
        <x:v>TWh</x:v>
      </x:c>
      <x:c r="H64" s="83" t="str">
        <x:v>Italia</x:v>
      </x:c>
      <x:c r="I64" s="83" t="str">
        <x:v>Risultato di modello della fonte</x:v>
      </x:c>
      <x:c r="J64" s="83" t="str">
        <x:v>S09</x:v>
      </x:c>
      <x:c r="K64" s="83" t="str">
        <x:v>Documento_Descrizione_Scenari_2024_8dce2430d44d101.pdf</x:v>
      </x:c>
      <x:c r="L64" s="83" t="n">
        <x:v>66</x:v>
      </x:c>
      <x:c r="M64" s="83" t="n">
        <x:v>64</x:v>
      </x:c>
      <x:c r="N64" s="83" t="str">
        <x:v>Tabella 18</x:v>
      </x:c>
      <x:c r="O64" s="83" t="str">
        <x:v>Direct table extraction</x:v>
      </x:c>
      <x:c r="P64" s="83" t="str">
        <x:v>A - Direct</x:v>
      </x:c>
      <x:c r="Q64" s="83" t="str"/>
    </x:row>
    <x:row r="65">
      <x:c r="A65" s="83" t="str">
        <x:v>BAL-0061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Solare</x:v>
      </x:c>
      <x:c r="F65" s="143" t="n">
        <x:v>168</x:v>
      </x:c>
      <x:c r="G65" s="83" t="str">
        <x:v>TWh</x:v>
      </x:c>
      <x:c r="H65" s="83" t="str">
        <x:v>Italia</x:v>
      </x:c>
      <x:c r="I65" s="83" t="str">
        <x:v>Risultato di modello della fonte</x:v>
      </x:c>
      <x:c r="J65" s="83" t="str">
        <x:v>S09</x:v>
      </x:c>
      <x:c r="K65" s="83" t="str">
        <x:v>Documento_Descrizione_Scenari_2024_8dce2430d44d101.pdf</x:v>
      </x:c>
      <x:c r="L65" s="83" t="n">
        <x:v>66</x:v>
      </x:c>
      <x:c r="M65" s="83" t="n">
        <x:v>64</x:v>
      </x:c>
      <x:c r="N65" s="83" t="str">
        <x:v>Tabella 18</x:v>
      </x:c>
      <x:c r="O65" s="83" t="str">
        <x:v>Direct table extraction</x:v>
      </x:c>
      <x:c r="P65" s="83" t="str">
        <x:v>A - Direct</x:v>
      </x:c>
      <x:c r="Q65" s="83" t="str"/>
    </x:row>
    <x:row r="66">
      <x:c r="A66" s="83" t="str">
        <x:v>BAL-0062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Solare</x:v>
      </x:c>
      <x:c r="F66" s="143" t="n">
        <x:v>151</x:v>
      </x:c>
      <x:c r="G66" s="83" t="str">
        <x:v>TWh</x:v>
      </x:c>
      <x:c r="H66" s="83" t="str">
        <x:v>Italia</x:v>
      </x:c>
      <x:c r="I66" s="83" t="str">
        <x:v>Risultato di modello della fonte</x:v>
      </x:c>
      <x:c r="J66" s="83" t="str">
        <x:v>S09</x:v>
      </x:c>
      <x:c r="K66" s="83" t="str">
        <x:v>Documento_Descrizione_Scenari_2024_8dce2430d44d101.pdf</x:v>
      </x:c>
      <x:c r="L66" s="83" t="n">
        <x:v>66</x:v>
      </x:c>
      <x:c r="M66" s="83" t="n">
        <x:v>64</x:v>
      </x:c>
      <x:c r="N66" s="83" t="str">
        <x:v>Tabella 18</x:v>
      </x:c>
      <x:c r="O66" s="83" t="str">
        <x:v>Direct table extraction</x:v>
      </x:c>
      <x:c r="P66" s="83" t="str">
        <x:v>A - Direct</x:v>
      </x:c>
      <x:c r="Q66" s="83" t="str"/>
    </x:row>
    <x:row r="67">
      <x:c r="A67" s="83" t="str">
        <x:v>BAL-0063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Solare</x:v>
      </x:c>
      <x:c r="F67" s="143" t="n">
        <x:v>144</x:v>
      </x:c>
      <x:c r="G67" s="83" t="str">
        <x:v>TWh</x:v>
      </x:c>
      <x:c r="H67" s="83" t="str">
        <x:v>Italia</x:v>
      </x:c>
      <x:c r="I67" s="83" t="str">
        <x:v>Risultato di modello della fonte</x:v>
      </x:c>
      <x:c r="J67" s="83" t="str">
        <x:v>S09</x:v>
      </x:c>
      <x:c r="K67" s="83" t="str">
        <x:v>Documento_Descrizione_Scenari_2024_8dce2430d44d101.pdf</x:v>
      </x:c>
      <x:c r="L67" s="83" t="n">
        <x:v>66</x:v>
      </x:c>
      <x:c r="M67" s="83" t="n">
        <x:v>64</x:v>
      </x:c>
      <x:c r="N67" s="83" t="str">
        <x:v>Tabella 18</x:v>
      </x:c>
      <x:c r="O67" s="83" t="str">
        <x:v>Direct table extraction</x:v>
      </x:c>
      <x:c r="P67" s="83" t="str">
        <x:v>A - Direct</x:v>
      </x:c>
      <x:c r="Q67" s="83" t="str"/>
    </x:row>
    <x:row r="68">
      <x:c r="A68" s="83" t="str">
        <x:v>BAL-0064</x:v>
      </x:c>
      <x:c r="B68" s="83" t="str">
        <x:v>HIST_2023</x:v>
      </x:c>
      <x:c r="C68" s="83" t="n">
        <x:v>2023</x:v>
      </x:c>
      <x:c r="D68" s="83" t="str">
        <x:v>Storico 2023</x:v>
      </x:c>
      <x:c r="E68" s="83" t="str">
        <x:v>Eolico</x:v>
      </x:c>
      <x:c r="F68" s="143" t="n">
        <x:v>24</x:v>
      </x:c>
      <x:c r="G68" s="83" t="str">
        <x:v>TWh</x:v>
      </x:c>
      <x:c r="H68" s="83" t="str">
        <x:v>Italia</x:v>
      </x:c>
      <x:c r="I68" s="83" t="str">
        <x:v>Dato osservato storico</x:v>
      </x:c>
      <x:c r="J68" s="83" t="str">
        <x:v>S09</x:v>
      </x:c>
      <x:c r="K68" s="83" t="str">
        <x:v>Documento_Descrizione_Scenari_2024_8dce2430d44d101.pdf</x:v>
      </x:c>
      <x:c r="L68" s="83" t="n">
        <x:v>66</x:v>
      </x:c>
      <x:c r="M68" s="83" t="n">
        <x:v>64</x:v>
      </x:c>
      <x:c r="N68" s="83" t="str">
        <x:v>Tabella 18</x:v>
      </x:c>
      <x:c r="O68" s="83" t="str">
        <x:v>Direct table extraction</x:v>
      </x:c>
      <x:c r="P68" s="83" t="str">
        <x:v>A - Direct</x:v>
      </x:c>
      <x:c r="Q68" s="83" t="str"/>
    </x:row>
    <x:row r="69">
      <x:c r="A69" s="83" t="str">
        <x:v>BAL-0065</x:v>
      </x:c>
      <x:c r="B69" s="83" t="str">
        <x:v>PNIEC_POLICY_2030</x:v>
      </x:c>
      <x:c r="C69" s="83" t="n">
        <x:v>2030</x:v>
      </x:c>
      <x:c r="D69" s="83" t="str">
        <x:v>PNIEC Policy 2030</x:v>
      </x:c>
      <x:c r="E69" s="83" t="str">
        <x:v>Eolico</x:v>
      </x:c>
      <x:c r="F69" s="143" t="n">
        <x:v>64</x:v>
      </x:c>
      <x:c r="G69" s="83" t="str">
        <x:v>TWh</x:v>
      </x:c>
      <x:c r="H69" s="83" t="str">
        <x:v>Italia</x:v>
      </x:c>
      <x:c r="I69" s="83" t="str">
        <x:v>Risultato di modello della fonte</x:v>
      </x:c>
      <x:c r="J69" s="83" t="str">
        <x:v>S09</x:v>
      </x:c>
      <x:c r="K69" s="83" t="str">
        <x:v>Documento_Descrizione_Scenari_2024_8dce2430d44d101.pdf</x:v>
      </x:c>
      <x:c r="L69" s="83" t="n">
        <x:v>66</x:v>
      </x:c>
      <x:c r="M69" s="83" t="n">
        <x:v>64</x:v>
      </x:c>
      <x:c r="N69" s="83" t="str">
        <x:v>Tabella 18</x:v>
      </x:c>
      <x:c r="O69" s="83" t="str">
        <x:v>Direct table extraction</x:v>
      </x:c>
      <x:c r="P69" s="83" t="str">
        <x:v>A - Direct</x:v>
      </x:c>
      <x:c r="Q69" s="83" t="str"/>
    </x:row>
    <x:row r="70">
      <x:c r="A70" s="83" t="str">
        <x:v>BAL-0066</x:v>
      </x:c>
      <x:c r="B70" s="83" t="str">
        <x:v>PNIEC_SLOW_2030</x:v>
      </x:c>
      <x:c r="C70" s="83" t="n">
        <x:v>2030</x:v>
      </x:c>
      <x:c r="D70" s="83" t="str">
        <x:v>PNIEC Slow 2030</x:v>
      </x:c>
      <x:c r="E70" s="83" t="str">
        <x:v>Eolico</x:v>
      </x:c>
      <x:c r="F70" s="143" t="n">
        <x:v>49</x:v>
      </x:c>
      <x:c r="G70" s="83" t="str">
        <x:v>TWh</x:v>
      </x:c>
      <x:c r="H70" s="83" t="str">
        <x:v>Italia</x:v>
      </x:c>
      <x:c r="I70" s="83" t="str">
        <x:v>Risultato di modello della fonte</x:v>
      </x:c>
      <x:c r="J70" s="83" t="str">
        <x:v>S09</x:v>
      </x:c>
      <x:c r="K70" s="83" t="str">
        <x:v>Documento_Descrizione_Scenari_2024_8dce2430d44d101.pdf</x:v>
      </x:c>
      <x:c r="L70" s="83" t="n">
        <x:v>66</x:v>
      </x:c>
      <x:c r="M70" s="83" t="n">
        <x:v>64</x:v>
      </x:c>
      <x:c r="N70" s="83" t="str">
        <x:v>Tabella 18</x:v>
      </x:c>
      <x:c r="O70" s="83" t="str">
        <x:v>Direct table extraction</x:v>
      </x:c>
      <x:c r="P70" s="83" t="str">
        <x:v>A - Direct</x:v>
      </x:c>
      <x:c r="Q70" s="83" t="str"/>
    </x:row>
    <x:row r="71">
      <x:c r="A71" s="83" t="str">
        <x:v>BAL-0067</x:v>
      </x:c>
      <x:c r="B71" s="83" t="str">
        <x:v>DE_IT_2035</x:v>
      </x:c>
      <x:c r="C71" s="83" t="n">
        <x:v>2035</x:v>
      </x:c>
      <x:c r="D71" s="83" t="str">
        <x:v>DE-IT 2035</x:v>
      </x:c>
      <x:c r="E71" s="83" t="str">
        <x:v>Eolico</x:v>
      </x:c>
      <x:c r="F71" s="143" t="n">
        <x:v>88</x:v>
      </x:c>
      <x:c r="G71" s="83" t="str">
        <x:v>TWh</x:v>
      </x:c>
      <x:c r="H71" s="83" t="str">
        <x:v>Italia</x:v>
      </x:c>
      <x:c r="I71" s="83" t="str">
        <x:v>Risultato di modello della fonte</x:v>
      </x:c>
      <x:c r="J71" s="83" t="str">
        <x:v>S09</x:v>
      </x:c>
      <x:c r="K71" s="83" t="str">
        <x:v>Documento_Descrizione_Scenari_2024_8dce2430d44d101.pdf</x:v>
      </x:c>
      <x:c r="L71" s="83" t="n">
        <x:v>66</x:v>
      </x:c>
      <x:c r="M71" s="83" t="n">
        <x:v>64</x:v>
      </x:c>
      <x:c r="N71" s="83" t="str">
        <x:v>Tabella 18</x:v>
      </x:c>
      <x:c r="O71" s="83" t="str">
        <x:v>Direct table extraction</x:v>
      </x:c>
      <x:c r="P71" s="83" t="str">
        <x:v>A - Direct</x:v>
      </x:c>
      <x:c r="Q71" s="83" t="str"/>
    </x:row>
    <x:row r="72">
      <x:c r="A72" s="83" t="str">
        <x:v>BAL-0068</x:v>
      </x:c>
      <x:c r="B72" s="83" t="str">
        <x:v>GA_IT_2035</x:v>
      </x:c>
      <x:c r="C72" s="83" t="n">
        <x:v>2035</x:v>
      </x:c>
      <x:c r="D72" s="83" t="str">
        <x:v>GA-IT 2035</x:v>
      </x:c>
      <x:c r="E72" s="83" t="str">
        <x:v>Eolico</x:v>
      </x:c>
      <x:c r="F72" s="143" t="n">
        <x:v>79</x:v>
      </x:c>
      <x:c r="G72" s="83" t="str">
        <x:v>TWh</x:v>
      </x:c>
      <x:c r="H72" s="83" t="str">
        <x:v>Italia</x:v>
      </x:c>
      <x:c r="I72" s="83" t="str">
        <x:v>Risultato di modello della fonte</x:v>
      </x:c>
      <x:c r="J72" s="83" t="str">
        <x:v>S09</x:v>
      </x:c>
      <x:c r="K72" s="83" t="str">
        <x:v>Documento_Descrizione_Scenari_2024_8dce2430d44d101.pdf</x:v>
      </x:c>
      <x:c r="L72" s="83" t="n">
        <x:v>66</x:v>
      </x:c>
      <x:c r="M72" s="83" t="n">
        <x:v>64</x:v>
      </x:c>
      <x:c r="N72" s="83" t="str">
        <x:v>Tabella 18</x:v>
      </x:c>
      <x:c r="O72" s="83" t="str">
        <x:v>Direct table extraction</x:v>
      </x:c>
      <x:c r="P72" s="83" t="str">
        <x:v>A - Direct</x:v>
      </x:c>
      <x:c r="Q72" s="83" t="str"/>
    </x:row>
    <x:row r="73">
      <x:c r="A73" s="83" t="str">
        <x:v>BAL-0069</x:v>
      </x:c>
      <x:c r="B73" s="83" t="str">
        <x:v>PNIEC_SLOW_2035</x:v>
      </x:c>
      <x:c r="C73" s="83" t="n">
        <x:v>2035</x:v>
      </x:c>
      <x:c r="D73" s="83" t="str">
        <x:v>PNIEC Slow 2035</x:v>
      </x:c>
      <x:c r="E73" s="83" t="str">
        <x:v>Eolico</x:v>
      </x:c>
      <x:c r="F73" s="143" t="n">
        <x:v>69</x:v>
      </x:c>
      <x:c r="G73" s="83" t="str">
        <x:v>TWh</x:v>
      </x:c>
      <x:c r="H73" s="83" t="str">
        <x:v>Italia</x:v>
      </x:c>
      <x:c r="I73" s="83" t="str">
        <x:v>Risultato di modello della fonte</x:v>
      </x:c>
      <x:c r="J73" s="83" t="str">
        <x:v>S09</x:v>
      </x:c>
      <x:c r="K73" s="83" t="str">
        <x:v>Documento_Descrizione_Scenari_2024_8dce2430d44d101.pdf</x:v>
      </x:c>
      <x:c r="L73" s="83" t="n">
        <x:v>66</x:v>
      </x:c>
      <x:c r="M73" s="83" t="n">
        <x:v>64</x:v>
      </x:c>
      <x:c r="N73" s="83" t="str">
        <x:v>Tabella 18</x:v>
      </x:c>
      <x:c r="O73" s="83" t="str">
        <x:v>Direct table extraction</x:v>
      </x:c>
      <x:c r="P73" s="83" t="str">
        <x:v>A - Direct</x:v>
      </x:c>
      <x:c r="Q73" s="83" t="str"/>
    </x:row>
    <x:row r="74">
      <x:c r="A74" s="83" t="str">
        <x:v>BAL-0070</x:v>
      </x:c>
      <x:c r="B74" s="83" t="str">
        <x:v>DE_IT_2040</x:v>
      </x:c>
      <x:c r="C74" s="83" t="n">
        <x:v>2040</x:v>
      </x:c>
      <x:c r="D74" s="83" t="str">
        <x:v>DE-IT 2040</x:v>
      </x:c>
      <x:c r="E74" s="83" t="str">
        <x:v>Eolico</x:v>
      </x:c>
      <x:c r="F74" s="143" t="n">
        <x:v>121</x:v>
      </x:c>
      <x:c r="G74" s="83" t="str">
        <x:v>TWh</x:v>
      </x:c>
      <x:c r="H74" s="83" t="str">
        <x:v>Italia</x:v>
      </x:c>
      <x:c r="I74" s="83" t="str">
        <x:v>Risultato di modello della fonte</x:v>
      </x:c>
      <x:c r="J74" s="83" t="str">
        <x:v>S09</x:v>
      </x:c>
      <x:c r="K74" s="83" t="str">
        <x:v>Documento_Descrizione_Scenari_2024_8dce2430d44d101.pdf</x:v>
      </x:c>
      <x:c r="L74" s="83" t="n">
        <x:v>66</x:v>
      </x:c>
      <x:c r="M74" s="83" t="n">
        <x:v>64</x:v>
      </x:c>
      <x:c r="N74" s="83" t="str">
        <x:v>Tabella 18</x:v>
      </x:c>
      <x:c r="O74" s="83" t="str">
        <x:v>Direct table extraction</x:v>
      </x:c>
      <x:c r="P74" s="83" t="str">
        <x:v>A - Direct</x:v>
      </x:c>
      <x:c r="Q74" s="83" t="str"/>
    </x:row>
    <x:row r="75">
      <x:c r="A75" s="83" t="str">
        <x:v>BAL-0071</x:v>
      </x:c>
      <x:c r="B75" s="83" t="str">
        <x:v>GA_IT_2040</x:v>
      </x:c>
      <x:c r="C75" s="83" t="n">
        <x:v>2040</x:v>
      </x:c>
      <x:c r="D75" s="83" t="str">
        <x:v>GA-IT 2040</x:v>
      </x:c>
      <x:c r="E75" s="83" t="str">
        <x:v>Eolico</x:v>
      </x:c>
      <x:c r="F75" s="143" t="n">
        <x:v>105</x:v>
      </x:c>
      <x:c r="G75" s="83" t="str">
        <x:v>TWh</x:v>
      </x:c>
      <x:c r="H75" s="83" t="str">
        <x:v>Italia</x:v>
      </x:c>
      <x:c r="I75" s="83" t="str">
        <x:v>Risultato di modello della fonte</x:v>
      </x:c>
      <x:c r="J75" s="83" t="str">
        <x:v>S09</x:v>
      </x:c>
      <x:c r="K75" s="83" t="str">
        <x:v>Documento_Descrizione_Scenari_2024_8dce2430d44d101.pdf</x:v>
      </x:c>
      <x:c r="L75" s="83" t="n">
        <x:v>66</x:v>
      </x:c>
      <x:c r="M75" s="83" t="n">
        <x:v>64</x:v>
      </x:c>
      <x:c r="N75" s="83" t="str">
        <x:v>Tabella 18</x:v>
      </x:c>
      <x:c r="O75" s="83" t="str">
        <x:v>Direct table extraction</x:v>
      </x:c>
      <x:c r="P75" s="83" t="str">
        <x:v>A - Direct</x:v>
      </x:c>
      <x:c r="Q75" s="83" t="str"/>
    </x:row>
    <x:row r="76">
      <x:c r="A76" s="83" t="str">
        <x:v>BAL-0072</x:v>
      </x:c>
      <x:c r="B76" s="83" t="str">
        <x:v>PNIEC_SLOW_2040</x:v>
      </x:c>
      <x:c r="C76" s="83" t="n">
        <x:v>2040</x:v>
      </x:c>
      <x:c r="D76" s="83" t="str">
        <x:v>PNIEC Slow 2040</x:v>
      </x:c>
      <x:c r="E76" s="83" t="str">
        <x:v>Eolico</x:v>
      </x:c>
      <x:c r="F76" s="143" t="n">
        <x:v>95</x:v>
      </x:c>
      <x:c r="G76" s="83" t="str">
        <x:v>TWh</x:v>
      </x:c>
      <x:c r="H76" s="83" t="str">
        <x:v>Italia</x:v>
      </x:c>
      <x:c r="I76" s="83" t="str">
        <x:v>Risultato di modello della fonte</x:v>
      </x:c>
      <x:c r="J76" s="83" t="str">
        <x:v>S09</x:v>
      </x:c>
      <x:c r="K76" s="83" t="str">
        <x:v>Documento_Descrizione_Scenari_2024_8dce2430d44d101.pdf</x:v>
      </x:c>
      <x:c r="L76" s="83" t="n">
        <x:v>66</x:v>
      </x:c>
      <x:c r="M76" s="83" t="n">
        <x:v>64</x:v>
      </x:c>
      <x:c r="N76" s="83" t="str">
        <x:v>Tabella 18</x:v>
      </x:c>
      <x:c r="O76" s="83" t="str">
        <x:v>Direct table extraction</x:v>
      </x:c>
      <x:c r="P76" s="83" t="str">
        <x:v>A - Direct</x:v>
      </x:c>
      <x:c r="Q76" s="83" t="str"/>
    </x:row>
    <x:row r="77">
      <x:c r="A77" s="83" t="str">
        <x:v>BAL-0073</x:v>
      </x:c>
      <x:c r="B77" s="83" t="str">
        <x:v>HIST_2023</x:v>
      </x:c>
      <x:c r="C77" s="83" t="n">
        <x:v>2023</x:v>
      </x:c>
      <x:c r="D77" s="83" t="str">
        <x:v>Storico 2023</x:v>
      </x:c>
      <x:c r="E77" s="83" t="str">
        <x:v>Altre FER</x:v>
      </x:c>
      <x:c r="F77" s="143" t="n">
        <x:v>21</x:v>
      </x:c>
      <x:c r="G77" s="83" t="str">
        <x:v>TWh</x:v>
      </x:c>
      <x:c r="H77" s="83" t="str">
        <x:v>Italia</x:v>
      </x:c>
      <x:c r="I77" s="83" t="str">
        <x:v>Dato osservato storico</x:v>
      </x:c>
      <x:c r="J77" s="83" t="str">
        <x:v>S09</x:v>
      </x:c>
      <x:c r="K77" s="83" t="str">
        <x:v>Documento_Descrizione_Scenari_2024_8dce2430d44d101.pdf</x:v>
      </x:c>
      <x:c r="L77" s="83" t="n">
        <x:v>66</x:v>
      </x:c>
      <x:c r="M77" s="83" t="n">
        <x:v>64</x:v>
      </x:c>
      <x:c r="N77" s="83" t="str">
        <x:v>Tabella 18</x:v>
      </x:c>
      <x:c r="O77" s="83" t="str">
        <x:v>Direct table extraction</x:v>
      </x:c>
      <x:c r="P77" s="83" t="str">
        <x:v>A - Direct</x:v>
      </x:c>
      <x:c r="Q77" s="83" t="str"/>
    </x:row>
    <x:row r="78">
      <x:c r="A78" s="83" t="str">
        <x:v>BAL-0074</x:v>
      </x:c>
      <x:c r="B78" s="83" t="str">
        <x:v>PNIEC_POLICY_2030</x:v>
      </x:c>
      <x:c r="C78" s="83" t="n">
        <x:v>2030</x:v>
      </x:c>
      <x:c r="D78" s="83" t="str">
        <x:v>PNIEC Policy 2030</x:v>
      </x:c>
      <x:c r="E78" s="83" t="str">
        <x:v>Altre FER</x:v>
      </x:c>
      <x:c r="F78" s="143" t="n">
        <x:v>17</x:v>
      </x:c>
      <x:c r="G78" s="83" t="str">
        <x:v>TWh</x:v>
      </x:c>
      <x:c r="H78" s="83" t="str">
        <x:v>Italia</x:v>
      </x:c>
      <x:c r="I78" s="83" t="str">
        <x:v>Risultato di modello della fonte</x:v>
      </x:c>
      <x:c r="J78" s="83" t="str">
        <x:v>S09</x:v>
      </x:c>
      <x:c r="K78" s="83" t="str">
        <x:v>Documento_Descrizione_Scenari_2024_8dce2430d44d101.pdf</x:v>
      </x:c>
      <x:c r="L78" s="83" t="n">
        <x:v>66</x:v>
      </x:c>
      <x:c r="M78" s="83" t="n">
        <x:v>64</x:v>
      </x:c>
      <x:c r="N78" s="83" t="str">
        <x:v>Tabella 18</x:v>
      </x:c>
      <x:c r="O78" s="83" t="str">
        <x:v>Direct table extraction</x:v>
      </x:c>
      <x:c r="P78" s="83" t="str">
        <x:v>A - Direct</x:v>
      </x:c>
      <x:c r="Q78" s="83" t="str"/>
    </x:row>
    <x:row r="79">
      <x:c r="A79" s="83" t="str">
        <x:v>BAL-0075</x:v>
      </x:c>
      <x:c r="B79" s="83" t="str">
        <x:v>PNIEC_SLOW_2030</x:v>
      </x:c>
      <x:c r="C79" s="83" t="n">
        <x:v>2030</x:v>
      </x:c>
      <x:c r="D79" s="83" t="str">
        <x:v>PNIEC Slow 2030</x:v>
      </x:c>
      <x:c r="E79" s="83" t="str">
        <x:v>Altre FER</x:v>
      </x:c>
      <x:c r="F79" s="143" t="n">
        <x:v>17</x:v>
      </x:c>
      <x:c r="G79" s="83" t="str">
        <x:v>TWh</x:v>
      </x:c>
      <x:c r="H79" s="83" t="str">
        <x:v>Italia</x:v>
      </x:c>
      <x:c r="I79" s="83" t="str">
        <x:v>Risultato di modello della fonte</x:v>
      </x:c>
      <x:c r="J79" s="83" t="str">
        <x:v>S09</x:v>
      </x:c>
      <x:c r="K79" s="83" t="str">
        <x:v>Documento_Descrizione_Scenari_2024_8dce2430d44d101.pdf</x:v>
      </x:c>
      <x:c r="L79" s="83" t="n">
        <x:v>66</x:v>
      </x:c>
      <x:c r="M79" s="83" t="n">
        <x:v>64</x:v>
      </x:c>
      <x:c r="N79" s="83" t="str">
        <x:v>Tabella 18</x:v>
      </x:c>
      <x:c r="O79" s="83" t="str">
        <x:v>Direct table extraction</x:v>
      </x:c>
      <x:c r="P79" s="83" t="str">
        <x:v>A - Direct</x:v>
      </x:c>
      <x:c r="Q79" s="83" t="str"/>
    </x:row>
    <x:row r="80">
      <x:c r="A80" s="83" t="str">
        <x:v>BAL-0076</x:v>
      </x:c>
      <x:c r="B80" s="83" t="str">
        <x:v>DE_IT_2035</x:v>
      </x:c>
      <x:c r="C80" s="83" t="n">
        <x:v>2035</x:v>
      </x:c>
      <x:c r="D80" s="83" t="str">
        <x:v>DE-IT 2035</x:v>
      </x:c>
      <x:c r="E80" s="83" t="str">
        <x:v>Altre FER</x:v>
      </x:c>
      <x:c r="F80" s="143" t="n">
        <x:v>17</x:v>
      </x:c>
      <x:c r="G80" s="83" t="str">
        <x:v>TWh</x:v>
      </x:c>
      <x:c r="H80" s="83" t="str">
        <x:v>Italia</x:v>
      </x:c>
      <x:c r="I80" s="83" t="str">
        <x:v>Risultato di modello della fonte</x:v>
      </x:c>
      <x:c r="J80" s="83" t="str">
        <x:v>S09</x:v>
      </x:c>
      <x:c r="K80" s="83" t="str">
        <x:v>Documento_Descrizione_Scenari_2024_8dce2430d44d101.pdf</x:v>
      </x:c>
      <x:c r="L80" s="83" t="n">
        <x:v>66</x:v>
      </x:c>
      <x:c r="M80" s="83" t="n">
        <x:v>64</x:v>
      </x:c>
      <x:c r="N80" s="83" t="str">
        <x:v>Tabella 18</x:v>
      </x:c>
      <x:c r="O80" s="83" t="str">
        <x:v>Direct table extraction</x:v>
      </x:c>
      <x:c r="P80" s="83" t="str">
        <x:v>A - Direct</x:v>
      </x:c>
      <x:c r="Q80" s="83" t="str"/>
    </x:row>
    <x:row r="81">
      <x:c r="A81" s="83" t="str">
        <x:v>BAL-0077</x:v>
      </x:c>
      <x:c r="B81" s="83" t="str">
        <x:v>GA_IT_2035</x:v>
      </x:c>
      <x:c r="C81" s="83" t="n">
        <x:v>2035</x:v>
      </x:c>
      <x:c r="D81" s="83" t="str">
        <x:v>GA-IT 2035</x:v>
      </x:c>
      <x:c r="E81" s="83" t="str">
        <x:v>Altre FER</x:v>
      </x:c>
      <x:c r="F81" s="143" t="n">
        <x:v>17</x:v>
      </x:c>
      <x:c r="G81" s="83" t="str">
        <x:v>TWh</x:v>
      </x:c>
      <x:c r="H81" s="83" t="str">
        <x:v>Italia</x:v>
      </x:c>
      <x:c r="I81" s="83" t="str">
        <x:v>Risultato di modello della fonte</x:v>
      </x:c>
      <x:c r="J81" s="83" t="str">
        <x:v>S09</x:v>
      </x:c>
      <x:c r="K81" s="83" t="str">
        <x:v>Documento_Descrizione_Scenari_2024_8dce2430d44d101.pdf</x:v>
      </x:c>
      <x:c r="L81" s="83" t="n">
        <x:v>66</x:v>
      </x:c>
      <x:c r="M81" s="83" t="n">
        <x:v>64</x:v>
      </x:c>
      <x:c r="N81" s="83" t="str">
        <x:v>Tabella 18</x:v>
      </x:c>
      <x:c r="O81" s="83" t="str">
        <x:v>Direct table extraction</x:v>
      </x:c>
      <x:c r="P81" s="83" t="str">
        <x:v>A - Direct</x:v>
      </x:c>
      <x:c r="Q81" s="83" t="str"/>
    </x:row>
    <x:row r="82">
      <x:c r="A82" s="83" t="str">
        <x:v>BAL-0078</x:v>
      </x:c>
      <x:c r="B82" s="83" t="str">
        <x:v>PNIEC_SLOW_2035</x:v>
      </x:c>
      <x:c r="C82" s="83" t="n">
        <x:v>2035</x:v>
      </x:c>
      <x:c r="D82" s="83" t="str">
        <x:v>PNIEC Slow 2035</x:v>
      </x:c>
      <x:c r="E82" s="83" t="str">
        <x:v>Altre FER</x:v>
      </x:c>
      <x:c r="F82" s="143" t="n">
        <x:v>17</x:v>
      </x:c>
      <x:c r="G82" s="83" t="str">
        <x:v>TWh</x:v>
      </x:c>
      <x:c r="H82" s="83" t="str">
        <x:v>Italia</x:v>
      </x:c>
      <x:c r="I82" s="83" t="str">
        <x:v>Risultato di modello della fonte</x:v>
      </x:c>
      <x:c r="J82" s="83" t="str">
        <x:v>S09</x:v>
      </x:c>
      <x:c r="K82" s="83" t="str">
        <x:v>Documento_Descrizione_Scenari_2024_8dce2430d44d101.pdf</x:v>
      </x:c>
      <x:c r="L82" s="83" t="n">
        <x:v>66</x:v>
      </x:c>
      <x:c r="M82" s="83" t="n">
        <x:v>64</x:v>
      </x:c>
      <x:c r="N82" s="83" t="str">
        <x:v>Tabella 18</x:v>
      </x:c>
      <x:c r="O82" s="83" t="str">
        <x:v>Direct table extraction</x:v>
      </x:c>
      <x:c r="P82" s="83" t="str">
        <x:v>A - Direct</x:v>
      </x:c>
      <x:c r="Q82" s="83" t="str"/>
    </x:row>
    <x:row r="83">
      <x:c r="A83" s="83" t="str">
        <x:v>BAL-0079</x:v>
      </x:c>
      <x:c r="B83" s="83" t="str">
        <x:v>DE_IT_2040</x:v>
      </x:c>
      <x:c r="C83" s="83" t="n">
        <x:v>2040</x:v>
      </x:c>
      <x:c r="D83" s="83" t="str">
        <x:v>DE-IT 2040</x:v>
      </x:c>
      <x:c r="E83" s="83" t="str">
        <x:v>Altre FER</x:v>
      </x:c>
      <x:c r="F83" s="143" t="n">
        <x:v>17</x:v>
      </x:c>
      <x:c r="G83" s="83" t="str">
        <x:v>TWh</x:v>
      </x:c>
      <x:c r="H83" s="83" t="str">
        <x:v>Italia</x:v>
      </x:c>
      <x:c r="I83" s="83" t="str">
        <x:v>Risultato di modello della fonte</x:v>
      </x:c>
      <x:c r="J83" s="83" t="str">
        <x:v>S09</x:v>
      </x:c>
      <x:c r="K83" s="83" t="str">
        <x:v>Documento_Descrizione_Scenari_2024_8dce2430d44d101.pdf</x:v>
      </x:c>
      <x:c r="L83" s="83" t="n">
        <x:v>66</x:v>
      </x:c>
      <x:c r="M83" s="83" t="n">
        <x:v>64</x:v>
      </x:c>
      <x:c r="N83" s="83" t="str">
        <x:v>Tabella 18</x:v>
      </x:c>
      <x:c r="O83" s="83" t="str">
        <x:v>Direct table extraction</x:v>
      </x:c>
      <x:c r="P83" s="83" t="str">
        <x:v>A - Direct</x:v>
      </x:c>
      <x:c r="Q83" s="83" t="str"/>
    </x:row>
    <x:row r="84">
      <x:c r="A84" s="83" t="str">
        <x:v>BAL-0080</x:v>
      </x:c>
      <x:c r="B84" s="83" t="str">
        <x:v>GA_IT_2040</x:v>
      </x:c>
      <x:c r="C84" s="83" t="n">
        <x:v>2040</x:v>
      </x:c>
      <x:c r="D84" s="83" t="str">
        <x:v>GA-IT 2040</x:v>
      </x:c>
      <x:c r="E84" s="83" t="str">
        <x:v>Altre FER</x:v>
      </x:c>
      <x:c r="F84" s="143" t="n">
        <x:v>17</x:v>
      </x:c>
      <x:c r="G84" s="83" t="str">
        <x:v>TWh</x:v>
      </x:c>
      <x:c r="H84" s="83" t="str">
        <x:v>Italia</x:v>
      </x:c>
      <x:c r="I84" s="83" t="str">
        <x:v>Risultato di modello della fonte</x:v>
      </x:c>
      <x:c r="J84" s="83" t="str">
        <x:v>S09</x:v>
      </x:c>
      <x:c r="K84" s="83" t="str">
        <x:v>Documento_Descrizione_Scenari_2024_8dce2430d44d101.pdf</x:v>
      </x:c>
      <x:c r="L84" s="83" t="n">
        <x:v>66</x:v>
      </x:c>
      <x:c r="M84" s="83" t="n">
        <x:v>64</x:v>
      </x:c>
      <x:c r="N84" s="83" t="str">
        <x:v>Tabella 18</x:v>
      </x:c>
      <x:c r="O84" s="83" t="str">
        <x:v>Direct table extraction</x:v>
      </x:c>
      <x:c r="P84" s="83" t="str">
        <x:v>A - Direct</x:v>
      </x:c>
      <x:c r="Q84" s="83" t="str"/>
    </x:row>
    <x:row r="85">
      <x:c r="A85" s="83" t="str">
        <x:v>BAL-0081</x:v>
      </x:c>
      <x:c r="B85" s="83" t="str">
        <x:v>PNIEC_SLOW_2040</x:v>
      </x:c>
      <x:c r="C85" s="83" t="n">
        <x:v>2040</x:v>
      </x:c>
      <x:c r="D85" s="83" t="str">
        <x:v>PNIEC Slow 2040</x:v>
      </x:c>
      <x:c r="E85" s="83" t="str">
        <x:v>Altre FER</x:v>
      </x:c>
      <x:c r="F85" s="143" t="n">
        <x:v>17</x:v>
      </x:c>
      <x:c r="G85" s="83" t="str">
        <x:v>TWh</x:v>
      </x:c>
      <x:c r="H85" s="83" t="str">
        <x:v>Italia</x:v>
      </x:c>
      <x:c r="I85" s="83" t="str">
        <x:v>Risultato di modello della fonte</x:v>
      </x:c>
      <x:c r="J85" s="83" t="str">
        <x:v>S09</x:v>
      </x:c>
      <x:c r="K85" s="83" t="str">
        <x:v>Documento_Descrizione_Scenari_2024_8dce2430d44d101.pdf</x:v>
      </x:c>
      <x:c r="L85" s="83" t="n">
        <x:v>66</x:v>
      </x:c>
      <x:c r="M85" s="83" t="n">
        <x:v>64</x:v>
      </x:c>
      <x:c r="N85" s="83" t="str">
        <x:v>Tabella 18</x:v>
      </x:c>
      <x:c r="O85" s="83" t="str">
        <x:v>Direct table extraction</x:v>
      </x:c>
      <x:c r="P85" s="83" t="str">
        <x:v>A - Direct</x:v>
      </x:c>
      <x:c r="Q85" s="83" t="str"/>
    </x:row>
    <x:row r="86">
      <x:c r="A86" s="83" t="str">
        <x:v>BAL-0082</x:v>
      </x:c>
      <x:c r="B86" s="83" t="str">
        <x:v>HIST_2023</x:v>
      </x:c>
      <x:c r="C86" s="83" t="n">
        <x:v>2023</x:v>
      </x:c>
      <x:c r="D86" s="83" t="str">
        <x:v>Storico 2023</x:v>
      </x:c>
      <x:c r="E86" s="83" t="str">
        <x:v>Overgeneration</x:v>
      </x:c>
      <x:c r="F86" s="143" t="n">
        <x:v>0</x:v>
      </x:c>
      <x:c r="G86" s="83" t="str">
        <x:v>TWh</x:v>
      </x:c>
      <x:c r="H86" s="83" t="str">
        <x:v>Italia</x:v>
      </x:c>
      <x:c r="I86" s="83" t="str">
        <x:v>Dato osservato storico</x:v>
      </x:c>
      <x:c r="J86" s="83" t="str">
        <x:v>S09</x:v>
      </x:c>
      <x:c r="K86" s="83" t="str">
        <x:v>Documento_Descrizione_Scenari_2024_8dce2430d44d101.pdf</x:v>
      </x:c>
      <x:c r="L86" s="83" t="n">
        <x:v>66</x:v>
      </x:c>
      <x:c r="M86" s="83" t="n">
        <x:v>64</x:v>
      </x:c>
      <x:c r="N86" s="83" t="str">
        <x:v>Tabella 18</x:v>
      </x:c>
      <x:c r="O86" s="83" t="str">
        <x:v>Direct table extraction</x:v>
      </x:c>
      <x:c r="P86" s="83" t="str">
        <x:v>A - Direct</x:v>
      </x:c>
      <x:c r="Q86" s="83" t="str">
        <x:v>Overgeneration and storage losses are shown as negative balance terms.</x:v>
      </x:c>
    </x:row>
    <x:row r="87">
      <x:c r="A87" s="83" t="str">
        <x:v>BAL-0083</x:v>
      </x:c>
      <x:c r="B87" s="83" t="str">
        <x:v>PNIEC_POLICY_2030</x:v>
      </x:c>
      <x:c r="C87" s="83" t="n">
        <x:v>2030</x:v>
      </x:c>
      <x:c r="D87" s="83" t="str">
        <x:v>PNIEC Policy 2030</x:v>
      </x:c>
      <x:c r="E87" s="83" t="str">
        <x:v>Overgeneration</x:v>
      </x:c>
      <x:c r="F87" s="143" t="n">
        <x:v>-5</x:v>
      </x:c>
      <x:c r="G87" s="83" t="str">
        <x:v>TWh</x:v>
      </x:c>
      <x:c r="H87" s="83" t="str">
        <x:v>Italia</x:v>
      </x:c>
      <x:c r="I87" s="83" t="str">
        <x:v>Risultato di modello della fonte</x:v>
      </x:c>
      <x:c r="J87" s="83" t="str">
        <x:v>S09</x:v>
      </x:c>
      <x:c r="K87" s="83" t="str">
        <x:v>Documento_Descrizione_Scenari_2024_8dce2430d44d101.pdf</x:v>
      </x:c>
      <x:c r="L87" s="83" t="n">
        <x:v>66</x:v>
      </x:c>
      <x:c r="M87" s="83" t="n">
        <x:v>64</x:v>
      </x:c>
      <x:c r="N87" s="83" t="str">
        <x:v>Tabella 18</x:v>
      </x:c>
      <x:c r="O87" s="83" t="str">
        <x:v>Direct table extraction</x:v>
      </x:c>
      <x:c r="P87" s="83" t="str">
        <x:v>A - Direct</x:v>
      </x:c>
      <x:c r="Q87" s="83" t="str">
        <x:v>Overgeneration and storage losses are shown as negative balance terms.</x:v>
      </x:c>
    </x:row>
    <x:row r="88">
      <x:c r="A88" s="83" t="str">
        <x:v>BAL-0084</x:v>
      </x:c>
      <x:c r="B88" s="83" t="str">
        <x:v>PNIEC_SLOW_2030</x:v>
      </x:c>
      <x:c r="C88" s="83" t="n">
        <x:v>2030</x:v>
      </x:c>
      <x:c r="D88" s="83" t="str">
        <x:v>PNIEC Slow 2030</x:v>
      </x:c>
      <x:c r="E88" s="83" t="str">
        <x:v>Overgeneration</x:v>
      </x:c>
      <x:c r="F88" s="143" t="n">
        <x:v>-3</x:v>
      </x:c>
      <x:c r="G88" s="83" t="str">
        <x:v>TWh</x:v>
      </x:c>
      <x:c r="H88" s="83" t="str">
        <x:v>Italia</x:v>
      </x:c>
      <x:c r="I88" s="83" t="str">
        <x:v>Risultato di modello della fonte</x:v>
      </x:c>
      <x:c r="J88" s="83" t="str">
        <x:v>S09</x:v>
      </x:c>
      <x:c r="K88" s="83" t="str">
        <x:v>Documento_Descrizione_Scenari_2024_8dce2430d44d101.pdf</x:v>
      </x:c>
      <x:c r="L88" s="83" t="n">
        <x:v>66</x:v>
      </x:c>
      <x:c r="M88" s="83" t="n">
        <x:v>64</x:v>
      </x:c>
      <x:c r="N88" s="83" t="str">
        <x:v>Tabella 18</x:v>
      </x:c>
      <x:c r="O88" s="83" t="str">
        <x:v>Direct table extraction</x:v>
      </x:c>
      <x:c r="P88" s="83" t="str">
        <x:v>A - Direct</x:v>
      </x:c>
      <x:c r="Q88" s="83" t="str">
        <x:v>Overgeneration and storage losses are shown as negative balance terms.</x:v>
      </x:c>
    </x:row>
    <x:row r="89">
      <x:c r="A89" s="83" t="str">
        <x:v>BAL-0085</x:v>
      </x:c>
      <x:c r="B89" s="83" t="str">
        <x:v>DE_IT_2035</x:v>
      </x:c>
      <x:c r="C89" s="83" t="n">
        <x:v>2035</x:v>
      </x:c>
      <x:c r="D89" s="83" t="str">
        <x:v>DE-IT 2035</x:v>
      </x:c>
      <x:c r="E89" s="83" t="str">
        <x:v>Overgeneration</x:v>
      </x:c>
      <x:c r="F89" s="143" t="n">
        <x:v>-12</x:v>
      </x:c>
      <x:c r="G89" s="83" t="str">
        <x:v>TWh</x:v>
      </x:c>
      <x:c r="H89" s="83" t="str">
        <x:v>Italia</x:v>
      </x:c>
      <x:c r="I89" s="83" t="str">
        <x:v>Risultato di modello della fonte</x:v>
      </x:c>
      <x:c r="J89" s="83" t="str">
        <x:v>S09</x:v>
      </x:c>
      <x:c r="K89" s="83" t="str">
        <x:v>Documento_Descrizione_Scenari_2024_8dce2430d44d101.pdf</x:v>
      </x:c>
      <x:c r="L89" s="83" t="n">
        <x:v>66</x:v>
      </x:c>
      <x:c r="M89" s="83" t="n">
        <x:v>64</x:v>
      </x:c>
      <x:c r="N89" s="83" t="str">
        <x:v>Tabella 18</x:v>
      </x:c>
      <x:c r="O89" s="83" t="str">
        <x:v>Direct table extraction</x:v>
      </x:c>
      <x:c r="P89" s="83" t="str">
        <x:v>A - Direct</x:v>
      </x:c>
      <x:c r="Q89" s="83" t="str">
        <x:v>Overgeneration and storage losses are shown as negative balance terms.</x:v>
      </x:c>
    </x:row>
    <x:row r="90">
      <x:c r="A90" s="83" t="str">
        <x:v>BAL-0086</x:v>
      </x:c>
      <x:c r="B90" s="83" t="str">
        <x:v>GA_IT_2035</x:v>
      </x:c>
      <x:c r="C90" s="83" t="n">
        <x:v>2035</x:v>
      </x:c>
      <x:c r="D90" s="83" t="str">
        <x:v>GA-IT 2035</x:v>
      </x:c>
      <x:c r="E90" s="83" t="str">
        <x:v>Overgeneration</x:v>
      </x:c>
      <x:c r="F90" s="143" t="n">
        <x:v>-10</x:v>
      </x:c>
      <x:c r="G90" s="83" t="str">
        <x:v>TWh</x:v>
      </x:c>
      <x:c r="H90" s="83" t="str">
        <x:v>Italia</x:v>
      </x:c>
      <x:c r="I90" s="83" t="str">
        <x:v>Risultato di modello della fonte</x:v>
      </x:c>
      <x:c r="J90" s="83" t="str">
        <x:v>S09</x:v>
      </x:c>
      <x:c r="K90" s="83" t="str">
        <x:v>Documento_Descrizione_Scenari_2024_8dce2430d44d101.pdf</x:v>
      </x:c>
      <x:c r="L90" s="83" t="n">
        <x:v>66</x:v>
      </x:c>
      <x:c r="M90" s="83" t="n">
        <x:v>64</x:v>
      </x:c>
      <x:c r="N90" s="83" t="str">
        <x:v>Tabella 18</x:v>
      </x:c>
      <x:c r="O90" s="83" t="str">
        <x:v>Direct table extraction</x:v>
      </x:c>
      <x:c r="P90" s="83" t="str">
        <x:v>A - Direct</x:v>
      </x:c>
      <x:c r="Q90" s="83" t="str">
        <x:v>Overgeneration and storage losses are shown as negative balance terms.</x:v>
      </x:c>
    </x:row>
    <x:row r="91">
      <x:c r="A91" s="83" t="str">
        <x:v>BAL-0087</x:v>
      </x:c>
      <x:c r="B91" s="83" t="str">
        <x:v>PNIEC_SLOW_2035</x:v>
      </x:c>
      <x:c r="C91" s="83" t="n">
        <x:v>2035</x:v>
      </x:c>
      <x:c r="D91" s="83" t="str">
        <x:v>PNIEC Slow 2035</x:v>
      </x:c>
      <x:c r="E91" s="83" t="str">
        <x:v>Overgeneration</x:v>
      </x:c>
      <x:c r="F91" s="143" t="n">
        <x:v>-7</x:v>
      </x:c>
      <x:c r="G91" s="83" t="str">
        <x:v>TWh</x:v>
      </x:c>
      <x:c r="H91" s="83" t="str">
        <x:v>Italia</x:v>
      </x:c>
      <x:c r="I91" s="83" t="str">
        <x:v>Risultato di modello della fonte</x:v>
      </x:c>
      <x:c r="J91" s="83" t="str">
        <x:v>S09</x:v>
      </x:c>
      <x:c r="K91" s="83" t="str">
        <x:v>Documento_Descrizione_Scenari_2024_8dce2430d44d101.pdf</x:v>
      </x:c>
      <x:c r="L91" s="83" t="n">
        <x:v>66</x:v>
      </x:c>
      <x:c r="M91" s="83" t="n">
        <x:v>64</x:v>
      </x:c>
      <x:c r="N91" s="83" t="str">
        <x:v>Tabella 18</x:v>
      </x:c>
      <x:c r="O91" s="83" t="str">
        <x:v>Direct table extraction</x:v>
      </x:c>
      <x:c r="P91" s="83" t="str">
        <x:v>A - Direct</x:v>
      </x:c>
      <x:c r="Q91" s="83" t="str">
        <x:v>Overgeneration and storage losses are shown as negative balance terms.</x:v>
      </x:c>
    </x:row>
    <x:row r="92">
      <x:c r="A92" s="83" t="str">
        <x:v>BAL-0088</x:v>
      </x:c>
      <x:c r="B92" s="83" t="str">
        <x:v>DE_IT_2040</x:v>
      </x:c>
      <x:c r="C92" s="83" t="n">
        <x:v>2040</x:v>
      </x:c>
      <x:c r="D92" s="83" t="str">
        <x:v>DE-IT 2040</x:v>
      </x:c>
      <x:c r="E92" s="83" t="str">
        <x:v>Overgeneration</x:v>
      </x:c>
      <x:c r="F92" s="143" t="n">
        <x:v>-16</x:v>
      </x:c>
      <x:c r="G92" s="83" t="str">
        <x:v>TWh</x:v>
      </x:c>
      <x:c r="H92" s="83" t="str">
        <x:v>Italia</x:v>
      </x:c>
      <x:c r="I92" s="83" t="str">
        <x:v>Risultato di modello della fonte</x:v>
      </x:c>
      <x:c r="J92" s="83" t="str">
        <x:v>S09</x:v>
      </x:c>
      <x:c r="K92" s="83" t="str">
        <x:v>Documento_Descrizione_Scenari_2024_8dce2430d44d101.pdf</x:v>
      </x:c>
      <x:c r="L92" s="83" t="n">
        <x:v>66</x:v>
      </x:c>
      <x:c r="M92" s="83" t="n">
        <x:v>64</x:v>
      </x:c>
      <x:c r="N92" s="83" t="str">
        <x:v>Tabella 18</x:v>
      </x:c>
      <x:c r="O92" s="83" t="str">
        <x:v>Direct table extraction</x:v>
      </x:c>
      <x:c r="P92" s="83" t="str">
        <x:v>A - Direct</x:v>
      </x:c>
      <x:c r="Q92" s="83" t="str">
        <x:v>Overgeneration and storage losses are shown as negative balance terms.</x:v>
      </x:c>
    </x:row>
    <x:row r="93">
      <x:c r="A93" s="83" t="str">
        <x:v>BAL-0089</x:v>
      </x:c>
      <x:c r="B93" s="83" t="str">
        <x:v>GA_IT_2040</x:v>
      </x:c>
      <x:c r="C93" s="83" t="n">
        <x:v>2040</x:v>
      </x:c>
      <x:c r="D93" s="83" t="str">
        <x:v>GA-IT 2040</x:v>
      </x:c>
      <x:c r="E93" s="83" t="str">
        <x:v>Overgeneration</x:v>
      </x:c>
      <x:c r="F93" s="143" t="n">
        <x:v>-10</x:v>
      </x:c>
      <x:c r="G93" s="83" t="str">
        <x:v>TWh</x:v>
      </x:c>
      <x:c r="H93" s="83" t="str">
        <x:v>Italia</x:v>
      </x:c>
      <x:c r="I93" s="83" t="str">
        <x:v>Risultato di modello della fonte</x:v>
      </x:c>
      <x:c r="J93" s="83" t="str">
        <x:v>S09</x:v>
      </x:c>
      <x:c r="K93" s="83" t="str">
        <x:v>Documento_Descrizione_Scenari_2024_8dce2430d44d101.pdf</x:v>
      </x:c>
      <x:c r="L93" s="83" t="n">
        <x:v>66</x:v>
      </x:c>
      <x:c r="M93" s="83" t="n">
        <x:v>64</x:v>
      </x:c>
      <x:c r="N93" s="83" t="str">
        <x:v>Tabella 18</x:v>
      </x:c>
      <x:c r="O93" s="83" t="str">
        <x:v>Direct table extraction</x:v>
      </x:c>
      <x:c r="P93" s="83" t="str">
        <x:v>A - Direct</x:v>
      </x:c>
      <x:c r="Q93" s="83" t="str">
        <x:v>Overgeneration and storage losses are shown as negative balance terms.</x:v>
      </x:c>
    </x:row>
    <x:row r="94">
      <x:c r="A94" s="83" t="str">
        <x:v>BAL-0090</x:v>
      </x:c>
      <x:c r="B94" s="83" t="str">
        <x:v>PNIEC_SLOW_2040</x:v>
      </x:c>
      <x:c r="C94" s="83" t="n">
        <x:v>2040</x:v>
      </x:c>
      <x:c r="D94" s="83" t="str">
        <x:v>PNIEC Slow 2040</x:v>
      </x:c>
      <x:c r="E94" s="83" t="str">
        <x:v>Overgeneration</x:v>
      </x:c>
      <x:c r="F94" s="143" t="n">
        <x:v>-8</x:v>
      </x:c>
      <x:c r="G94" s="83" t="str">
        <x:v>TWh</x:v>
      </x:c>
      <x:c r="H94" s="83" t="str">
        <x:v>Italia</x:v>
      </x:c>
      <x:c r="I94" s="83" t="str">
        <x:v>Risultato di modello della fonte</x:v>
      </x:c>
      <x:c r="J94" s="83" t="str">
        <x:v>S09</x:v>
      </x:c>
      <x:c r="K94" s="83" t="str">
        <x:v>Documento_Descrizione_Scenari_2024_8dce2430d44d101.pdf</x:v>
      </x:c>
      <x:c r="L94" s="83" t="n">
        <x:v>66</x:v>
      </x:c>
      <x:c r="M94" s="83" t="n">
        <x:v>64</x:v>
      </x:c>
      <x:c r="N94" s="83" t="str">
        <x:v>Tabella 18</x:v>
      </x:c>
      <x:c r="O94" s="83" t="str">
        <x:v>Direct table extraction</x:v>
      </x:c>
      <x:c r="P94" s="83" t="str">
        <x:v>A - Direct</x:v>
      </x:c>
      <x:c r="Q94" s="83" t="str">
        <x:v>Overgeneration and storage losses are shown as negative balance terms.</x:v>
      </x:c>
    </x:row>
    <x:row r="95">
      <x:c r="A95" s="83" t="str">
        <x:v>BAL-0091</x:v>
      </x:c>
      <x:c r="B95" s="83" t="str">
        <x:v>HIST_2023</x:v>
      </x:c>
      <x:c r="C95" s="83" t="n">
        <x:v>2023</x:v>
      </x:c>
      <x:c r="D95" s="83" t="str">
        <x:v>Storico 2023</x:v>
      </x:c>
      <x:c r="E95" s="83" t="str">
        <x:v>Totale produzione convenzionale</x:v>
      </x:c>
      <x:c r="F95" s="143" t="n">
        <x:v>143</x:v>
      </x:c>
      <x:c r="G95" s="83" t="str">
        <x:v>TWh</x:v>
      </x:c>
      <x:c r="H95" s="83" t="str">
        <x:v>Italia</x:v>
      </x:c>
      <x:c r="I95" s="83" t="str">
        <x:v>Dato osservato storico</x:v>
      </x:c>
      <x:c r="J95" s="83" t="str">
        <x:v>S09</x:v>
      </x:c>
      <x:c r="K95" s="83" t="str">
        <x:v>Documento_Descrizione_Scenari_2024_8dce2430d44d101.pdf</x:v>
      </x:c>
      <x:c r="L95" s="83" t="n">
        <x:v>66</x:v>
      </x:c>
      <x:c r="M95" s="83" t="n">
        <x:v>64</x:v>
      </x:c>
      <x:c r="N95" s="83" t="str">
        <x:v>Tabella 18</x:v>
      </x:c>
      <x:c r="O95" s="83" t="str">
        <x:v>Direct table extraction</x:v>
      </x:c>
      <x:c r="P95" s="83" t="str">
        <x:v>A - Direct</x:v>
      </x:c>
      <x:c r="Q95" s="83" t="str"/>
    </x:row>
    <x:row r="96">
      <x:c r="A96" s="83" t="str">
        <x:v>BAL-0092</x:v>
      </x:c>
      <x:c r="B96" s="83" t="str">
        <x:v>PNIEC_POLICY_2030</x:v>
      </x:c>
      <x:c r="C96" s="83" t="n">
        <x:v>2030</x:v>
      </x:c>
      <x:c r="D96" s="83" t="str">
        <x:v>PNIEC Policy 2030</x:v>
      </x:c>
      <x:c r="E96" s="83" t="str">
        <x:v>Totale produzione convenzionale</x:v>
      </x:c>
      <x:c r="F96" s="143" t="n">
        <x:v>95</x:v>
      </x:c>
      <x:c r="G96" s="83" t="str">
        <x:v>TWh</x:v>
      </x:c>
      <x:c r="H96" s="83" t="str">
        <x:v>Italia</x:v>
      </x:c>
      <x:c r="I96" s="83" t="str">
        <x:v>Risultato di modello della fonte</x:v>
      </x:c>
      <x:c r="J96" s="83" t="str">
        <x:v>S09</x:v>
      </x:c>
      <x:c r="K96" s="83" t="str">
        <x:v>Documento_Descrizione_Scenari_2024_8dce2430d44d101.pdf</x:v>
      </x:c>
      <x:c r="L96" s="83" t="n">
        <x:v>66</x:v>
      </x:c>
      <x:c r="M96" s="83" t="n">
        <x:v>64</x:v>
      </x:c>
      <x:c r="N96" s="83" t="str">
        <x:v>Tabella 18</x:v>
      </x:c>
      <x:c r="O96" s="83" t="str">
        <x:v>Direct table extraction</x:v>
      </x:c>
      <x:c r="P96" s="83" t="str">
        <x:v>A - Direct</x:v>
      </x:c>
      <x:c r="Q96" s="83" t="str"/>
    </x:row>
    <x:row r="97">
      <x:c r="A97" s="83" t="str">
        <x:v>BAL-0093</x:v>
      </x:c>
      <x:c r="B97" s="83" t="str">
        <x:v>PNIEC_SLOW_2030</x:v>
      </x:c>
      <x:c r="C97" s="83" t="n">
        <x:v>2030</x:v>
      </x:c>
      <x:c r="D97" s="83" t="str">
        <x:v>PNIEC Slow 2030</x:v>
      </x:c>
      <x:c r="E97" s="83" t="str">
        <x:v>Totale produzione convenzionale</x:v>
      </x:c>
      <x:c r="F97" s="143" t="n">
        <x:v>101</x:v>
      </x:c>
      <x:c r="G97" s="83" t="str">
        <x:v>TWh</x:v>
      </x:c>
      <x:c r="H97" s="83" t="str">
        <x:v>Italia</x:v>
      </x:c>
      <x:c r="I97" s="83" t="str">
        <x:v>Risultato di modello della fonte</x:v>
      </x:c>
      <x:c r="J97" s="83" t="str">
        <x:v>S09</x:v>
      </x:c>
      <x:c r="K97" s="83" t="str">
        <x:v>Documento_Descrizione_Scenari_2024_8dce2430d44d101.pdf</x:v>
      </x:c>
      <x:c r="L97" s="83" t="n">
        <x:v>66</x:v>
      </x:c>
      <x:c r="M97" s="83" t="n">
        <x:v>64</x:v>
      </x:c>
      <x:c r="N97" s="83" t="str">
        <x:v>Tabella 18</x:v>
      </x:c>
      <x:c r="O97" s="83" t="str">
        <x:v>Direct table extraction</x:v>
      </x:c>
      <x:c r="P97" s="83" t="str">
        <x:v>A - Direct</x:v>
      </x:c>
      <x:c r="Q97" s="83" t="str"/>
    </x:row>
    <x:row r="98">
      <x:c r="A98" s="83" t="str">
        <x:v>BAL-0094</x:v>
      </x:c>
      <x:c r="B98" s="83" t="str">
        <x:v>DE_IT_2035</x:v>
      </x:c>
      <x:c r="C98" s="83" t="n">
        <x:v>2035</x:v>
      </x:c>
      <x:c r="D98" s="83" t="str">
        <x:v>DE-IT 2035</x:v>
      </x:c>
      <x:c r="E98" s="83" t="str">
        <x:v>Totale produzione convenzionale</x:v>
      </x:c>
      <x:c r="F98" s="143" t="n">
        <x:v>82</x:v>
      </x:c>
      <x:c r="G98" s="83" t="str">
        <x:v>TWh</x:v>
      </x:c>
      <x:c r="H98" s="83" t="str">
        <x:v>Italia</x:v>
      </x:c>
      <x:c r="I98" s="83" t="str">
        <x:v>Risultato di modello della fonte</x:v>
      </x:c>
      <x:c r="J98" s="83" t="str">
        <x:v>S09</x:v>
      </x:c>
      <x:c r="K98" s="83" t="str">
        <x:v>Documento_Descrizione_Scenari_2024_8dce2430d44d101.pdf</x:v>
      </x:c>
      <x:c r="L98" s="83" t="n">
        <x:v>66</x:v>
      </x:c>
      <x:c r="M98" s="83" t="n">
        <x:v>64</x:v>
      </x:c>
      <x:c r="N98" s="83" t="str">
        <x:v>Tabella 18</x:v>
      </x:c>
      <x:c r="O98" s="83" t="str">
        <x:v>Direct table extraction</x:v>
      </x:c>
      <x:c r="P98" s="83" t="str">
        <x:v>A - Direct</x:v>
      </x:c>
      <x:c r="Q98" s="83" t="str"/>
    </x:row>
    <x:row r="99">
      <x:c r="A99" s="83" t="str">
        <x:v>BAL-0095</x:v>
      </x:c>
      <x:c r="B99" s="83" t="str">
        <x:v>GA_IT_2035</x:v>
      </x:c>
      <x:c r="C99" s="83" t="n">
        <x:v>2035</x:v>
      </x:c>
      <x:c r="D99" s="83" t="str">
        <x:v>GA-IT 2035</x:v>
      </x:c>
      <x:c r="E99" s="83" t="str">
        <x:v>Totale produzione convenzionale</x:v>
      </x:c>
      <x:c r="F99" s="143" t="n">
        <x:v>83</x:v>
      </x:c>
      <x:c r="G99" s="83" t="str">
        <x:v>TWh</x:v>
      </x:c>
      <x:c r="H99" s="83" t="str">
        <x:v>Italia</x:v>
      </x:c>
      <x:c r="I99" s="83" t="str">
        <x:v>Risultato di modello della fonte</x:v>
      </x:c>
      <x:c r="J99" s="83" t="str">
        <x:v>S09</x:v>
      </x:c>
      <x:c r="K99" s="83" t="str">
        <x:v>Documento_Descrizione_Scenari_2024_8dce2430d44d101.pdf</x:v>
      </x:c>
      <x:c r="L99" s="83" t="n">
        <x:v>66</x:v>
      </x:c>
      <x:c r="M99" s="83" t="n">
        <x:v>64</x:v>
      </x:c>
      <x:c r="N99" s="83" t="str">
        <x:v>Tabella 18</x:v>
      </x:c>
      <x:c r="O99" s="83" t="str">
        <x:v>Direct table extraction</x:v>
      </x:c>
      <x:c r="P99" s="83" t="str">
        <x:v>A - Direct</x:v>
      </x:c>
      <x:c r="Q99" s="83" t="str"/>
    </x:row>
    <x:row r="100">
      <x:c r="A100" s="83" t="str">
        <x:v>BAL-0096</x:v>
      </x:c>
      <x:c r="B100" s="83" t="str">
        <x:v>PNIEC_SLOW_2035</x:v>
      </x:c>
      <x:c r="C100" s="83" t="n">
        <x:v>2035</x:v>
      </x:c>
      <x:c r="D100" s="83" t="str">
        <x:v>PNIEC Slow 2035</x:v>
      </x:c>
      <x:c r="E100" s="83" t="str">
        <x:v>Totale produzione convenzionale</x:v>
      </x:c>
      <x:c r="F100" s="143" t="n">
        <x:v>89</x:v>
      </x:c>
      <x:c r="G100" s="83" t="str">
        <x:v>TWh</x:v>
      </x:c>
      <x:c r="H100" s="83" t="str">
        <x:v>Italia</x:v>
      </x:c>
      <x:c r="I100" s="83" t="str">
        <x:v>Risultato di modello della fonte</x:v>
      </x:c>
      <x:c r="J100" s="83" t="str">
        <x:v>S09</x:v>
      </x:c>
      <x:c r="K100" s="83" t="str">
        <x:v>Documento_Descrizione_Scenari_2024_8dce2430d44d101.pdf</x:v>
      </x:c>
      <x:c r="L100" s="83" t="n">
        <x:v>66</x:v>
      </x:c>
      <x:c r="M100" s="83" t="n">
        <x:v>64</x:v>
      </x:c>
      <x:c r="N100" s="83" t="str">
        <x:v>Tabella 18</x:v>
      </x:c>
      <x:c r="O100" s="83" t="str">
        <x:v>Direct table extraction</x:v>
      </x:c>
      <x:c r="P100" s="83" t="str">
        <x:v>A - Direct</x:v>
      </x:c>
      <x:c r="Q100" s="83" t="str"/>
    </x:row>
    <x:row r="101">
      <x:c r="A101" s="83" t="str">
        <x:v>BAL-0097</x:v>
      </x:c>
      <x:c r="B101" s="83" t="str">
        <x:v>DE_IT_2040</x:v>
      </x:c>
      <x:c r="C101" s="83" t="n">
        <x:v>2040</x:v>
      </x:c>
      <x:c r="D101" s="83" t="str">
        <x:v>DE-IT 2040</x:v>
      </x:c>
      <x:c r="E101" s="83" t="str">
        <x:v>Totale produzione convenzionale</x:v>
      </x:c>
      <x:c r="F101" s="143" t="n">
        <x:v>65</x:v>
      </x:c>
      <x:c r="G101" s="83" t="str">
        <x:v>TWh</x:v>
      </x:c>
      <x:c r="H101" s="83" t="str">
        <x:v>Italia</x:v>
      </x:c>
      <x:c r="I101" s="83" t="str">
        <x:v>Risultato di modello della fonte</x:v>
      </x:c>
      <x:c r="J101" s="83" t="str">
        <x:v>S09</x:v>
      </x:c>
      <x:c r="K101" s="83" t="str">
        <x:v>Documento_Descrizione_Scenari_2024_8dce2430d44d101.pdf</x:v>
      </x:c>
      <x:c r="L101" s="83" t="n">
        <x:v>66</x:v>
      </x:c>
      <x:c r="M101" s="83" t="n">
        <x:v>64</x:v>
      </x:c>
      <x:c r="N101" s="83" t="str">
        <x:v>Tabella 18</x:v>
      </x:c>
      <x:c r="O101" s="83" t="str">
        <x:v>Direct table extraction</x:v>
      </x:c>
      <x:c r="P101" s="83" t="str">
        <x:v>A - Direct</x:v>
      </x:c>
      <x:c r="Q101" s="83" t="str"/>
    </x:row>
    <x:row r="102">
      <x:c r="A102" s="83" t="str">
        <x:v>BAL-0098</x:v>
      </x:c>
      <x:c r="B102" s="83" t="str">
        <x:v>GA_IT_2040</x:v>
      </x:c>
      <x:c r="C102" s="83" t="n">
        <x:v>2040</x:v>
      </x:c>
      <x:c r="D102" s="83" t="str">
        <x:v>GA-IT 2040</x:v>
      </x:c>
      <x:c r="E102" s="83" t="str">
        <x:v>Totale produzione convenzionale</x:v>
      </x:c>
      <x:c r="F102" s="143" t="n">
        <x:v>67</x:v>
      </x:c>
      <x:c r="G102" s="83" t="str">
        <x:v>TWh</x:v>
      </x:c>
      <x:c r="H102" s="83" t="str">
        <x:v>Italia</x:v>
      </x:c>
      <x:c r="I102" s="83" t="str">
        <x:v>Risultato di modello della fonte</x:v>
      </x:c>
      <x:c r="J102" s="83" t="str">
        <x:v>S09</x:v>
      </x:c>
      <x:c r="K102" s="83" t="str">
        <x:v>Documento_Descrizione_Scenari_2024_8dce2430d44d101.pdf</x:v>
      </x:c>
      <x:c r="L102" s="83" t="n">
        <x:v>66</x:v>
      </x:c>
      <x:c r="M102" s="83" t="n">
        <x:v>64</x:v>
      </x:c>
      <x:c r="N102" s="83" t="str">
        <x:v>Tabella 18</x:v>
      </x:c>
      <x:c r="O102" s="83" t="str">
        <x:v>Direct table extraction</x:v>
      </x:c>
      <x:c r="P102" s="83" t="str">
        <x:v>A - Direct</x:v>
      </x:c>
      <x:c r="Q102" s="83" t="str"/>
    </x:row>
    <x:row r="103">
      <x:c r="A103" s="83" t="str">
        <x:v>BAL-0099</x:v>
      </x:c>
      <x:c r="B103" s="83" t="str">
        <x:v>PNIEC_SLOW_2040</x:v>
      </x:c>
      <x:c r="C103" s="83" t="n">
        <x:v>2040</x:v>
      </x:c>
      <x:c r="D103" s="83" t="str">
        <x:v>PNIEC Slow 2040</x:v>
      </x:c>
      <x:c r="E103" s="83" t="str">
        <x:v>Totale produzione convenzionale</x:v>
      </x:c>
      <x:c r="F103" s="143" t="n">
        <x:v>70</x:v>
      </x:c>
      <x:c r="G103" s="83" t="str">
        <x:v>TWh</x:v>
      </x:c>
      <x:c r="H103" s="83" t="str">
        <x:v>Italia</x:v>
      </x:c>
      <x:c r="I103" s="83" t="str">
        <x:v>Risultato di modello della fonte</x:v>
      </x:c>
      <x:c r="J103" s="83" t="str">
        <x:v>S09</x:v>
      </x:c>
      <x:c r="K103" s="83" t="str">
        <x:v>Documento_Descrizione_Scenari_2024_8dce2430d44d101.pdf</x:v>
      </x:c>
      <x:c r="L103" s="83" t="n">
        <x:v>66</x:v>
      </x:c>
      <x:c r="M103" s="83" t="n">
        <x:v>64</x:v>
      </x:c>
      <x:c r="N103" s="83" t="str">
        <x:v>Tabella 18</x:v>
      </x:c>
      <x:c r="O103" s="83" t="str">
        <x:v>Direct table extraction</x:v>
      </x:c>
      <x:c r="P103" s="83" t="str">
        <x:v>A - Direct</x:v>
      </x:c>
      <x:c r="Q103" s="83" t="str"/>
    </x:row>
    <x:row r="104">
      <x:c r="A104" s="83" t="str">
        <x:v>BAL-0100</x:v>
      </x:c>
      <x:c r="B104" s="83" t="str">
        <x:v>HIST_2023</x:v>
      </x:c>
      <x:c r="C104" s="83" t="n">
        <x:v>2023</x:v>
      </x:c>
      <x:c r="D104" s="83" t="str">
        <x:v>Storico 2023</x:v>
      </x:c>
      <x:c r="E104" s="83" t="str">
        <x:v>Gas naturale</x:v>
      </x:c>
      <x:c r="F104" s="143" t="n">
        <x:v>115</x:v>
      </x:c>
      <x:c r="G104" s="83" t="str">
        <x:v>TWh</x:v>
      </x:c>
      <x:c r="H104" s="83" t="str">
        <x:v>Italia</x:v>
      </x:c>
      <x:c r="I104" s="83" t="str">
        <x:v>Dato osservato storico</x:v>
      </x:c>
      <x:c r="J104" s="83" t="str">
        <x:v>S09</x:v>
      </x:c>
      <x:c r="K104" s="83" t="str">
        <x:v>Documento_Descrizione_Scenari_2024_8dce2430d44d101.pdf</x:v>
      </x:c>
      <x:c r="L104" s="83" t="n">
        <x:v>66</x:v>
      </x:c>
      <x:c r="M104" s="83" t="n">
        <x:v>64</x:v>
      </x:c>
      <x:c r="N104" s="83" t="str">
        <x:v>Tabella 18</x:v>
      </x:c>
      <x:c r="O104" s="83" t="str">
        <x:v>Direct table extraction</x:v>
      </x:c>
      <x:c r="P104" s="83" t="str">
        <x:v>A - Direct</x:v>
      </x:c>
      <x:c r="Q104" s="83" t="str"/>
    </x:row>
    <x:row r="105">
      <x:c r="A105" s="83" t="str">
        <x:v>BAL-0101</x:v>
      </x:c>
      <x:c r="B105" s="83" t="str">
        <x:v>PNIEC_POLICY_2030</x:v>
      </x:c>
      <x:c r="C105" s="83" t="n">
        <x:v>2030</x:v>
      </x:c>
      <x:c r="D105" s="83" t="str">
        <x:v>PNIEC Policy 2030</x:v>
      </x:c>
      <x:c r="E105" s="83" t="str">
        <x:v>Gas naturale</x:v>
      </x:c>
      <x:c r="F105" s="143" t="n">
        <x:v>88</x:v>
      </x:c>
      <x:c r="G105" s="83" t="str">
        <x:v>TWh</x:v>
      </x:c>
      <x:c r="H105" s="83" t="str">
        <x:v>Italia</x:v>
      </x:c>
      <x:c r="I105" s="83" t="str">
        <x:v>Risultato di modello della fonte</x:v>
      </x:c>
      <x:c r="J105" s="83" t="str">
        <x:v>S09</x:v>
      </x:c>
      <x:c r="K105" s="83" t="str">
        <x:v>Documento_Descrizione_Scenari_2024_8dce2430d44d101.pdf</x:v>
      </x:c>
      <x:c r="L105" s="83" t="n">
        <x:v>66</x:v>
      </x:c>
      <x:c r="M105" s="83" t="n">
        <x:v>64</x:v>
      </x:c>
      <x:c r="N105" s="83" t="str">
        <x:v>Tabella 18</x:v>
      </x:c>
      <x:c r="O105" s="83" t="str">
        <x:v>Direct table extraction</x:v>
      </x:c>
      <x:c r="P105" s="83" t="str">
        <x:v>A - Direct</x:v>
      </x:c>
      <x:c r="Q105" s="83" t="str"/>
    </x:row>
    <x:row r="106">
      <x:c r="A106" s="83" t="str">
        <x:v>BAL-0102</x:v>
      </x:c>
      <x:c r="B106" s="83" t="str">
        <x:v>PNIEC_SLOW_2030</x:v>
      </x:c>
      <x:c r="C106" s="83" t="n">
        <x:v>2030</x:v>
      </x:c>
      <x:c r="D106" s="83" t="str">
        <x:v>PNIEC Slow 2030</x:v>
      </x:c>
      <x:c r="E106" s="83" t="str">
        <x:v>Gas naturale</x:v>
      </x:c>
      <x:c r="F106" s="143" t="n">
        <x:v>93</x:v>
      </x:c>
      <x:c r="G106" s="83" t="str">
        <x:v>TWh</x:v>
      </x:c>
      <x:c r="H106" s="83" t="str">
        <x:v>Italia</x:v>
      </x:c>
      <x:c r="I106" s="83" t="str">
        <x:v>Risultato di modello della fonte</x:v>
      </x:c>
      <x:c r="J106" s="83" t="str">
        <x:v>S09</x:v>
      </x:c>
      <x:c r="K106" s="83" t="str">
        <x:v>Documento_Descrizione_Scenari_2024_8dce2430d44d101.pdf</x:v>
      </x:c>
      <x:c r="L106" s="83" t="n">
        <x:v>66</x:v>
      </x:c>
      <x:c r="M106" s="83" t="n">
        <x:v>64</x:v>
      </x:c>
      <x:c r="N106" s="83" t="str">
        <x:v>Tabella 18</x:v>
      </x:c>
      <x:c r="O106" s="83" t="str">
        <x:v>Direct table extraction</x:v>
      </x:c>
      <x:c r="P106" s="83" t="str">
        <x:v>A - Direct</x:v>
      </x:c>
      <x:c r="Q106" s="83" t="str"/>
    </x:row>
    <x:row r="107">
      <x:c r="A107" s="83" t="str">
        <x:v>BAL-0103</x:v>
      </x:c>
      <x:c r="B107" s="83" t="str">
        <x:v>DE_IT_2035</x:v>
      </x:c>
      <x:c r="C107" s="83" t="n">
        <x:v>2035</x:v>
      </x:c>
      <x:c r="D107" s="83" t="str">
        <x:v>DE-IT 2035</x:v>
      </x:c>
      <x:c r="E107" s="83" t="str">
        <x:v>Gas naturale</x:v>
      </x:c>
      <x:c r="F107" s="143" t="n">
        <x:v>76</x:v>
      </x:c>
      <x:c r="G107" s="83" t="str">
        <x:v>TWh</x:v>
      </x:c>
      <x:c r="H107" s="83" t="str">
        <x:v>Italia</x:v>
      </x:c>
      <x:c r="I107" s="83" t="str">
        <x:v>Risultato di modello della fonte</x:v>
      </x:c>
      <x:c r="J107" s="83" t="str">
        <x:v>S09</x:v>
      </x:c>
      <x:c r="K107" s="83" t="str">
        <x:v>Documento_Descrizione_Scenari_2024_8dce2430d44d101.pdf</x:v>
      </x:c>
      <x:c r="L107" s="83" t="n">
        <x:v>66</x:v>
      </x:c>
      <x:c r="M107" s="83" t="n">
        <x:v>64</x:v>
      </x:c>
      <x:c r="N107" s="83" t="str">
        <x:v>Tabella 18</x:v>
      </x:c>
      <x:c r="O107" s="83" t="str">
        <x:v>Direct table extraction</x:v>
      </x:c>
      <x:c r="P107" s="83" t="str">
        <x:v>A - Direct</x:v>
      </x:c>
      <x:c r="Q107" s="83" t="str"/>
    </x:row>
    <x:row r="108">
      <x:c r="A108" s="83" t="str">
        <x:v>BAL-0104</x:v>
      </x:c>
      <x:c r="B108" s="83" t="str">
        <x:v>GA_IT_2035</x:v>
      </x:c>
      <x:c r="C108" s="83" t="n">
        <x:v>2035</x:v>
      </x:c>
      <x:c r="D108" s="83" t="str">
        <x:v>GA-IT 2035</x:v>
      </x:c>
      <x:c r="E108" s="83" t="str">
        <x:v>Gas naturale</x:v>
      </x:c>
      <x:c r="F108" s="143" t="n">
        <x:v>77</x:v>
      </x:c>
      <x:c r="G108" s="83" t="str">
        <x:v>TWh</x:v>
      </x:c>
      <x:c r="H108" s="83" t="str">
        <x:v>Italia</x:v>
      </x:c>
      <x:c r="I108" s="83" t="str">
        <x:v>Risultato di modello della fonte</x:v>
      </x:c>
      <x:c r="J108" s="83" t="str">
        <x:v>S09</x:v>
      </x:c>
      <x:c r="K108" s="83" t="str">
        <x:v>Documento_Descrizione_Scenari_2024_8dce2430d44d101.pdf</x:v>
      </x:c>
      <x:c r="L108" s="83" t="n">
        <x:v>66</x:v>
      </x:c>
      <x:c r="M108" s="83" t="n">
        <x:v>64</x:v>
      </x:c>
      <x:c r="N108" s="83" t="str">
        <x:v>Tabella 18</x:v>
      </x:c>
      <x:c r="O108" s="83" t="str">
        <x:v>Direct table extraction</x:v>
      </x:c>
      <x:c r="P108" s="83" t="str">
        <x:v>A - Direct</x:v>
      </x:c>
      <x:c r="Q108" s="83" t="str"/>
    </x:row>
    <x:row r="109">
      <x:c r="A109" s="83" t="str">
        <x:v>BAL-0105</x:v>
      </x:c>
      <x:c r="B109" s="83" t="str">
        <x:v>PNIEC_SLOW_2035</x:v>
      </x:c>
      <x:c r="C109" s="83" t="n">
        <x:v>2035</x:v>
      </x:c>
      <x:c r="D109" s="83" t="str">
        <x:v>PNIEC Slow 2035</x:v>
      </x:c>
      <x:c r="E109" s="83" t="str">
        <x:v>Gas naturale</x:v>
      </x:c>
      <x:c r="F109" s="143" t="n">
        <x:v>83</x:v>
      </x:c>
      <x:c r="G109" s="83" t="str">
        <x:v>TWh</x:v>
      </x:c>
      <x:c r="H109" s="83" t="str">
        <x:v>Italia</x:v>
      </x:c>
      <x:c r="I109" s="83" t="str">
        <x:v>Risultato di modello della fonte</x:v>
      </x:c>
      <x:c r="J109" s="83" t="str">
        <x:v>S09</x:v>
      </x:c>
      <x:c r="K109" s="83" t="str">
        <x:v>Documento_Descrizione_Scenari_2024_8dce2430d44d101.pdf</x:v>
      </x:c>
      <x:c r="L109" s="83" t="n">
        <x:v>66</x:v>
      </x:c>
      <x:c r="M109" s="83" t="n">
        <x:v>64</x:v>
      </x:c>
      <x:c r="N109" s="83" t="str">
        <x:v>Tabella 18</x:v>
      </x:c>
      <x:c r="O109" s="83" t="str">
        <x:v>Direct table extraction</x:v>
      </x:c>
      <x:c r="P109" s="83" t="str">
        <x:v>A - Direct</x:v>
      </x:c>
      <x:c r="Q109" s="83" t="str"/>
    </x:row>
    <x:row r="110">
      <x:c r="A110" s="83" t="str">
        <x:v>BAL-0106</x:v>
      </x:c>
      <x:c r="B110" s="83" t="str">
        <x:v>DE_IT_2040</x:v>
      </x:c>
      <x:c r="C110" s="83" t="n">
        <x:v>2040</x:v>
      </x:c>
      <x:c r="D110" s="83" t="str">
        <x:v>DE-IT 2040</x:v>
      </x:c>
      <x:c r="E110" s="83" t="str">
        <x:v>Gas naturale</x:v>
      </x:c>
      <x:c r="F110" s="143" t="n">
        <x:v>59</x:v>
      </x:c>
      <x:c r="G110" s="83" t="str">
        <x:v>TWh</x:v>
      </x:c>
      <x:c r="H110" s="83" t="str">
        <x:v>Italia</x:v>
      </x:c>
      <x:c r="I110" s="83" t="str">
        <x:v>Risultato di modello della fonte</x:v>
      </x:c>
      <x:c r="J110" s="83" t="str">
        <x:v>S09</x:v>
      </x:c>
      <x:c r="K110" s="83" t="str">
        <x:v>Documento_Descrizione_Scenari_2024_8dce2430d44d101.pdf</x:v>
      </x:c>
      <x:c r="L110" s="83" t="n">
        <x:v>66</x:v>
      </x:c>
      <x:c r="M110" s="83" t="n">
        <x:v>64</x:v>
      </x:c>
      <x:c r="N110" s="83" t="str">
        <x:v>Tabella 18</x:v>
      </x:c>
      <x:c r="O110" s="83" t="str">
        <x:v>Direct table extraction</x:v>
      </x:c>
      <x:c r="P110" s="83" t="str">
        <x:v>A - Direct</x:v>
      </x:c>
      <x:c r="Q110" s="83" t="str"/>
    </x:row>
    <x:row r="111">
      <x:c r="A111" s="83" t="str">
        <x:v>BAL-0107</x:v>
      </x:c>
      <x:c r="B111" s="83" t="str">
        <x:v>GA_IT_2040</x:v>
      </x:c>
      <x:c r="C111" s="83" t="n">
        <x:v>2040</x:v>
      </x:c>
      <x:c r="D111" s="83" t="str">
        <x:v>GA-IT 2040</x:v>
      </x:c>
      <x:c r="E111" s="83" t="str">
        <x:v>Gas naturale</x:v>
      </x:c>
      <x:c r="F111" s="143" t="n">
        <x:v>61</x:v>
      </x:c>
      <x:c r="G111" s="83" t="str">
        <x:v>TWh</x:v>
      </x:c>
      <x:c r="H111" s="83" t="str">
        <x:v>Italia</x:v>
      </x:c>
      <x:c r="I111" s="83" t="str">
        <x:v>Risultato di modello della fonte</x:v>
      </x:c>
      <x:c r="J111" s="83" t="str">
        <x:v>S09</x:v>
      </x:c>
      <x:c r="K111" s="83" t="str">
        <x:v>Documento_Descrizione_Scenari_2024_8dce2430d44d101.pdf</x:v>
      </x:c>
      <x:c r="L111" s="83" t="n">
        <x:v>66</x:v>
      </x:c>
      <x:c r="M111" s="83" t="n">
        <x:v>64</x:v>
      </x:c>
      <x:c r="N111" s="83" t="str">
        <x:v>Tabella 18</x:v>
      </x:c>
      <x:c r="O111" s="83" t="str">
        <x:v>Direct table extraction</x:v>
      </x:c>
      <x:c r="P111" s="83" t="str">
        <x:v>A - Direct</x:v>
      </x:c>
      <x:c r="Q111" s="83" t="str"/>
    </x:row>
    <x:row r="112">
      <x:c r="A112" s="83" t="str">
        <x:v>BAL-0108</x:v>
      </x:c>
      <x:c r="B112" s="83" t="str">
        <x:v>PNIEC_SLOW_2040</x:v>
      </x:c>
      <x:c r="C112" s="83" t="n">
        <x:v>2040</x:v>
      </x:c>
      <x:c r="D112" s="83" t="str">
        <x:v>PNIEC Slow 2040</x:v>
      </x:c>
      <x:c r="E112" s="83" t="str">
        <x:v>Gas naturale</x:v>
      </x:c>
      <x:c r="F112" s="143" t="n">
        <x:v>64</x:v>
      </x:c>
      <x:c r="G112" s="83" t="str">
        <x:v>TWh</x:v>
      </x:c>
      <x:c r="H112" s="83" t="str">
        <x:v>Italia</x:v>
      </x:c>
      <x:c r="I112" s="83" t="str">
        <x:v>Risultato di modello della fonte</x:v>
      </x:c>
      <x:c r="J112" s="83" t="str">
        <x:v>S09</x:v>
      </x:c>
      <x:c r="K112" s="83" t="str">
        <x:v>Documento_Descrizione_Scenari_2024_8dce2430d44d101.pdf</x:v>
      </x:c>
      <x:c r="L112" s="83" t="n">
        <x:v>66</x:v>
      </x:c>
      <x:c r="M112" s="83" t="n">
        <x:v>64</x:v>
      </x:c>
      <x:c r="N112" s="83" t="str">
        <x:v>Tabella 18</x:v>
      </x:c>
      <x:c r="O112" s="83" t="str">
        <x:v>Direct table extraction</x:v>
      </x:c>
      <x:c r="P112" s="83" t="str">
        <x:v>A - Direct</x:v>
      </x:c>
      <x:c r="Q112" s="83" t="str"/>
    </x:row>
    <x:row r="113">
      <x:c r="A113" s="83" t="str">
        <x:v>BAL-0109</x:v>
      </x:c>
      <x:c r="B113" s="83" t="str">
        <x:v>HIST_2023</x:v>
      </x:c>
      <x:c r="C113" s="83" t="n">
        <x:v>2023</x:v>
      </x:c>
      <x:c r="D113" s="83" t="str">
        <x:v>Storico 2023</x:v>
      </x:c>
      <x:c r="E113" s="83" t="str">
        <x:v>Altro non FER</x:v>
      </x:c>
      <x:c r="F113" s="143" t="n">
        <x:v>28</x:v>
      </x:c>
      <x:c r="G113" s="83" t="str">
        <x:v>TWh</x:v>
      </x:c>
      <x:c r="H113" s="83" t="str">
        <x:v>Italia</x:v>
      </x:c>
      <x:c r="I113" s="83" t="str">
        <x:v>Dato osservato storico</x:v>
      </x:c>
      <x:c r="J113" s="83" t="str">
        <x:v>S09</x:v>
      </x:c>
      <x:c r="K113" s="83" t="str">
        <x:v>Documento_Descrizione_Scenari_2024_8dce2430d44d101.pdf</x:v>
      </x:c>
      <x:c r="L113" s="83" t="n">
        <x:v>66</x:v>
      </x:c>
      <x:c r="M113" s="83" t="n">
        <x:v>64</x:v>
      </x:c>
      <x:c r="N113" s="83" t="str">
        <x:v>Tabella 18</x:v>
      </x:c>
      <x:c r="O113" s="83" t="str">
        <x:v>Direct table extraction</x:v>
      </x:c>
      <x:c r="P113" s="83" t="str">
        <x:v>A - Direct</x:v>
      </x:c>
      <x:c r="Q113" s="83" t="str"/>
    </x:row>
    <x:row r="114">
      <x:c r="A114" s="83" t="str">
        <x:v>BAL-0110</x:v>
      </x:c>
      <x:c r="B114" s="83" t="str">
        <x:v>PNIEC_POLICY_2030</x:v>
      </x:c>
      <x:c r="C114" s="83" t="n">
        <x:v>2030</x:v>
      </x:c>
      <x:c r="D114" s="83" t="str">
        <x:v>PNIEC Policy 2030</x:v>
      </x:c>
      <x:c r="E114" s="83" t="str">
        <x:v>Altro non FER</x:v>
      </x:c>
      <x:c r="F114" s="143" t="n">
        <x:v>8</x:v>
      </x:c>
      <x:c r="G114" s="83" t="str">
        <x:v>TWh</x:v>
      </x:c>
      <x:c r="H114" s="83" t="str">
        <x:v>Italia</x:v>
      </x:c>
      <x:c r="I114" s="83" t="str">
        <x:v>Risultato di modello della fonte</x:v>
      </x:c>
      <x:c r="J114" s="83" t="str">
        <x:v>S09</x:v>
      </x:c>
      <x:c r="K114" s="83" t="str">
        <x:v>Documento_Descrizione_Scenari_2024_8dce2430d44d101.pdf</x:v>
      </x:c>
      <x:c r="L114" s="83" t="n">
        <x:v>66</x:v>
      </x:c>
      <x:c r="M114" s="83" t="n">
        <x:v>64</x:v>
      </x:c>
      <x:c r="N114" s="83" t="str">
        <x:v>Tabella 18</x:v>
      </x:c>
      <x:c r="O114" s="83" t="str">
        <x:v>Direct table extraction</x:v>
      </x:c>
      <x:c r="P114" s="83" t="str">
        <x:v>A - Direct</x:v>
      </x:c>
      <x:c r="Q114" s="83" t="str"/>
    </x:row>
    <x:row r="115">
      <x:c r="A115" s="83" t="str">
        <x:v>BAL-0111</x:v>
      </x:c>
      <x:c r="B115" s="83" t="str">
        <x:v>PNIEC_SLOW_2030</x:v>
      </x:c>
      <x:c r="C115" s="83" t="n">
        <x:v>2030</x:v>
      </x:c>
      <x:c r="D115" s="83" t="str">
        <x:v>PNIEC Slow 2030</x:v>
      </x:c>
      <x:c r="E115" s="83" t="str">
        <x:v>Altro non FER</x:v>
      </x:c>
      <x:c r="F115" s="143" t="n">
        <x:v>8</x:v>
      </x:c>
      <x:c r="G115" s="83" t="str">
        <x:v>TWh</x:v>
      </x:c>
      <x:c r="H115" s="83" t="str">
        <x:v>Italia</x:v>
      </x:c>
      <x:c r="I115" s="83" t="str">
        <x:v>Risultato di modello della fonte</x:v>
      </x:c>
      <x:c r="J115" s="83" t="str">
        <x:v>S09</x:v>
      </x:c>
      <x:c r="K115" s="83" t="str">
        <x:v>Documento_Descrizione_Scenari_2024_8dce2430d44d101.pdf</x:v>
      </x:c>
      <x:c r="L115" s="83" t="n">
        <x:v>66</x:v>
      </x:c>
      <x:c r="M115" s="83" t="n">
        <x:v>64</x:v>
      </x:c>
      <x:c r="N115" s="83" t="str">
        <x:v>Tabella 18</x:v>
      </x:c>
      <x:c r="O115" s="83" t="str">
        <x:v>Direct table extraction</x:v>
      </x:c>
      <x:c r="P115" s="83" t="str">
        <x:v>A - Direct</x:v>
      </x:c>
      <x:c r="Q115" s="83" t="str"/>
    </x:row>
    <x:row r="116">
      <x:c r="A116" s="83" t="str">
        <x:v>BAL-0112</x:v>
      </x:c>
      <x:c r="B116" s="83" t="str">
        <x:v>DE_IT_2035</x:v>
      </x:c>
      <x:c r="C116" s="83" t="n">
        <x:v>2035</x:v>
      </x:c>
      <x:c r="D116" s="83" t="str">
        <x:v>DE-IT 2035</x:v>
      </x:c>
      <x:c r="E116" s="83" t="str">
        <x:v>Altro non FER</x:v>
      </x:c>
      <x:c r="F116" s="143" t="n">
        <x:v>6</x:v>
      </x:c>
      <x:c r="G116" s="83" t="str">
        <x:v>TWh</x:v>
      </x:c>
      <x:c r="H116" s="83" t="str">
        <x:v>Italia</x:v>
      </x:c>
      <x:c r="I116" s="83" t="str">
        <x:v>Risultato di modello della fonte</x:v>
      </x:c>
      <x:c r="J116" s="83" t="str">
        <x:v>S09</x:v>
      </x:c>
      <x:c r="K116" s="83" t="str">
        <x:v>Documento_Descrizione_Scenari_2024_8dce2430d44d101.pdf</x:v>
      </x:c>
      <x:c r="L116" s="83" t="n">
        <x:v>66</x:v>
      </x:c>
      <x:c r="M116" s="83" t="n">
        <x:v>64</x:v>
      </x:c>
      <x:c r="N116" s="83" t="str">
        <x:v>Tabella 18</x:v>
      </x:c>
      <x:c r="O116" s="83" t="str">
        <x:v>Direct table extraction</x:v>
      </x:c>
      <x:c r="P116" s="83" t="str">
        <x:v>A - Direct</x:v>
      </x:c>
      <x:c r="Q116" s="83" t="str"/>
    </x:row>
    <x:row r="117">
      <x:c r="A117" s="83" t="str">
        <x:v>BAL-0113</x:v>
      </x:c>
      <x:c r="B117" s="83" t="str">
        <x:v>GA_IT_2035</x:v>
      </x:c>
      <x:c r="C117" s="83" t="n">
        <x:v>2035</x:v>
      </x:c>
      <x:c r="D117" s="83" t="str">
        <x:v>GA-IT 2035</x:v>
      </x:c>
      <x:c r="E117" s="83" t="str">
        <x:v>Altro non FER</x:v>
      </x:c>
      <x:c r="F117" s="143" t="n">
        <x:v>6</x:v>
      </x:c>
      <x:c r="G117" s="83" t="str">
        <x:v>TWh</x:v>
      </x:c>
      <x:c r="H117" s="83" t="str">
        <x:v>Italia</x:v>
      </x:c>
      <x:c r="I117" s="83" t="str">
        <x:v>Risultato di modello della fonte</x:v>
      </x:c>
      <x:c r="J117" s="83" t="str">
        <x:v>S09</x:v>
      </x:c>
      <x:c r="K117" s="83" t="str">
        <x:v>Documento_Descrizione_Scenari_2024_8dce2430d44d101.pdf</x:v>
      </x:c>
      <x:c r="L117" s="83" t="n">
        <x:v>66</x:v>
      </x:c>
      <x:c r="M117" s="83" t="n">
        <x:v>64</x:v>
      </x:c>
      <x:c r="N117" s="83" t="str">
        <x:v>Tabella 18</x:v>
      </x:c>
      <x:c r="O117" s="83" t="str">
        <x:v>Direct table extraction</x:v>
      </x:c>
      <x:c r="P117" s="83" t="str">
        <x:v>A - Direct</x:v>
      </x:c>
      <x:c r="Q117" s="83" t="str"/>
    </x:row>
    <x:row r="118">
      <x:c r="A118" s="83" t="str">
        <x:v>BAL-0114</x:v>
      </x:c>
      <x:c r="B118" s="83" t="str">
        <x:v>PNIEC_SLOW_2035</x:v>
      </x:c>
      <x:c r="C118" s="83" t="n">
        <x:v>2035</x:v>
      </x:c>
      <x:c r="D118" s="83" t="str">
        <x:v>PNIEC Slow 2035</x:v>
      </x:c>
      <x:c r="E118" s="83" t="str">
        <x:v>Altro non FER</x:v>
      </x:c>
      <x:c r="F118" s="143" t="n">
        <x:v>6</x:v>
      </x:c>
      <x:c r="G118" s="83" t="str">
        <x:v>TWh</x:v>
      </x:c>
      <x:c r="H118" s="83" t="str">
        <x:v>Italia</x:v>
      </x:c>
      <x:c r="I118" s="83" t="str">
        <x:v>Risultato di modello della fonte</x:v>
      </x:c>
      <x:c r="J118" s="83" t="str">
        <x:v>S09</x:v>
      </x:c>
      <x:c r="K118" s="83" t="str">
        <x:v>Documento_Descrizione_Scenari_2024_8dce2430d44d101.pdf</x:v>
      </x:c>
      <x:c r="L118" s="83" t="n">
        <x:v>66</x:v>
      </x:c>
      <x:c r="M118" s="83" t="n">
        <x:v>64</x:v>
      </x:c>
      <x:c r="N118" s="83" t="str">
        <x:v>Tabella 18</x:v>
      </x:c>
      <x:c r="O118" s="83" t="str">
        <x:v>Direct table extraction</x:v>
      </x:c>
      <x:c r="P118" s="83" t="str">
        <x:v>A - Direct</x:v>
      </x:c>
      <x:c r="Q118" s="83" t="str"/>
    </x:row>
    <x:row r="119">
      <x:c r="A119" s="83" t="str">
        <x:v>BAL-0115</x:v>
      </x:c>
      <x:c r="B119" s="83" t="str">
        <x:v>DE_IT_2040</x:v>
      </x:c>
      <x:c r="C119" s="83" t="n">
        <x:v>2040</x:v>
      </x:c>
      <x:c r="D119" s="83" t="str">
        <x:v>DE-IT 2040</x:v>
      </x:c>
      <x:c r="E119" s="83" t="str">
        <x:v>Altro non FER</x:v>
      </x:c>
      <x:c r="F119" s="143" t="n">
        <x:v>6</x:v>
      </x:c>
      <x:c r="G119" s="83" t="str">
        <x:v>TWh</x:v>
      </x:c>
      <x:c r="H119" s="83" t="str">
        <x:v>Italia</x:v>
      </x:c>
      <x:c r="I119" s="83" t="str">
        <x:v>Risultato di modello della fonte</x:v>
      </x:c>
      <x:c r="J119" s="83" t="str">
        <x:v>S09</x:v>
      </x:c>
      <x:c r="K119" s="83" t="str">
        <x:v>Documento_Descrizione_Scenari_2024_8dce2430d44d101.pdf</x:v>
      </x:c>
      <x:c r="L119" s="83" t="n">
        <x:v>66</x:v>
      </x:c>
      <x:c r="M119" s="83" t="n">
        <x:v>64</x:v>
      </x:c>
      <x:c r="N119" s="83" t="str">
        <x:v>Tabella 18</x:v>
      </x:c>
      <x:c r="O119" s="83" t="str">
        <x:v>Direct table extraction</x:v>
      </x:c>
      <x:c r="P119" s="83" t="str">
        <x:v>A - Direct</x:v>
      </x:c>
      <x:c r="Q119" s="83" t="str"/>
    </x:row>
    <x:row r="120">
      <x:c r="A120" s="83" t="str">
        <x:v>BAL-0116</x:v>
      </x:c>
      <x:c r="B120" s="83" t="str">
        <x:v>GA_IT_2040</x:v>
      </x:c>
      <x:c r="C120" s="83" t="n">
        <x:v>2040</x:v>
      </x:c>
      <x:c r="D120" s="83" t="str">
        <x:v>GA-IT 2040</x:v>
      </x:c>
      <x:c r="E120" s="83" t="str">
        <x:v>Altro non FER</x:v>
      </x:c>
      <x:c r="F120" s="143" t="n">
        <x:v>6</x:v>
      </x:c>
      <x:c r="G120" s="83" t="str">
        <x:v>TWh</x:v>
      </x:c>
      <x:c r="H120" s="83" t="str">
        <x:v>Italia</x:v>
      </x:c>
      <x:c r="I120" s="83" t="str">
        <x:v>Risultato di modello della fonte</x:v>
      </x:c>
      <x:c r="J120" s="83" t="str">
        <x:v>S09</x:v>
      </x:c>
      <x:c r="K120" s="83" t="str">
        <x:v>Documento_Descrizione_Scenari_2024_8dce2430d44d101.pdf</x:v>
      </x:c>
      <x:c r="L120" s="83" t="n">
        <x:v>66</x:v>
      </x:c>
      <x:c r="M120" s="83" t="n">
        <x:v>64</x:v>
      </x:c>
      <x:c r="N120" s="83" t="str">
        <x:v>Tabella 18</x:v>
      </x:c>
      <x:c r="O120" s="83" t="str">
        <x:v>Direct table extraction</x:v>
      </x:c>
      <x:c r="P120" s="83" t="str">
        <x:v>A - Direct</x:v>
      </x:c>
      <x:c r="Q120" s="83" t="str"/>
    </x:row>
    <x:row r="121">
      <x:c r="A121" s="83" t="str">
        <x:v>BAL-0117</x:v>
      </x:c>
      <x:c r="B121" s="83" t="str">
        <x:v>PNIEC_SLOW_2040</x:v>
      </x:c>
      <x:c r="C121" s="83" t="n">
        <x:v>2040</x:v>
      </x:c>
      <x:c r="D121" s="83" t="str">
        <x:v>PNIEC Slow 2040</x:v>
      </x:c>
      <x:c r="E121" s="83" t="str">
        <x:v>Altro non FER</x:v>
      </x:c>
      <x:c r="F121" s="143" t="n">
        <x:v>6</x:v>
      </x:c>
      <x:c r="G121" s="83" t="str">
        <x:v>TWh</x:v>
      </x:c>
      <x:c r="H121" s="83" t="str">
        <x:v>Italia</x:v>
      </x:c>
      <x:c r="I121" s="83" t="str">
        <x:v>Risultato di modello della fonte</x:v>
      </x:c>
      <x:c r="J121" s="83" t="str">
        <x:v>S09</x:v>
      </x:c>
      <x:c r="K121" s="83" t="str">
        <x:v>Documento_Descrizione_Scenari_2024_8dce2430d44d101.pdf</x:v>
      </x:c>
      <x:c r="L121" s="83" t="n">
        <x:v>66</x:v>
      </x:c>
      <x:c r="M121" s="83" t="n">
        <x:v>64</x:v>
      </x:c>
      <x:c r="N121" s="83" t="str">
        <x:v>Tabella 18</x:v>
      </x:c>
      <x:c r="O121" s="83" t="str">
        <x:v>Direct table extraction</x:v>
      </x:c>
      <x:c r="P121" s="83" t="str">
        <x:v>A - Direct</x:v>
      </x:c>
      <x:c r="Q121" s="83" t="str"/>
    </x:row>
    <x:row r="122">
      <x:c r="A122" s="83" t="str">
        <x:v>BAL-0118</x:v>
      </x:c>
      <x:c r="B122" s="83" t="str">
        <x:v>HIST_2023</x:v>
      </x:c>
      <x:c r="C122" s="83" t="n">
        <x:v>2023</x:v>
      </x:c>
      <x:c r="D122" s="83" t="str">
        <x:v>Storico 2023</x:v>
      </x:c>
      <x:c r="E122" s="83" t="str">
        <x:v>Saldo estero (import netto)</x:v>
      </x:c>
      <x:c r="F122" s="143" t="n">
        <x:v>51</x:v>
      </x:c>
      <x:c r="G122" s="83" t="str">
        <x:v>TWh</x:v>
      </x:c>
      <x:c r="H122" s="83" t="str">
        <x:v>Italia</x:v>
      </x:c>
      <x:c r="I122" s="83" t="str">
        <x:v>Dato osservato storico</x:v>
      </x:c>
      <x:c r="J122" s="83" t="str">
        <x:v>S09</x:v>
      </x:c>
      <x:c r="K122" s="83" t="str">
        <x:v>Documento_Descrizione_Scenari_2024_8dce2430d44d101.pdf</x:v>
      </x:c>
      <x:c r="L122" s="83" t="n">
        <x:v>66</x:v>
      </x:c>
      <x:c r="M122" s="83" t="n">
        <x:v>64</x:v>
      </x:c>
      <x:c r="N122" s="83" t="str">
        <x:v>Tabella 18</x:v>
      </x:c>
      <x:c r="O122" s="83" t="str">
        <x:v>Direct table extraction</x:v>
      </x:c>
      <x:c r="P122" s="83" t="str">
        <x:v>A - Direct</x:v>
      </x:c>
      <x:c r="Q122" s="83" t="str"/>
    </x:row>
    <x:row r="123">
      <x:c r="A123" s="83" t="str">
        <x:v>BAL-0119</x:v>
      </x:c>
      <x:c r="B123" s="83" t="str">
        <x:v>PNIEC_POLICY_2030</x:v>
      </x:c>
      <x:c r="C123" s="83" t="n">
        <x:v>2030</x:v>
      </x:c>
      <x:c r="D123" s="83" t="str">
        <x:v>PNIEC Policy 2030</x:v>
      </x:c>
      <x:c r="E123" s="83" t="str">
        <x:v>Saldo estero (import netto)</x:v>
      </x:c>
      <x:c r="F123" s="143" t="n">
        <x:v>43</x:v>
      </x:c>
      <x:c r="G123" s="83" t="str">
        <x:v>TWh</x:v>
      </x:c>
      <x:c r="H123" s="83" t="str">
        <x:v>Italia</x:v>
      </x:c>
      <x:c r="I123" s="83" t="str">
        <x:v>Risultato di modello della fonte</x:v>
      </x:c>
      <x:c r="J123" s="83" t="str">
        <x:v>S09</x:v>
      </x:c>
      <x:c r="K123" s="83" t="str">
        <x:v>Documento_Descrizione_Scenari_2024_8dce2430d44d101.pdf</x:v>
      </x:c>
      <x:c r="L123" s="83" t="n">
        <x:v>66</x:v>
      </x:c>
      <x:c r="M123" s="83" t="n">
        <x:v>64</x:v>
      </x:c>
      <x:c r="N123" s="83" t="str">
        <x:v>Tabella 18</x:v>
      </x:c>
      <x:c r="O123" s="83" t="str">
        <x:v>Direct table extraction</x:v>
      </x:c>
      <x:c r="P123" s="83" t="str">
        <x:v>A - Direct</x:v>
      </x:c>
      <x:c r="Q123" s="83" t="str"/>
    </x:row>
    <x:row r="124">
      <x:c r="A124" s="83" t="str">
        <x:v>BAL-0120</x:v>
      </x:c>
      <x:c r="B124" s="83" t="str">
        <x:v>PNIEC_SLOW_2030</x:v>
      </x:c>
      <x:c r="C124" s="83" t="n">
        <x:v>2030</x:v>
      </x:c>
      <x:c r="D124" s="83" t="str">
        <x:v>PNIEC Slow 2030</x:v>
      </x:c>
      <x:c r="E124" s="83" t="str">
        <x:v>Saldo estero (import netto)</x:v>
      </x:c>
      <x:c r="F124" s="143" t="n">
        <x:v>47</x:v>
      </x:c>
      <x:c r="G124" s="83" t="str">
        <x:v>TWh</x:v>
      </x:c>
      <x:c r="H124" s="83" t="str">
        <x:v>Italia</x:v>
      </x:c>
      <x:c r="I124" s="83" t="str">
        <x:v>Risultato di modello della fonte</x:v>
      </x:c>
      <x:c r="J124" s="83" t="str">
        <x:v>S09</x:v>
      </x:c>
      <x:c r="K124" s="83" t="str">
        <x:v>Documento_Descrizione_Scenari_2024_8dce2430d44d101.pdf</x:v>
      </x:c>
      <x:c r="L124" s="83" t="n">
        <x:v>66</x:v>
      </x:c>
      <x:c r="M124" s="83" t="n">
        <x:v>64</x:v>
      </x:c>
      <x:c r="N124" s="83" t="str">
        <x:v>Tabella 18</x:v>
      </x:c>
      <x:c r="O124" s="83" t="str">
        <x:v>Direct table extraction</x:v>
      </x:c>
      <x:c r="P124" s="83" t="str">
        <x:v>A - Direct</x:v>
      </x:c>
      <x:c r="Q124" s="83" t="str"/>
    </x:row>
    <x:row r="125">
      <x:c r="A125" s="83" t="str">
        <x:v>BAL-0121</x:v>
      </x:c>
      <x:c r="B125" s="83" t="str">
        <x:v>DE_IT_2035</x:v>
      </x:c>
      <x:c r="C125" s="83" t="n">
        <x:v>2035</x:v>
      </x:c>
      <x:c r="D125" s="83" t="str">
        <x:v>DE-IT 2035</x:v>
      </x:c>
      <x:c r="E125" s="83" t="str">
        <x:v>Saldo estero (import netto)</x:v>
      </x:c>
      <x:c r="F125" s="143" t="n">
        <x:v>45</x:v>
      </x:c>
      <x:c r="G125" s="83" t="str">
        <x:v>TWh</x:v>
      </x:c>
      <x:c r="H125" s="83" t="str">
        <x:v>Italia</x:v>
      </x:c>
      <x:c r="I125" s="83" t="str">
        <x:v>Risultato di modello della fonte</x:v>
      </x:c>
      <x:c r="J125" s="83" t="str">
        <x:v>S09</x:v>
      </x:c>
      <x:c r="K125" s="83" t="str">
        <x:v>Documento_Descrizione_Scenari_2024_8dce2430d44d101.pdf</x:v>
      </x:c>
      <x:c r="L125" s="83" t="n">
        <x:v>66</x:v>
      </x:c>
      <x:c r="M125" s="83" t="n">
        <x:v>64</x:v>
      </x:c>
      <x:c r="N125" s="83" t="str">
        <x:v>Tabella 18</x:v>
      </x:c>
      <x:c r="O125" s="83" t="str">
        <x:v>Direct table extraction</x:v>
      </x:c>
      <x:c r="P125" s="83" t="str">
        <x:v>A - Direct</x:v>
      </x:c>
      <x:c r="Q125" s="83" t="str"/>
    </x:row>
    <x:row r="126">
      <x:c r="A126" s="83" t="str">
        <x:v>BAL-0122</x:v>
      </x:c>
      <x:c r="B126" s="83" t="str">
        <x:v>GA_IT_2035</x:v>
      </x:c>
      <x:c r="C126" s="83" t="n">
        <x:v>2035</x:v>
      </x:c>
      <x:c r="D126" s="83" t="str">
        <x:v>GA-IT 2035</x:v>
      </x:c>
      <x:c r="E126" s="83" t="str">
        <x:v>Saldo estero (import netto)</x:v>
      </x:c>
      <x:c r="F126" s="143" t="n">
        <x:v>47</x:v>
      </x:c>
      <x:c r="G126" s="83" t="str">
        <x:v>TWh</x:v>
      </x:c>
      <x:c r="H126" s="83" t="str">
        <x:v>Italia</x:v>
      </x:c>
      <x:c r="I126" s="83" t="str">
        <x:v>Risultato di modello della fonte</x:v>
      </x:c>
      <x:c r="J126" s="83" t="str">
        <x:v>S09</x:v>
      </x:c>
      <x:c r="K126" s="83" t="str">
        <x:v>Documento_Descrizione_Scenari_2024_8dce2430d44d101.pdf</x:v>
      </x:c>
      <x:c r="L126" s="83" t="n">
        <x:v>66</x:v>
      </x:c>
      <x:c r="M126" s="83" t="n">
        <x:v>64</x:v>
      </x:c>
      <x:c r="N126" s="83" t="str">
        <x:v>Tabella 18</x:v>
      </x:c>
      <x:c r="O126" s="83" t="str">
        <x:v>Direct table extraction</x:v>
      </x:c>
      <x:c r="P126" s="83" t="str">
        <x:v>A - Direct</x:v>
      </x:c>
      <x:c r="Q126" s="83" t="str"/>
    </x:row>
    <x:row r="127">
      <x:c r="A127" s="83" t="str">
        <x:v>BAL-0123</x:v>
      </x:c>
      <x:c r="B127" s="83" t="str">
        <x:v>PNIEC_SLOW_2035</x:v>
      </x:c>
      <x:c r="C127" s="83" t="n">
        <x:v>2035</x:v>
      </x:c>
      <x:c r="D127" s="83" t="str">
        <x:v>PNIEC Slow 2035</x:v>
      </x:c>
      <x:c r="E127" s="83" t="str">
        <x:v>Saldo estero (import netto)</x:v>
      </x:c>
      <x:c r="F127" s="143" t="n">
        <x:v>50</x:v>
      </x:c>
      <x:c r="G127" s="83" t="str">
        <x:v>TWh</x:v>
      </x:c>
      <x:c r="H127" s="83" t="str">
        <x:v>Italia</x:v>
      </x:c>
      <x:c r="I127" s="83" t="str">
        <x:v>Risultato di modello della fonte</x:v>
      </x:c>
      <x:c r="J127" s="83" t="str">
        <x:v>S09</x:v>
      </x:c>
      <x:c r="K127" s="83" t="str">
        <x:v>Documento_Descrizione_Scenari_2024_8dce2430d44d101.pdf</x:v>
      </x:c>
      <x:c r="L127" s="83" t="n">
        <x:v>66</x:v>
      </x:c>
      <x:c r="M127" s="83" t="n">
        <x:v>64</x:v>
      </x:c>
      <x:c r="N127" s="83" t="str">
        <x:v>Tabella 18</x:v>
      </x:c>
      <x:c r="O127" s="83" t="str">
        <x:v>Direct table extraction</x:v>
      </x:c>
      <x:c r="P127" s="83" t="str">
        <x:v>A - Direct</x:v>
      </x:c>
      <x:c r="Q127" s="83" t="str"/>
    </x:row>
    <x:row r="128">
      <x:c r="A128" s="83" t="str">
        <x:v>BAL-0124</x:v>
      </x:c>
      <x:c r="B128" s="83" t="str">
        <x:v>DE_IT_2040</x:v>
      </x:c>
      <x:c r="C128" s="83" t="n">
        <x:v>2040</x:v>
      </x:c>
      <x:c r="D128" s="83" t="str">
        <x:v>DE-IT 2040</x:v>
      </x:c>
      <x:c r="E128" s="83" t="str">
        <x:v>Saldo estero (import netto)</x:v>
      </x:c>
      <x:c r="F128" s="143" t="n">
        <x:v>47</x:v>
      </x:c>
      <x:c r="G128" s="83" t="str">
        <x:v>TWh</x:v>
      </x:c>
      <x:c r="H128" s="83" t="str">
        <x:v>Italia</x:v>
      </x:c>
      <x:c r="I128" s="83" t="str">
        <x:v>Risultato di modello della fonte</x:v>
      </x:c>
      <x:c r="J128" s="83" t="str">
        <x:v>S09</x:v>
      </x:c>
      <x:c r="K128" s="83" t="str">
        <x:v>Documento_Descrizione_Scenari_2024_8dce2430d44d101.pdf</x:v>
      </x:c>
      <x:c r="L128" s="83" t="n">
        <x:v>66</x:v>
      </x:c>
      <x:c r="M128" s="83" t="n">
        <x:v>64</x:v>
      </x:c>
      <x:c r="N128" s="83" t="str">
        <x:v>Tabella 18</x:v>
      </x:c>
      <x:c r="O128" s="83" t="str">
        <x:v>Direct table extraction</x:v>
      </x:c>
      <x:c r="P128" s="83" t="str">
        <x:v>A - Direct</x:v>
      </x:c>
      <x:c r="Q128" s="83" t="str"/>
    </x:row>
    <x:row r="129">
      <x:c r="A129" s="83" t="str">
        <x:v>BAL-0125</x:v>
      </x:c>
      <x:c r="B129" s="83" t="str">
        <x:v>GA_IT_2040</x:v>
      </x:c>
      <x:c r="C129" s="83" t="n">
        <x:v>2040</x:v>
      </x:c>
      <x:c r="D129" s="83" t="str">
        <x:v>GA-IT 2040</x:v>
      </x:c>
      <x:c r="E129" s="83" t="str">
        <x:v>Saldo estero (import netto)</x:v>
      </x:c>
      <x:c r="F129" s="143" t="n">
        <x:v>46</x:v>
      </x:c>
      <x:c r="G129" s="83" t="str">
        <x:v>TWh</x:v>
      </x:c>
      <x:c r="H129" s="83" t="str">
        <x:v>Italia</x:v>
      </x:c>
      <x:c r="I129" s="83" t="str">
        <x:v>Risultato di modello della fonte</x:v>
      </x:c>
      <x:c r="J129" s="83" t="str">
        <x:v>S09</x:v>
      </x:c>
      <x:c r="K129" s="83" t="str">
        <x:v>Documento_Descrizione_Scenari_2024_8dce2430d44d101.pdf</x:v>
      </x:c>
      <x:c r="L129" s="83" t="n">
        <x:v>66</x:v>
      </x:c>
      <x:c r="M129" s="83" t="n">
        <x:v>64</x:v>
      </x:c>
      <x:c r="N129" s="83" t="str">
        <x:v>Tabella 18</x:v>
      </x:c>
      <x:c r="O129" s="83" t="str">
        <x:v>Direct table extraction</x:v>
      </x:c>
      <x:c r="P129" s="83" t="str">
        <x:v>A - Direct</x:v>
      </x:c>
      <x:c r="Q129" s="83" t="str"/>
    </x:row>
    <x:row r="130">
      <x:c r="A130" s="83" t="str">
        <x:v>BAL-0126</x:v>
      </x:c>
      <x:c r="B130" s="83" t="str">
        <x:v>PNIEC_SLOW_2040</x:v>
      </x:c>
      <x:c r="C130" s="83" t="n">
        <x:v>2040</x:v>
      </x:c>
      <x:c r="D130" s="83" t="str">
        <x:v>PNIEC Slow 2040</x:v>
      </x:c>
      <x:c r="E130" s="83" t="str">
        <x:v>Saldo estero (import netto)</x:v>
      </x:c>
      <x:c r="F130" s="143" t="n">
        <x:v>47</x:v>
      </x:c>
      <x:c r="G130" s="83" t="str">
        <x:v>TWh</x:v>
      </x:c>
      <x:c r="H130" s="83" t="str">
        <x:v>Italia</x:v>
      </x:c>
      <x:c r="I130" s="83" t="str">
        <x:v>Risultato di modello della fonte</x:v>
      </x:c>
      <x:c r="J130" s="83" t="str">
        <x:v>S09</x:v>
      </x:c>
      <x:c r="K130" s="83" t="str">
        <x:v>Documento_Descrizione_Scenari_2024_8dce2430d44d101.pdf</x:v>
      </x:c>
      <x:c r="L130" s="83" t="n">
        <x:v>66</x:v>
      </x:c>
      <x:c r="M130" s="83" t="n">
        <x:v>64</x:v>
      </x:c>
      <x:c r="N130" s="83" t="str">
        <x:v>Tabella 18</x:v>
      </x:c>
      <x:c r="O130" s="83" t="str">
        <x:v>Direct table extraction</x:v>
      </x:c>
      <x:c r="P130" s="83" t="str">
        <x:v>A - Direct</x:v>
      </x:c>
      <x:c r="Q130" s="83" t="str"/>
    </x:row>
    <x:row r="131">
      <x:c r="A131" s="83" t="str">
        <x:v>BAL-0127</x:v>
      </x:c>
      <x:c r="B131" s="83" t="str">
        <x:v>HIST_2023</x:v>
      </x:c>
      <x:c r="C131" s="83" t="n">
        <x:v>2023</x:v>
      </x:c>
      <x:c r="D131" s="83" t="str">
        <x:v>Storico 2023</x:v>
      </x:c>
      <x:c r="E131" s="83" t="str">
        <x:v>Perdite accumuli</x:v>
      </x:c>
      <x:c r="F131" s="143" t="n">
        <x:v>-1</x:v>
      </x:c>
      <x:c r="G131" s="83" t="str">
        <x:v>TWh</x:v>
      </x:c>
      <x:c r="H131" s="83" t="str">
        <x:v>Italia</x:v>
      </x:c>
      <x:c r="I131" s="83" t="str">
        <x:v>Dato osservato storico</x:v>
      </x:c>
      <x:c r="J131" s="83" t="str">
        <x:v>S09</x:v>
      </x:c>
      <x:c r="K131" s="83" t="str">
        <x:v>Documento_Descrizione_Scenari_2024_8dce2430d44d101.pdf</x:v>
      </x:c>
      <x:c r="L131" s="83" t="n">
        <x:v>66</x:v>
      </x:c>
      <x:c r="M131" s="83" t="n">
        <x:v>64</x:v>
      </x:c>
      <x:c r="N131" s="83" t="str">
        <x:v>Tabella 18</x:v>
      </x:c>
      <x:c r="O131" s="83" t="str">
        <x:v>Direct table extraction</x:v>
      </x:c>
      <x:c r="P131" s="83" t="str">
        <x:v>A - Direct</x:v>
      </x:c>
      <x:c r="Q131" s="83" t="str">
        <x:v>Overgeneration and storage losses are shown as negative balance terms.</x:v>
      </x:c>
    </x:row>
    <x:row r="132">
      <x:c r="A132" s="83" t="str">
        <x:v>BAL-0128</x:v>
      </x:c>
      <x:c r="B132" s="83" t="str">
        <x:v>PNIEC_POLICY_2030</x:v>
      </x:c>
      <x:c r="C132" s="83" t="n">
        <x:v>2030</x:v>
      </x:c>
      <x:c r="D132" s="83" t="str">
        <x:v>PNIEC Policy 2030</x:v>
      </x:c>
      <x:c r="E132" s="83" t="str">
        <x:v>Perdite accumuli</x:v>
      </x:c>
      <x:c r="F132" s="143" t="n">
        <x:v>-4</x:v>
      </x:c>
      <x:c r="G132" s="83" t="str">
        <x:v>TWh</x:v>
      </x:c>
      <x:c r="H132" s="83" t="str">
        <x:v>Italia</x:v>
      </x:c>
      <x:c r="I132" s="83" t="str">
        <x:v>Risultato di modello della fonte</x:v>
      </x:c>
      <x:c r="J132" s="83" t="str">
        <x:v>S09</x:v>
      </x:c>
      <x:c r="K132" s="83" t="str">
        <x:v>Documento_Descrizione_Scenari_2024_8dce2430d44d101.pdf</x:v>
      </x:c>
      <x:c r="L132" s="83" t="n">
        <x:v>66</x:v>
      </x:c>
      <x:c r="M132" s="83" t="n">
        <x:v>64</x:v>
      </x:c>
      <x:c r="N132" s="83" t="str">
        <x:v>Tabella 18</x:v>
      </x:c>
      <x:c r="O132" s="83" t="str">
        <x:v>Direct table extraction</x:v>
      </x:c>
      <x:c r="P132" s="83" t="str">
        <x:v>A - Direct</x:v>
      </x:c>
      <x:c r="Q132" s="83" t="str">
        <x:v>Overgeneration and storage losses are shown as negative balance terms.</x:v>
      </x:c>
    </x:row>
    <x:row r="133">
      <x:c r="A133" s="83" t="str">
        <x:v>BAL-0129</x:v>
      </x:c>
      <x:c r="B133" s="83" t="str">
        <x:v>PNIEC_SLOW_2030</x:v>
      </x:c>
      <x:c r="C133" s="83" t="n">
        <x:v>2030</x:v>
      </x:c>
      <x:c r="D133" s="83" t="str">
        <x:v>PNIEC Slow 2030</x:v>
      </x:c>
      <x:c r="E133" s="83" t="str">
        <x:v>Perdite accumuli</x:v>
      </x:c>
      <x:c r="F133" s="143" t="n">
        <x:v>-3</x:v>
      </x:c>
      <x:c r="G133" s="83" t="str">
        <x:v>TWh</x:v>
      </x:c>
      <x:c r="H133" s="83" t="str">
        <x:v>Italia</x:v>
      </x:c>
      <x:c r="I133" s="83" t="str">
        <x:v>Risultato di modello della fonte</x:v>
      </x:c>
      <x:c r="J133" s="83" t="str">
        <x:v>S09</x:v>
      </x:c>
      <x:c r="K133" s="83" t="str">
        <x:v>Documento_Descrizione_Scenari_2024_8dce2430d44d101.pdf</x:v>
      </x:c>
      <x:c r="L133" s="83" t="n">
        <x:v>66</x:v>
      </x:c>
      <x:c r="M133" s="83" t="n">
        <x:v>64</x:v>
      </x:c>
      <x:c r="N133" s="83" t="str">
        <x:v>Tabella 18</x:v>
      </x:c>
      <x:c r="O133" s="83" t="str">
        <x:v>Direct table extraction</x:v>
      </x:c>
      <x:c r="P133" s="83" t="str">
        <x:v>A - Direct</x:v>
      </x:c>
      <x:c r="Q133" s="83" t="str">
        <x:v>Overgeneration and storage losses are shown as negative balance terms.</x:v>
      </x:c>
    </x:row>
    <x:row r="134">
      <x:c r="A134" s="83" t="str">
        <x:v>BAL-0130</x:v>
      </x:c>
      <x:c r="B134" s="83" t="str">
        <x:v>DE_IT_2035</x:v>
      </x:c>
      <x:c r="C134" s="83" t="n">
        <x:v>2035</x:v>
      </x:c>
      <x:c r="D134" s="83" t="str">
        <x:v>DE-IT 2035</x:v>
      </x:c>
      <x:c r="E134" s="83" t="str">
        <x:v>Perdite accumuli</x:v>
      </x:c>
      <x:c r="F134" s="143" t="n">
        <x:v>-6</x:v>
      </x:c>
      <x:c r="G134" s="83" t="str">
        <x:v>TWh</x:v>
      </x:c>
      <x:c r="H134" s="83" t="str">
        <x:v>Italia</x:v>
      </x:c>
      <x:c r="I134" s="83" t="str">
        <x:v>Risultato di modello della fonte</x:v>
      </x:c>
      <x:c r="J134" s="83" t="str">
        <x:v>S09</x:v>
      </x:c>
      <x:c r="K134" s="83" t="str">
        <x:v>Documento_Descrizione_Scenari_2024_8dce2430d44d101.pdf</x:v>
      </x:c>
      <x:c r="L134" s="83" t="n">
        <x:v>66</x:v>
      </x:c>
      <x:c r="M134" s="83" t="n">
        <x:v>64</x:v>
      </x:c>
      <x:c r="N134" s="83" t="str">
        <x:v>Tabella 18</x:v>
      </x:c>
      <x:c r="O134" s="83" t="str">
        <x:v>Direct table extraction</x:v>
      </x:c>
      <x:c r="P134" s="83" t="str">
        <x:v>A - Direct</x:v>
      </x:c>
      <x:c r="Q134" s="83" t="str">
        <x:v>Overgeneration and storage losses are shown as negative balance terms.</x:v>
      </x:c>
    </x:row>
    <x:row r="135">
      <x:c r="A135" s="83" t="str">
        <x:v>BAL-0131</x:v>
      </x:c>
      <x:c r="B135" s="83" t="str">
        <x:v>GA_IT_2035</x:v>
      </x:c>
      <x:c r="C135" s="83" t="n">
        <x:v>2035</x:v>
      </x:c>
      <x:c r="D135" s="83" t="str">
        <x:v>GA-IT 2035</x:v>
      </x:c>
      <x:c r="E135" s="83" t="str">
        <x:v>Perdite accumuli</x:v>
      </x:c>
      <x:c r="F135" s="143" t="n">
        <x:v>-5</x:v>
      </x:c>
      <x:c r="G135" s="83" t="str">
        <x:v>TWh</x:v>
      </x:c>
      <x:c r="H135" s="83" t="str">
        <x:v>Italia</x:v>
      </x:c>
      <x:c r="I135" s="83" t="str">
        <x:v>Risultato di modello della fonte</x:v>
      </x:c>
      <x:c r="J135" s="83" t="str">
        <x:v>S09</x:v>
      </x:c>
      <x:c r="K135" s="83" t="str">
        <x:v>Documento_Descrizione_Scenari_2024_8dce2430d44d101.pdf</x:v>
      </x:c>
      <x:c r="L135" s="83" t="n">
        <x:v>66</x:v>
      </x:c>
      <x:c r="M135" s="83" t="n">
        <x:v>64</x:v>
      </x:c>
      <x:c r="N135" s="83" t="str">
        <x:v>Tabella 18</x:v>
      </x:c>
      <x:c r="O135" s="83" t="str">
        <x:v>Direct table extraction</x:v>
      </x:c>
      <x:c r="P135" s="83" t="str">
        <x:v>A - Direct</x:v>
      </x:c>
      <x:c r="Q135" s="83" t="str">
        <x:v>Overgeneration and storage losses are shown as negative balance terms.</x:v>
      </x:c>
    </x:row>
    <x:row r="136">
      <x:c r="A136" s="83" t="str">
        <x:v>BAL-0132</x:v>
      </x:c>
      <x:c r="B136" s="83" t="str">
        <x:v>PNIEC_SLOW_2035</x:v>
      </x:c>
      <x:c r="C136" s="83" t="n">
        <x:v>2035</x:v>
      </x:c>
      <x:c r="D136" s="83" t="str">
        <x:v>PNIEC Slow 2035</x:v>
      </x:c>
      <x:c r="E136" s="83" t="str">
        <x:v>Perdite accumuli</x:v>
      </x:c>
      <x:c r="F136" s="143" t="n">
        <x:v>-5</x:v>
      </x:c>
      <x:c r="G136" s="83" t="str">
        <x:v>TWh</x:v>
      </x:c>
      <x:c r="H136" s="83" t="str">
        <x:v>Italia</x:v>
      </x:c>
      <x:c r="I136" s="83" t="str">
        <x:v>Risultato di modello della fonte</x:v>
      </x:c>
      <x:c r="J136" s="83" t="str">
        <x:v>S09</x:v>
      </x:c>
      <x:c r="K136" s="83" t="str">
        <x:v>Documento_Descrizione_Scenari_2024_8dce2430d44d101.pdf</x:v>
      </x:c>
      <x:c r="L136" s="83" t="n">
        <x:v>66</x:v>
      </x:c>
      <x:c r="M136" s="83" t="n">
        <x:v>64</x:v>
      </x:c>
      <x:c r="N136" s="83" t="str">
        <x:v>Tabella 18</x:v>
      </x:c>
      <x:c r="O136" s="83" t="str">
        <x:v>Direct table extraction</x:v>
      </x:c>
      <x:c r="P136" s="83" t="str">
        <x:v>A - Direct</x:v>
      </x:c>
      <x:c r="Q136" s="83" t="str">
        <x:v>Overgeneration and storage losses are shown as negative balance terms.</x:v>
      </x:c>
    </x:row>
    <x:row r="137">
      <x:c r="A137" s="83" t="str">
        <x:v>BAL-0133</x:v>
      </x:c>
      <x:c r="B137" s="83" t="str">
        <x:v>DE_IT_2040</x:v>
      </x:c>
      <x:c r="C137" s="83" t="n">
        <x:v>2040</x:v>
      </x:c>
      <x:c r="D137" s="83" t="str">
        <x:v>DE-IT 2040</x:v>
      </x:c>
      <x:c r="E137" s="83" t="str">
        <x:v>Perdite accumuli</x:v>
      </x:c>
      <x:c r="F137" s="143" t="n">
        <x:v>-9</x:v>
      </x:c>
      <x:c r="G137" s="83" t="str">
        <x:v>TWh</x:v>
      </x:c>
      <x:c r="H137" s="83" t="str">
        <x:v>Italia</x:v>
      </x:c>
      <x:c r="I137" s="83" t="str">
        <x:v>Risultato di modello della fonte</x:v>
      </x:c>
      <x:c r="J137" s="83" t="str">
        <x:v>S09</x:v>
      </x:c>
      <x:c r="K137" s="83" t="str">
        <x:v>Documento_Descrizione_Scenari_2024_8dce2430d44d101.pdf</x:v>
      </x:c>
      <x:c r="L137" s="83" t="n">
        <x:v>66</x:v>
      </x:c>
      <x:c r="M137" s="83" t="n">
        <x:v>64</x:v>
      </x:c>
      <x:c r="N137" s="83" t="str">
        <x:v>Tabella 18</x:v>
      </x:c>
      <x:c r="O137" s="83" t="str">
        <x:v>Direct table extraction</x:v>
      </x:c>
      <x:c r="P137" s="83" t="str">
        <x:v>A - Direct</x:v>
      </x:c>
      <x:c r="Q137" s="83" t="str">
        <x:v>Overgeneration and storage losses are shown as negative balance terms.</x:v>
      </x:c>
    </x:row>
    <x:row r="138">
      <x:c r="A138" s="83" t="str">
        <x:v>BAL-0134</x:v>
      </x:c>
      <x:c r="B138" s="83" t="str">
        <x:v>GA_IT_2040</x:v>
      </x:c>
      <x:c r="C138" s="83" t="n">
        <x:v>2040</x:v>
      </x:c>
      <x:c r="D138" s="83" t="str">
        <x:v>GA-IT 2040</x:v>
      </x:c>
      <x:c r="E138" s="83" t="str">
        <x:v>Perdite accumuli</x:v>
      </x:c>
      <x:c r="F138" s="143" t="n">
        <x:v>-7</x:v>
      </x:c>
      <x:c r="G138" s="83" t="str">
        <x:v>TWh</x:v>
      </x:c>
      <x:c r="H138" s="83" t="str">
        <x:v>Italia</x:v>
      </x:c>
      <x:c r="I138" s="83" t="str">
        <x:v>Risultato di modello della fonte</x:v>
      </x:c>
      <x:c r="J138" s="83" t="str">
        <x:v>S09</x:v>
      </x:c>
      <x:c r="K138" s="83" t="str">
        <x:v>Documento_Descrizione_Scenari_2024_8dce2430d44d101.pdf</x:v>
      </x:c>
      <x:c r="L138" s="83" t="n">
        <x:v>66</x:v>
      </x:c>
      <x:c r="M138" s="83" t="n">
        <x:v>64</x:v>
      </x:c>
      <x:c r="N138" s="83" t="str">
        <x:v>Tabella 18</x:v>
      </x:c>
      <x:c r="O138" s="83" t="str">
        <x:v>Direct table extraction</x:v>
      </x:c>
      <x:c r="P138" s="83" t="str">
        <x:v>A - Direct</x:v>
      </x:c>
      <x:c r="Q138" s="83" t="str">
        <x:v>Overgeneration and storage losses are shown as negative balance terms.</x:v>
      </x:c>
    </x:row>
    <x:row r="139">
      <x:c r="A139" s="83" t="str">
        <x:v>BAL-0135</x:v>
      </x:c>
      <x:c r="B139" s="83" t="str">
        <x:v>PNIEC_SLOW_2040</x:v>
      </x:c>
      <x:c r="C139" s="83" t="n">
        <x:v>2040</x:v>
      </x:c>
      <x:c r="D139" s="83" t="str">
        <x:v>PNIEC Slow 2040</x:v>
      </x:c>
      <x:c r="E139" s="83" t="str">
        <x:v>Perdite accumuli</x:v>
      </x:c>
      <x:c r="F139" s="143" t="n">
        <x:v>-6</x:v>
      </x:c>
      <x:c r="G139" s="83" t="str">
        <x:v>TWh</x:v>
      </x:c>
      <x:c r="H139" s="83" t="str">
        <x:v>Italia</x:v>
      </x:c>
      <x:c r="I139" s="83" t="str">
        <x:v>Risultato di modello della fonte</x:v>
      </x:c>
      <x:c r="J139" s="83" t="str">
        <x:v>S09</x:v>
      </x:c>
      <x:c r="K139" s="83" t="str">
        <x:v>Documento_Descrizione_Scenari_2024_8dce2430d44d101.pdf</x:v>
      </x:c>
      <x:c r="L139" s="83" t="n">
        <x:v>66</x:v>
      </x:c>
      <x:c r="M139" s="83" t="n">
        <x:v>64</x:v>
      </x:c>
      <x:c r="N139" s="83" t="str">
        <x:v>Tabella 18</x:v>
      </x:c>
      <x:c r="O139" s="83" t="str">
        <x:v>Direct table extraction</x:v>
      </x:c>
      <x:c r="P139" s="83" t="str">
        <x:v>A - Direct</x:v>
      </x:c>
      <x:c r="Q139" s="83" t="str">
        <x:v>Overgeneration and storage losses are shown as negative balance terms.</x:v>
      </x:c>
    </x:row>
    <x:row r="140">
      <x:c r="A140" s="83" t="str">
        <x:v>BAL-0136</x:v>
      </x:c>
      <x:c r="B140" s="83" t="str">
        <x:v>HIST_2023</x:v>
      </x:c>
      <x:c r="C140" s="83" t="n">
        <x:v>2023</x:v>
      </x:c>
      <x:c r="D140" s="83" t="str">
        <x:v>Storico 2023</x:v>
      </x:c>
      <x:c r="E140" s="83" t="str">
        <x:v>% FER su fabbisogno</x:v>
      </x:c>
      <x:c r="F140" s="143" t="n">
        <x:v>37</x:v>
      </x:c>
      <x:c r="G140" s="83" t="str">
        <x:v>%</x:v>
      </x:c>
      <x:c r="H140" s="83" t="str">
        <x:v>Italia</x:v>
      </x:c>
      <x:c r="I140" s="83" t="str">
        <x:v>Dato osservato storico</x:v>
      </x:c>
      <x:c r="J140" s="83" t="str">
        <x:v>S09</x:v>
      </x:c>
      <x:c r="K140" s="83" t="str">
        <x:v>Documento_Descrizione_Scenari_2024_8dce2430d44d101.pdf</x:v>
      </x:c>
      <x:c r="L140" s="83" t="n">
        <x:v>65</x:v>
      </x:c>
      <x:c r="M140" s="83" t="n">
        <x:v>63</x:v>
      </x:c>
      <x:c r="N140" s="83" t="str">
        <x:v>Tabella 17</x:v>
      </x:c>
      <x:c r="O140" s="83" t="str">
        <x:v>Direct table extraction</x:v>
      </x:c>
      <x:c r="P140" s="83" t="str">
        <x:v>A - Direct</x:v>
      </x:c>
      <x:c r="Q140" s="83" t="str"/>
    </x:row>
    <x:row r="141">
      <x:c r="A141" s="83" t="str">
        <x:v>BAL-0137</x:v>
      </x:c>
      <x:c r="B141" s="83" t="str">
        <x:v>PNIEC_POLICY_2030</x:v>
      </x:c>
      <x:c r="C141" s="83" t="n">
        <x:v>2030</x:v>
      </x:c>
      <x:c r="D141" s="83" t="str">
        <x:v>PNIEC Policy 2030</x:v>
      </x:c>
      <x:c r="E141" s="83" t="str">
        <x:v>% FER su fabbisogno</x:v>
      </x:c>
      <x:c r="F141" s="143" t="n">
        <x:v>63</x:v>
      </x:c>
      <x:c r="G141" s="83" t="str">
        <x:v>%</x:v>
      </x:c>
      <x:c r="H141" s="83" t="str">
        <x:v>Italia</x:v>
      </x:c>
      <x:c r="I141" s="83" t="str">
        <x:v>Risultato di modello della fonte</x:v>
      </x:c>
      <x:c r="J141" s="83" t="str">
        <x:v>S09</x:v>
      </x:c>
      <x:c r="K141" s="83" t="str">
        <x:v>Documento_Descrizione_Scenari_2024_8dce2430d44d101.pdf</x:v>
      </x:c>
      <x:c r="L141" s="83" t="n">
        <x:v>65</x:v>
      </x:c>
      <x:c r="M141" s="83" t="n">
        <x:v>63</x:v>
      </x:c>
      <x:c r="N141" s="83" t="str">
        <x:v>Tabella 17</x:v>
      </x:c>
      <x:c r="O141" s="83" t="str">
        <x:v>Direct table extraction</x:v>
      </x:c>
      <x:c r="P141" s="83" t="str">
        <x:v>A - Direct</x:v>
      </x:c>
      <x:c r="Q141" s="83" t="str"/>
    </x:row>
    <x:row r="142">
      <x:c r="A142" s="83" t="str">
        <x:v>BAL-0138</x:v>
      </x:c>
      <x:c r="B142" s="83" t="str">
        <x:v>PNIEC_SLOW_2030</x:v>
      </x:c>
      <x:c r="C142" s="83" t="n">
        <x:v>2030</x:v>
      </x:c>
      <x:c r="D142" s="83" t="str">
        <x:v>PNIEC Slow 2030</x:v>
      </x:c>
      <x:c r="E142" s="83" t="str">
        <x:v>% FER su fabbisogno</x:v>
      </x:c>
      <x:c r="F142" s="143" t="n">
        <x:v>58</x:v>
      </x:c>
      <x:c r="G142" s="83" t="str">
        <x:v>%</x:v>
      </x:c>
      <x:c r="H142" s="83" t="str">
        <x:v>Italia</x:v>
      </x:c>
      <x:c r="I142" s="83" t="str">
        <x:v>Risultato di modello della fonte</x:v>
      </x:c>
      <x:c r="J142" s="83" t="str">
        <x:v>S09</x:v>
      </x:c>
      <x:c r="K142" s="83" t="str">
        <x:v>Documento_Descrizione_Scenari_2024_8dce2430d44d101.pdf</x:v>
      </x:c>
      <x:c r="L142" s="83" t="n">
        <x:v>65</x:v>
      </x:c>
      <x:c r="M142" s="83" t="n">
        <x:v>63</x:v>
      </x:c>
      <x:c r="N142" s="83" t="str">
        <x:v>Tabella 17</x:v>
      </x:c>
      <x:c r="O142" s="83" t="str">
        <x:v>Direct table extraction</x:v>
      </x:c>
      <x:c r="P142" s="83" t="str">
        <x:v>A - Direct</x:v>
      </x:c>
      <x:c r="Q142" s="83" t="str"/>
    </x:row>
    <x:row r="143">
      <x:c r="A143" s="83" t="str">
        <x:v>BAL-0139</x:v>
      </x:c>
      <x:c r="B143" s="83" t="str">
        <x:v>DE_IT_2035</x:v>
      </x:c>
      <x:c r="C143" s="83" t="n">
        <x:v>2035</x:v>
      </x:c>
      <x:c r="D143" s="83" t="str">
        <x:v>DE-IT 2035</x:v>
      </x:c>
      <x:c r="E143" s="83" t="str">
        <x:v>% FER su fabbisogno</x:v>
      </x:c>
      <x:c r="F143" s="143" t="n">
        <x:v>70</x:v>
      </x:c>
      <x:c r="G143" s="83" t="str">
        <x:v>%</x:v>
      </x:c>
      <x:c r="H143" s="83" t="str">
        <x:v>Italia</x:v>
      </x:c>
      <x:c r="I143" s="83" t="str">
        <x:v>Risultato di modello della fonte</x:v>
      </x:c>
      <x:c r="J143" s="83" t="str">
        <x:v>S09</x:v>
      </x:c>
      <x:c r="K143" s="83" t="str">
        <x:v>Documento_Descrizione_Scenari_2024_8dce2430d44d101.pdf</x:v>
      </x:c>
      <x:c r="L143" s="83" t="n">
        <x:v>65</x:v>
      </x:c>
      <x:c r="M143" s="83" t="n">
        <x:v>63</x:v>
      </x:c>
      <x:c r="N143" s="83" t="str">
        <x:v>Tabella 17</x:v>
      </x:c>
      <x:c r="O143" s="83" t="str">
        <x:v>Direct table extraction</x:v>
      </x:c>
      <x:c r="P143" s="83" t="str">
        <x:v>A - Direct</x:v>
      </x:c>
      <x:c r="Q143" s="83" t="str"/>
    </x:row>
    <x:row r="144">
      <x:c r="A144" s="83" t="str">
        <x:v>BAL-0140</x:v>
      </x:c>
      <x:c r="B144" s="83" t="str">
        <x:v>GA_IT_2035</x:v>
      </x:c>
      <x:c r="C144" s="83" t="n">
        <x:v>2035</x:v>
      </x:c>
      <x:c r="D144" s="83" t="str">
        <x:v>GA-IT 2035</x:v>
      </x:c>
      <x:c r="E144" s="83" t="str">
        <x:v>% FER su fabbisogno</x:v>
      </x:c>
      <x:c r="F144" s="143" t="n">
        <x:v>67</x:v>
      </x:c>
      <x:c r="G144" s="83" t="str">
        <x:v>%</x:v>
      </x:c>
      <x:c r="H144" s="83" t="str">
        <x:v>Italia</x:v>
      </x:c>
      <x:c r="I144" s="83" t="str">
        <x:v>Risultato di modello della fonte</x:v>
      </x:c>
      <x:c r="J144" s="83" t="str">
        <x:v>S09</x:v>
      </x:c>
      <x:c r="K144" s="83" t="str">
        <x:v>Documento_Descrizione_Scenari_2024_8dce2430d44d101.pdf</x:v>
      </x:c>
      <x:c r="L144" s="83" t="n">
        <x:v>65</x:v>
      </x:c>
      <x:c r="M144" s="83" t="n">
        <x:v>63</x:v>
      </x:c>
      <x:c r="N144" s="83" t="str">
        <x:v>Tabella 17</x:v>
      </x:c>
      <x:c r="O144" s="83" t="str">
        <x:v>Direct table extraction</x:v>
      </x:c>
      <x:c r="P144" s="83" t="str">
        <x:v>A - Direct</x:v>
      </x:c>
      <x:c r="Q144" s="83" t="str"/>
    </x:row>
    <x:row r="145">
      <x:c r="A145" s="83" t="str">
        <x:v>BAL-0141</x:v>
      </x:c>
      <x:c r="B145" s="83" t="str">
        <x:v>PNIEC_SLOW_2035</x:v>
      </x:c>
      <x:c r="C145" s="83" t="n">
        <x:v>2035</x:v>
      </x:c>
      <x:c r="D145" s="83" t="str">
        <x:v>PNIEC Slow 2035</x:v>
      </x:c>
      <x:c r="E145" s="83" t="str">
        <x:v>% FER su fabbisogno</x:v>
      </x:c>
      <x:c r="F145" s="143" t="n">
        <x:v>64</x:v>
      </x:c>
      <x:c r="G145" s="83" t="str">
        <x:v>%</x:v>
      </x:c>
      <x:c r="H145" s="83" t="str">
        <x:v>Italia</x:v>
      </x:c>
      <x:c r="I145" s="83" t="str">
        <x:v>Risultato di modello della fonte</x:v>
      </x:c>
      <x:c r="J145" s="83" t="str">
        <x:v>S09</x:v>
      </x:c>
      <x:c r="K145" s="83" t="str">
        <x:v>Documento_Descrizione_Scenari_2024_8dce2430d44d101.pdf</x:v>
      </x:c>
      <x:c r="L145" s="83" t="n">
        <x:v>65</x:v>
      </x:c>
      <x:c r="M145" s="83" t="n">
        <x:v>63</x:v>
      </x:c>
      <x:c r="N145" s="83" t="str">
        <x:v>Tabella 17</x:v>
      </x:c>
      <x:c r="O145" s="83" t="str">
        <x:v>Direct table extraction</x:v>
      </x:c>
      <x:c r="P145" s="83" t="str">
        <x:v>A - Direct</x:v>
      </x:c>
      <x:c r="Q145" s="83" t="str"/>
    </x:row>
    <x:row r="146">
      <x:c r="A146" s="83" t="str">
        <x:v>BAL-0142</x:v>
      </x:c>
      <x:c r="B146" s="83" t="str">
        <x:v>DE_IT_2040</x:v>
      </x:c>
      <x:c r="C146" s="83" t="n">
        <x:v>2040</x:v>
      </x:c>
      <x:c r="D146" s="83" t="str">
        <x:v>DE-IT 2040</x:v>
      </x:c>
      <x:c r="E146" s="83" t="str">
        <x:v>% FER su fabbisogno</x:v>
      </x:c>
      <x:c r="F146" s="143" t="n">
        <x:v>76</x:v>
      </x:c>
      <x:c r="G146" s="83" t="str">
        <x:v>%</x:v>
      </x:c>
      <x:c r="H146" s="83" t="str">
        <x:v>Italia</x:v>
      </x:c>
      <x:c r="I146" s="83" t="str">
        <x:v>Risultato di modello della fonte</x:v>
      </x:c>
      <x:c r="J146" s="83" t="str">
        <x:v>S09</x:v>
      </x:c>
      <x:c r="K146" s="83" t="str">
        <x:v>Documento_Descrizione_Scenari_2024_8dce2430d44d101.pdf</x:v>
      </x:c>
      <x:c r="L146" s="83" t="n">
        <x:v>65</x:v>
      </x:c>
      <x:c r="M146" s="83" t="n">
        <x:v>63</x:v>
      </x:c>
      <x:c r="N146" s="83" t="str">
        <x:v>Tabella 17</x:v>
      </x:c>
      <x:c r="O146" s="83" t="str">
        <x:v>Direct table extraction</x:v>
      </x:c>
      <x:c r="P146" s="83" t="str">
        <x:v>A - Direct</x:v>
      </x:c>
      <x:c r="Q146" s="83" t="str"/>
    </x:row>
    <x:row r="147">
      <x:c r="A147" s="83" t="str">
        <x:v>BAL-0143</x:v>
      </x:c>
      <x:c r="B147" s="83" t="str">
        <x:v>GA_IT_2040</x:v>
      </x:c>
      <x:c r="C147" s="83" t="n">
        <x:v>2040</x:v>
      </x:c>
      <x:c r="D147" s="83" t="str">
        <x:v>GA-IT 2040</x:v>
      </x:c>
      <x:c r="E147" s="83" t="str">
        <x:v>% FER su fabbisogno</x:v>
      </x:c>
      <x:c r="F147" s="143" t="n">
        <x:v>74</x:v>
      </x:c>
      <x:c r="G147" s="83" t="str">
        <x:v>%</x:v>
      </x:c>
      <x:c r="H147" s="83" t="str">
        <x:v>Italia</x:v>
      </x:c>
      <x:c r="I147" s="83" t="str">
        <x:v>Risultato di modello della fonte</x:v>
      </x:c>
      <x:c r="J147" s="83" t="str">
        <x:v>S09</x:v>
      </x:c>
      <x:c r="K147" s="83" t="str">
        <x:v>Documento_Descrizione_Scenari_2024_8dce2430d44d101.pdf</x:v>
      </x:c>
      <x:c r="L147" s="83" t="n">
        <x:v>65</x:v>
      </x:c>
      <x:c r="M147" s="83" t="n">
        <x:v>63</x:v>
      </x:c>
      <x:c r="N147" s="83" t="str">
        <x:v>Tabella 17</x:v>
      </x:c>
      <x:c r="O147" s="83" t="str">
        <x:v>Direct table extraction</x:v>
      </x:c>
      <x:c r="P147" s="83" t="str">
        <x:v>A - Direct</x:v>
      </x:c>
      <x:c r="Q147" s="83" t="str"/>
    </x:row>
    <x:row r="148">
      <x:c r="A148" s="83" t="str">
        <x:v>BAL-0144</x:v>
      </x:c>
      <x:c r="B148" s="83" t="str">
        <x:v>PNIEC_SLOW_2040</x:v>
      </x:c>
      <x:c r="C148" s="83" t="n">
        <x:v>2040</x:v>
      </x:c>
      <x:c r="D148" s="83" t="str">
        <x:v>PNIEC Slow 2040</x:v>
      </x:c>
      <x:c r="E148" s="83" t="str">
        <x:v>% FER su fabbisogno</x:v>
      </x:c>
      <x:c r="F148" s="143" t="n">
        <x:v>73</x:v>
      </x:c>
      <x:c r="G148" s="83" t="str">
        <x:v>%</x:v>
      </x:c>
      <x:c r="H148" s="83" t="str">
        <x:v>Italia</x:v>
      </x:c>
      <x:c r="I148" s="83" t="str">
        <x:v>Risultato di modello della fonte</x:v>
      </x:c>
      <x:c r="J148" s="83" t="str">
        <x:v>S09</x:v>
      </x:c>
      <x:c r="K148" s="83" t="str">
        <x:v>Documento_Descrizione_Scenari_2024_8dce2430d44d101.pdf</x:v>
      </x:c>
      <x:c r="L148" s="83" t="n">
        <x:v>65</x:v>
      </x:c>
      <x:c r="M148" s="83" t="n">
        <x:v>63</x:v>
      </x:c>
      <x:c r="N148" s="83" t="str">
        <x:v>Tabella 17</x:v>
      </x:c>
      <x:c r="O148" s="83" t="str">
        <x:v>Direct table extraction</x:v>
      </x:c>
      <x:c r="P148" s="83" t="str">
        <x:v>A - Direct</x:v>
      </x:c>
      <x:c r="Q148" s="83" t="str"/>
    </x:row>
    <x:row r="149">
      <x:c r="A149" s="83" t="str">
        <x:v>BAL-0145</x:v>
      </x:c>
      <x:c r="B149" s="83" t="str">
        <x:v>HIST_2023</x:v>
      </x:c>
      <x:c r="C149" s="83" t="n">
        <x:v>2023</x:v>
      </x:c>
      <x:c r="D149" s="83" t="str">
        <x:v>Storico 2023</x:v>
      </x:c>
      <x:c r="E149" s="83" t="str">
        <x:v>% FER su produzione</x:v>
      </x:c>
      <x:c r="F149" s="143" t="n">
        <x:v>44</x:v>
      </x:c>
      <x:c r="G149" s="83" t="str">
        <x:v>%</x:v>
      </x:c>
      <x:c r="H149" s="83" t="str">
        <x:v>Italia</x:v>
      </x:c>
      <x:c r="I149" s="83" t="str">
        <x:v>Dato osservato storico</x:v>
      </x:c>
      <x:c r="J149" s="83" t="str">
        <x:v>S09</x:v>
      </x:c>
      <x:c r="K149" s="83" t="str">
        <x:v>Documento_Descrizione_Scenari_2024_8dce2430d44d101.pdf</x:v>
      </x:c>
      <x:c r="L149" s="83" t="n">
        <x:v>65</x:v>
      </x:c>
      <x:c r="M149" s="83" t="n">
        <x:v>63</x:v>
      </x:c>
      <x:c r="N149" s="83" t="str">
        <x:v>Tabella 17</x:v>
      </x:c>
      <x:c r="O149" s="83" t="str">
        <x:v>Direct table extraction</x:v>
      </x:c>
      <x:c r="P149" s="83" t="str">
        <x:v>A - Direct</x:v>
      </x:c>
      <x:c r="Q149" s="83" t="str"/>
    </x:row>
    <x:row r="150">
      <x:c r="A150" s="83" t="str">
        <x:v>BAL-0146</x:v>
      </x:c>
      <x:c r="B150" s="83" t="str">
        <x:v>PNIEC_POLICY_2030</x:v>
      </x:c>
      <x:c r="C150" s="83" t="n">
        <x:v>2030</x:v>
      </x:c>
      <x:c r="D150" s="83" t="str">
        <x:v>PNIEC Policy 2030</x:v>
      </x:c>
      <x:c r="E150" s="83" t="str">
        <x:v>% FER su produzione</x:v>
      </x:c>
      <x:c r="F150" s="143" t="n">
        <x:v>70</x:v>
      </x:c>
      <x:c r="G150" s="83" t="str">
        <x:v>%</x:v>
      </x:c>
      <x:c r="H150" s="83" t="str">
        <x:v>Italia</x:v>
      </x:c>
      <x:c r="I150" s="83" t="str">
        <x:v>Risultato di modello della fonte</x:v>
      </x:c>
      <x:c r="J150" s="83" t="str">
        <x:v>S09</x:v>
      </x:c>
      <x:c r="K150" s="83" t="str">
        <x:v>Documento_Descrizione_Scenari_2024_8dce2430d44d101.pdf</x:v>
      </x:c>
      <x:c r="L150" s="83" t="n">
        <x:v>65</x:v>
      </x:c>
      <x:c r="M150" s="83" t="n">
        <x:v>63</x:v>
      </x:c>
      <x:c r="N150" s="83" t="str">
        <x:v>Tabella 17</x:v>
      </x:c>
      <x:c r="O150" s="83" t="str">
        <x:v>Direct table extraction</x:v>
      </x:c>
      <x:c r="P150" s="83" t="str">
        <x:v>A - Direct</x:v>
      </x:c>
      <x:c r="Q150" s="83" t="str"/>
    </x:row>
    <x:row r="151">
      <x:c r="A151" s="83" t="str">
        <x:v>BAL-0147</x:v>
      </x:c>
      <x:c r="B151" s="83" t="str">
        <x:v>PNIEC_SLOW_2030</x:v>
      </x:c>
      <x:c r="C151" s="83" t="n">
        <x:v>2030</x:v>
      </x:c>
      <x:c r="D151" s="83" t="str">
        <x:v>PNIEC Slow 2030</x:v>
      </x:c>
      <x:c r="E151" s="83" t="str">
        <x:v>% FER su produzione</x:v>
      </x:c>
      <x:c r="F151" s="143" t="n">
        <x:v>67</x:v>
      </x:c>
      <x:c r="G151" s="83" t="str">
        <x:v>%</x:v>
      </x:c>
      <x:c r="H151" s="83" t="str">
        <x:v>Italia</x:v>
      </x:c>
      <x:c r="I151" s="83" t="str">
        <x:v>Risultato di modello della fonte</x:v>
      </x:c>
      <x:c r="J151" s="83" t="str">
        <x:v>S09</x:v>
      </x:c>
      <x:c r="K151" s="83" t="str">
        <x:v>Documento_Descrizione_Scenari_2024_8dce2430d44d101.pdf</x:v>
      </x:c>
      <x:c r="L151" s="83" t="n">
        <x:v>65</x:v>
      </x:c>
      <x:c r="M151" s="83" t="n">
        <x:v>63</x:v>
      </x:c>
      <x:c r="N151" s="83" t="str">
        <x:v>Tabella 17</x:v>
      </x:c>
      <x:c r="O151" s="83" t="str">
        <x:v>Direct table extraction</x:v>
      </x:c>
      <x:c r="P151" s="83" t="str">
        <x:v>A - Direct</x:v>
      </x:c>
      <x:c r="Q151" s="83" t="str"/>
    </x:row>
    <x:row r="152">
      <x:c r="A152" s="83" t="str">
        <x:v>BAL-0148</x:v>
      </x:c>
      <x:c r="B152" s="83" t="str">
        <x:v>DE_IT_2035</x:v>
      </x:c>
      <x:c r="C152" s="83" t="n">
        <x:v>2035</x:v>
      </x:c>
      <x:c r="D152" s="83" t="str">
        <x:v>DE-IT 2035</x:v>
      </x:c>
      <x:c r="E152" s="83" t="str">
        <x:v>% FER su produzione</x:v>
      </x:c>
      <x:c r="F152" s="143" t="n">
        <x:v>77</x:v>
      </x:c>
      <x:c r="G152" s="83" t="str">
        <x:v>%</x:v>
      </x:c>
      <x:c r="H152" s="83" t="str">
        <x:v>Italia</x:v>
      </x:c>
      <x:c r="I152" s="83" t="str">
        <x:v>Risultato di modello della fonte</x:v>
      </x:c>
      <x:c r="J152" s="83" t="str">
        <x:v>S09</x:v>
      </x:c>
      <x:c r="K152" s="83" t="str">
        <x:v>Documento_Descrizione_Scenari_2024_8dce2430d44d101.pdf</x:v>
      </x:c>
      <x:c r="L152" s="83" t="n">
        <x:v>65</x:v>
      </x:c>
      <x:c r="M152" s="83" t="n">
        <x:v>63</x:v>
      </x:c>
      <x:c r="N152" s="83" t="str">
        <x:v>Tabella 17</x:v>
      </x:c>
      <x:c r="O152" s="83" t="str">
        <x:v>Direct table extraction</x:v>
      </x:c>
      <x:c r="P152" s="83" t="str">
        <x:v>A - Direct</x:v>
      </x:c>
      <x:c r="Q152" s="83" t="str"/>
    </x:row>
    <x:row r="153">
      <x:c r="A153" s="83" t="str">
        <x:v>BAL-0149</x:v>
      </x:c>
      <x:c r="B153" s="83" t="str">
        <x:v>GA_IT_2035</x:v>
      </x:c>
      <x:c r="C153" s="83" t="n">
        <x:v>2035</x:v>
      </x:c>
      <x:c r="D153" s="83" t="str">
        <x:v>GA-IT 2035</x:v>
      </x:c>
      <x:c r="E153" s="83" t="str">
        <x:v>% FER su produzione</x:v>
      </x:c>
      <x:c r="F153" s="143" t="n">
        <x:v>76</x:v>
      </x:c>
      <x:c r="G153" s="83" t="str">
        <x:v>%</x:v>
      </x:c>
      <x:c r="H153" s="83" t="str">
        <x:v>Italia</x:v>
      </x:c>
      <x:c r="I153" s="83" t="str">
        <x:v>Risultato di modello della fonte</x:v>
      </x:c>
      <x:c r="J153" s="83" t="str">
        <x:v>S09</x:v>
      </x:c>
      <x:c r="K153" s="83" t="str">
        <x:v>Documento_Descrizione_Scenari_2024_8dce2430d44d101.pdf</x:v>
      </x:c>
      <x:c r="L153" s="83" t="n">
        <x:v>65</x:v>
      </x:c>
      <x:c r="M153" s="83" t="n">
        <x:v>63</x:v>
      </x:c>
      <x:c r="N153" s="83" t="str">
        <x:v>Tabella 17</x:v>
      </x:c>
      <x:c r="O153" s="83" t="str">
        <x:v>Direct table extraction</x:v>
      </x:c>
      <x:c r="P153" s="83" t="str">
        <x:v>A - Direct</x:v>
      </x:c>
      <x:c r="Q153" s="83" t="str"/>
    </x:row>
    <x:row r="154">
      <x:c r="A154" s="83" t="str">
        <x:v>BAL-0150</x:v>
      </x:c>
      <x:c r="B154" s="83" t="str">
        <x:v>PNIEC_SLOW_2035</x:v>
      </x:c>
      <x:c r="C154" s="83" t="n">
        <x:v>2035</x:v>
      </x:c>
      <x:c r="D154" s="83" t="str">
        <x:v>PNIEC Slow 2035</x:v>
      </x:c>
      <x:c r="E154" s="83" t="str">
        <x:v>% FER su produzione</x:v>
      </x:c>
      <x:c r="F154" s="143" t="n">
        <x:v>73</x:v>
      </x:c>
      <x:c r="G154" s="83" t="str">
        <x:v>%</x:v>
      </x:c>
      <x:c r="H154" s="83" t="str">
        <x:v>Italia</x:v>
      </x:c>
      <x:c r="I154" s="83" t="str">
        <x:v>Risultato di modello della fonte</x:v>
      </x:c>
      <x:c r="J154" s="83" t="str">
        <x:v>S09</x:v>
      </x:c>
      <x:c r="K154" s="83" t="str">
        <x:v>Documento_Descrizione_Scenari_2024_8dce2430d44d101.pdf</x:v>
      </x:c>
      <x:c r="L154" s="83" t="n">
        <x:v>65</x:v>
      </x:c>
      <x:c r="M154" s="83" t="n">
        <x:v>63</x:v>
      </x:c>
      <x:c r="N154" s="83" t="str">
        <x:v>Tabella 17</x:v>
      </x:c>
      <x:c r="O154" s="83" t="str">
        <x:v>Direct table extraction</x:v>
      </x:c>
      <x:c r="P154" s="83" t="str">
        <x:v>A - Direct</x:v>
      </x:c>
      <x:c r="Q154" s="83" t="str"/>
    </x:row>
    <x:row r="155">
      <x:c r="A155" s="83" t="str">
        <x:v>BAL-0151</x:v>
      </x:c>
      <x:c r="B155" s="83" t="str">
        <x:v>DE_IT_2040</x:v>
      </x:c>
      <x:c r="C155" s="83" t="n">
        <x:v>2040</x:v>
      </x:c>
      <x:c r="D155" s="83" t="str">
        <x:v>DE-IT 2040</x:v>
      </x:c>
      <x:c r="E155" s="83" t="str">
        <x:v>% FER su produzione</x:v>
      </x:c>
      <x:c r="F155" s="143" t="n">
        <x:v>84</x:v>
      </x:c>
      <x:c r="G155" s="83" t="str">
        <x:v>%</x:v>
      </x:c>
      <x:c r="H155" s="83" t="str">
        <x:v>Italia</x:v>
      </x:c>
      <x:c r="I155" s="83" t="str">
        <x:v>Risultato di modello della fonte</x:v>
      </x:c>
      <x:c r="J155" s="83" t="str">
        <x:v>S09</x:v>
      </x:c>
      <x:c r="K155" s="83" t="str">
        <x:v>Documento_Descrizione_Scenari_2024_8dce2430d44d101.pdf</x:v>
      </x:c>
      <x:c r="L155" s="83" t="n">
        <x:v>65</x:v>
      </x:c>
      <x:c r="M155" s="83" t="n">
        <x:v>63</x:v>
      </x:c>
      <x:c r="N155" s="83" t="str">
        <x:v>Tabella 17</x:v>
      </x:c>
      <x:c r="O155" s="83" t="str">
        <x:v>Direct table extraction</x:v>
      </x:c>
      <x:c r="P155" s="83" t="str">
        <x:v>A - Direct</x:v>
      </x:c>
      <x:c r="Q155" s="83" t="str"/>
    </x:row>
    <x:row r="156">
      <x:c r="A156" s="83" t="str">
        <x:v>BAL-0152</x:v>
      </x:c>
      <x:c r="B156" s="83" t="str">
        <x:v>GA_IT_2040</x:v>
      </x:c>
      <x:c r="C156" s="83" t="n">
        <x:v>2040</x:v>
      </x:c>
      <x:c r="D156" s="83" t="str">
        <x:v>GA-IT 2040</x:v>
      </x:c>
      <x:c r="E156" s="83" t="str">
        <x:v>% FER su produzione</x:v>
      </x:c>
      <x:c r="F156" s="143" t="n">
        <x:v>80</x:v>
      </x:c>
      <x:c r="G156" s="83" t="str">
        <x:v>%</x:v>
      </x:c>
      <x:c r="H156" s="83" t="str">
        <x:v>Italia</x:v>
      </x:c>
      <x:c r="I156" s="83" t="str">
        <x:v>Risultato di modello della fonte</x:v>
      </x:c>
      <x:c r="J156" s="83" t="str">
        <x:v>S09</x:v>
      </x:c>
      <x:c r="K156" s="83" t="str">
        <x:v>Documento_Descrizione_Scenari_2024_8dce2430d44d101.pdf</x:v>
      </x:c>
      <x:c r="L156" s="83" t="n">
        <x:v>65</x:v>
      </x:c>
      <x:c r="M156" s="83" t="n">
        <x:v>63</x:v>
      </x:c>
      <x:c r="N156" s="83" t="str">
        <x:v>Tabella 17</x:v>
      </x:c>
      <x:c r="O156" s="83" t="str">
        <x:v>Direct table extraction</x:v>
      </x:c>
      <x:c r="P156" s="83" t="str">
        <x:v>A - Direct</x:v>
      </x:c>
      <x:c r="Q156" s="83" t="str"/>
    </x:row>
    <x:row r="157">
      <x:c r="A157" s="83" t="str">
        <x:v>BAL-0153</x:v>
      </x:c>
      <x:c r="B157" s="83" t="str">
        <x:v>PNIEC_SLOW_2040</x:v>
      </x:c>
      <x:c r="C157" s="83" t="n">
        <x:v>2040</x:v>
      </x:c>
      <x:c r="D157" s="83" t="str">
        <x:v>PNIEC Slow 2040</x:v>
      </x:c>
      <x:c r="E157" s="83" t="str">
        <x:v>% FER su produzione</x:v>
      </x:c>
      <x:c r="F157" s="143" t="n">
        <x:v>81</x:v>
      </x:c>
      <x:c r="G157" s="83" t="str">
        <x:v>%</x:v>
      </x:c>
      <x:c r="H157" s="83" t="str">
        <x:v>Italia</x:v>
      </x:c>
      <x:c r="I157" s="83" t="str">
        <x:v>Risultato di modello della fonte</x:v>
      </x:c>
      <x:c r="J157" s="83" t="str">
        <x:v>S09</x:v>
      </x:c>
      <x:c r="K157" s="83" t="str">
        <x:v>Documento_Descrizione_Scenari_2024_8dce2430d44d101.pdf</x:v>
      </x:c>
      <x:c r="L157" s="83" t="n">
        <x:v>65</x:v>
      </x:c>
      <x:c r="M157" s="83" t="n">
        <x:v>63</x:v>
      </x:c>
      <x:c r="N157" s="83" t="str">
        <x:v>Tabella 17</x:v>
      </x:c>
      <x:c r="O157" s="83" t="str">
        <x:v>Direct table extraction</x:v>
      </x:c>
      <x:c r="P157" s="83" t="str">
        <x:v>A - Direct</x:v>
      </x:c>
      <x:c r="Q157" s="83" t="str"/>
    </x:row>
    <x:row r="158">
      <x:c r="A158" s="83" t="str">
        <x:v>BAL-0154</x:v>
      </x:c>
      <x:c r="B158" s="83" t="str">
        <x:v>PNIEC_2050_NUCLEAR</x:v>
      </x:c>
      <x:c r="C158" s="83" t="n">
        <x:v>2050</x:v>
      </x:c>
      <x:c r="D158" s="83" t="str">
        <x:v>PNIEC 2050 con nucleare</x:v>
      </x:c>
      <x:c r="E158" s="83" t="str">
        <x:v>Fabbisogno elettrico totale</x:v>
      </x:c>
      <x:c r="F158" s="143" t="n">
        <x:v>583.1</x:v>
      </x:c>
      <x:c r="G158" s="83" t="str">
        <x:v>TWh</x:v>
      </x:c>
      <x:c r="H158" s="83" t="str">
        <x:v>Italia</x:v>
      </x:c>
      <x:c r="I158" s="83" t="str">
        <x:v>Risultato di modello della fonte</x:v>
      </x:c>
      <x:c r="J158" s="83" t="str">
        <x:v>S07 (riproduce S08)</x:v>
      </x:c>
      <x:c r="K158" s="83" t="str">
        <x:v>Terna Prospettive Sviluppo Sistema Energetico 2050.pdf</x:v>
      </x:c>
      <x:c r="L158" s="83" t="n">
        <x:v>52</x:v>
      </x:c>
      <x:c r="M158" s="83" t="n">
        <x:v>50</x:v>
      </x:c>
      <x:c r="N158" s="83" t="str">
        <x:v>Tabella 3</x:v>
      </x:c>
      <x:c r="O158" s="83" t="str">
        <x:v>Direct table extraction; PNIEC cross-check</x:v>
      </x:c>
      <x:c r="P158" s="83" t="str">
        <x:v>A - Direct</x:v>
      </x:c>
      <x:c r="Q158" s="83" t="str">
        <x:v>PNIEC exploratory TIMES_RSE scenario.</x:v>
      </x:c>
    </x:row>
    <x:row r="159">
      <x:c r="A159" s="83" t="str">
        <x:v>BAL-0155</x:v>
      </x:c>
      <x:c r="B159" s="83" t="str">
        <x:v>PNIEC_2050_NUCLEAR</x:v>
      </x:c>
      <x:c r="C159" s="83" t="n">
        <x:v>2050</x:v>
      </x:c>
      <x:c r="D159" s="83" t="str">
        <x:v>PNIEC 2050 con nucleare</x:v>
      </x:c>
      <x:c r="E159" s="83" t="str">
        <x:v>Consumi finali</x:v>
      </x:c>
      <x:c r="F159" s="143" t="n">
        <x:v>478</x:v>
      </x:c>
      <x:c r="G159" s="83" t="str">
        <x:v>TWh</x:v>
      </x:c>
      <x:c r="H159" s="83" t="str">
        <x:v>Italia</x:v>
      </x:c>
      <x:c r="I159" s="83" t="str">
        <x:v>Risultato di modello della fonte</x:v>
      </x:c>
      <x:c r="J159" s="83" t="str">
        <x:v>S07 (riproduce S08)</x:v>
      </x:c>
      <x:c r="K159" s="83" t="str">
        <x:v>Terna Prospettive Sviluppo Sistema Energetico 2050.pdf</x:v>
      </x:c>
      <x:c r="L159" s="83" t="n">
        <x:v>52</x:v>
      </x:c>
      <x:c r="M159" s="83" t="n">
        <x:v>50</x:v>
      </x:c>
      <x:c r="N159" s="83" t="str">
        <x:v>Tabella 3</x:v>
      </x:c>
      <x:c r="O159" s="83" t="str">
        <x:v>Direct table extraction; PNIEC cross-check</x:v>
      </x:c>
      <x:c r="P159" s="83" t="str">
        <x:v>A - Direct</x:v>
      </x:c>
      <x:c r="Q159" s="83" t="str">
        <x:v>PNIEC exploratory TIMES_RSE scenario.</x:v>
      </x:c>
    </x:row>
    <x:row r="160">
      <x:c r="A160" s="83" t="str">
        <x:v>BAL-0156</x:v>
      </x:c>
      <x:c r="B160" s="83" t="str">
        <x:v>PNIEC_2050_NUCLEAR</x:v>
      </x:c>
      <x:c r="C160" s="83" t="n">
        <x:v>2050</x:v>
      </x:c>
      <x:c r="D160" s="83" t="str">
        <x:v>PNIEC 2050 con nucleare</x:v>
      </x:c>
      <x:c r="E160" s="83" t="str">
        <x:v>Power to X</x:v>
      </x:c>
      <x:c r="F160" s="143" t="n">
        <x:v>81.5</x:v>
      </x:c>
      <x:c r="G160" s="83" t="str">
        <x:v>TWh</x:v>
      </x:c>
      <x:c r="H160" s="83" t="str">
        <x:v>Italia</x:v>
      </x:c>
      <x:c r="I160" s="83" t="str">
        <x:v>Risultato di modello della fonte</x:v>
      </x:c>
      <x:c r="J160" s="83" t="str">
        <x:v>S07 (riproduce S08)</x:v>
      </x:c>
      <x:c r="K160" s="83" t="str">
        <x:v>Terna Prospettive Sviluppo Sistema Energetico 2050.pdf</x:v>
      </x:c>
      <x:c r="L160" s="83" t="n">
        <x:v>52</x:v>
      </x:c>
      <x:c r="M160" s="83" t="n">
        <x:v>50</x:v>
      </x:c>
      <x:c r="N160" s="83" t="str">
        <x:v>Tabella 3</x:v>
      </x:c>
      <x:c r="O160" s="83" t="str">
        <x:v>Direct table extraction; PNIEC cross-check</x:v>
      </x:c>
      <x:c r="P160" s="83" t="str">
        <x:v>A - Direct</x:v>
      </x:c>
      <x:c r="Q160" s="83" t="str">
        <x:v>PNIEC exploratory TIMES_RSE scenario.</x:v>
      </x:c>
    </x:row>
    <x:row r="161">
      <x:c r="A161" s="83" t="str">
        <x:v>BAL-0157</x:v>
      </x:c>
      <x:c r="B161" s="83" t="str">
        <x:v>PNIEC_2050_NUCLEAR</x:v>
      </x:c>
      <x:c r="C161" s="83" t="n">
        <x:v>2050</x:v>
      </x:c>
      <x:c r="D161" s="83" t="str">
        <x:v>PNIEC 2050 con nucleare</x:v>
      </x:c>
      <x:c r="E161" s="83" t="str">
        <x:v>Perdite</x:v>
      </x:c>
      <x:c r="F161" s="143" t="n">
        <x:v>23.6</x:v>
      </x:c>
      <x:c r="G161" s="83" t="str">
        <x:v>TWh</x:v>
      </x:c>
      <x:c r="H161" s="83" t="str">
        <x:v>Italia</x:v>
      </x:c>
      <x:c r="I161" s="83" t="str">
        <x:v>Risultato di modello della fonte</x:v>
      </x:c>
      <x:c r="J161" s="83" t="str">
        <x:v>S07 (riproduce S08)</x:v>
      </x:c>
      <x:c r="K161" s="83" t="str">
        <x:v>Terna Prospettive Sviluppo Sistema Energetico 2050.pdf</x:v>
      </x:c>
      <x:c r="L161" s="83" t="n">
        <x:v>52</x:v>
      </x:c>
      <x:c r="M161" s="83" t="n">
        <x:v>50</x:v>
      </x:c>
      <x:c r="N161" s="83" t="str">
        <x:v>Tabella 3</x:v>
      </x:c>
      <x:c r="O161" s="83" t="str">
        <x:v>Direct table extraction; PNIEC cross-check</x:v>
      </x:c>
      <x:c r="P161" s="83" t="str">
        <x:v>A - Direct</x:v>
      </x:c>
      <x:c r="Q161" s="83" t="str">
        <x:v>PNIEC exploratory TIMES_RSE scenario.</x:v>
      </x:c>
    </x:row>
    <x:row r="162">
      <x:c r="A162" s="83" t="str">
        <x:v>BAL-0158</x:v>
      </x:c>
      <x:c r="B162" s="83" t="str">
        <x:v>PNIEC_2050_NUCLEAR</x:v>
      </x:c>
      <x:c r="C162" s="83" t="n">
        <x:v>2050</x:v>
      </x:c>
      <x:c r="D162" s="83" t="str">
        <x:v>PNIEC 2050 con nucleare</x:v>
      </x:c>
      <x:c r="E162" s="83" t="str">
        <x:v>Produzione nazionale</x:v>
      </x:c>
      <x:c r="F162" s="143" t="n">
        <x:v>596.8</x:v>
      </x:c>
      <x:c r="G162" s="83" t="str">
        <x:v>TWh</x:v>
      </x:c>
      <x:c r="H162" s="83" t="str">
        <x:v>Italia</x:v>
      </x:c>
      <x:c r="I162" s="83" t="str">
        <x:v>Risultato di modello della fonte</x:v>
      </x:c>
      <x:c r="J162" s="83" t="str">
        <x:v>S07 (riproduce S08)</x:v>
      </x:c>
      <x:c r="K162" s="83" t="str">
        <x:v>Terna Prospettive Sviluppo Sistema Energetico 2050.pdf</x:v>
      </x:c>
      <x:c r="L162" s="83" t="n">
        <x:v>52</x:v>
      </x:c>
      <x:c r="M162" s="83" t="n">
        <x:v>50</x:v>
      </x:c>
      <x:c r="N162" s="83" t="str">
        <x:v>Tabella 3</x:v>
      </x:c>
      <x:c r="O162" s="83" t="str">
        <x:v>Direct table extraction; PNIEC cross-check</x:v>
      </x:c>
      <x:c r="P162" s="83" t="str">
        <x:v>A - Direct</x:v>
      </x:c>
      <x:c r="Q162" s="83" t="str">
        <x:v>PNIEC exploratory TIMES_RSE scenario.</x:v>
      </x:c>
    </x:row>
    <x:row r="163">
      <x:c r="A163" s="83" t="str">
        <x:v>BAL-0159</x:v>
      </x:c>
      <x:c r="B163" s="83" t="str">
        <x:v>PNIEC_2050_NUCLEAR</x:v>
      </x:c>
      <x:c r="C163" s="83" t="n">
        <x:v>2050</x:v>
      </x:c>
      <x:c r="D163" s="83" t="str">
        <x:v>PNIEC 2050 con nucleare</x:v>
      </x:c>
      <x:c r="E163" s="83" t="str">
        <x:v>Fotovoltaica</x:v>
      </x:c>
      <x:c r="F163" s="143" t="n">
        <x:v>345.8</x:v>
      </x:c>
      <x:c r="G163" s="83" t="str">
        <x:v>TWh</x:v>
      </x:c>
      <x:c r="H163" s="83" t="str">
        <x:v>Italia</x:v>
      </x:c>
      <x:c r="I163" s="83" t="str">
        <x:v>Risultato di modello della fonte</x:v>
      </x:c>
      <x:c r="J163" s="83" t="str">
        <x:v>S07 (riproduce S08)</x:v>
      </x:c>
      <x:c r="K163" s="83" t="str">
        <x:v>Terna Prospettive Sviluppo Sistema Energetico 2050.pdf</x:v>
      </x:c>
      <x:c r="L163" s="83" t="n">
        <x:v>52</x:v>
      </x:c>
      <x:c r="M163" s="83" t="n">
        <x:v>50</x:v>
      </x:c>
      <x:c r="N163" s="83" t="str">
        <x:v>Tabella 3</x:v>
      </x:c>
      <x:c r="O163" s="83" t="str">
        <x:v>Direct table extraction; PNIEC cross-check</x:v>
      </x:c>
      <x:c r="P163" s="83" t="str">
        <x:v>A - Direct</x:v>
      </x:c>
      <x:c r="Q163" s="83" t="str">
        <x:v>PNIEC exploratory TIMES_RSE scenario.</x:v>
      </x:c>
    </x:row>
    <x:row r="164">
      <x:c r="A164" s="83" t="str">
        <x:v>BAL-0160</x:v>
      </x:c>
      <x:c r="B164" s="83" t="str">
        <x:v>PNIEC_2050_NUCLEAR</x:v>
      </x:c>
      <x:c r="C164" s="83" t="n">
        <x:v>2050</x:v>
      </x:c>
      <x:c r="D164" s="83" t="str">
        <x:v>PNIEC 2050 con nucleare</x:v>
      </x:c>
      <x:c r="E164" s="83" t="str">
        <x:v>Bioenergie</x:v>
      </x:c>
      <x:c r="F164" s="143" t="n">
        <x:v>10.6</x:v>
      </x:c>
      <x:c r="G164" s="83" t="str">
        <x:v>TWh</x:v>
      </x:c>
      <x:c r="H164" s="83" t="str">
        <x:v>Italia</x:v>
      </x:c>
      <x:c r="I164" s="83" t="str">
        <x:v>Risultato di modello della fonte</x:v>
      </x:c>
      <x:c r="J164" s="83" t="str">
        <x:v>S07 (riproduce S08)</x:v>
      </x:c>
      <x:c r="K164" s="83" t="str">
        <x:v>Terna Prospettive Sviluppo Sistema Energetico 2050.pdf</x:v>
      </x:c>
      <x:c r="L164" s="83" t="n">
        <x:v>52</x:v>
      </x:c>
      <x:c r="M164" s="83" t="n">
        <x:v>50</x:v>
      </x:c>
      <x:c r="N164" s="83" t="str">
        <x:v>Tabella 3</x:v>
      </x:c>
      <x:c r="O164" s="83" t="str">
        <x:v>Direct table extraction; PNIEC cross-check</x:v>
      </x:c>
      <x:c r="P164" s="83" t="str">
        <x:v>A - Direct</x:v>
      </x:c>
      <x:c r="Q164" s="83" t="str">
        <x:v>PNIEC exploratory TIMES_RSE scenario.</x:v>
      </x:c>
    </x:row>
    <x:row r="165">
      <x:c r="A165" s="83" t="str">
        <x:v>BAL-0161</x:v>
      </x:c>
      <x:c r="B165" s="83" t="str">
        <x:v>PNIEC_2050_NUCLEAR</x:v>
      </x:c>
      <x:c r="C165" s="83" t="n">
        <x:v>2050</x:v>
      </x:c>
      <x:c r="D165" s="83" t="str">
        <x:v>PNIEC 2050 con nucleare</x:v>
      </x:c>
      <x:c r="E165" s="83" t="str">
        <x:v>Bioenergie con CCS</x:v>
      </x:c>
      <x:c r="F165" s="143" t="n">
        <x:v>6</x:v>
      </x:c>
      <x:c r="G165" s="83" t="str">
        <x:v>TWh</x:v>
      </x:c>
      <x:c r="H165" s="83" t="str">
        <x:v>Italia</x:v>
      </x:c>
      <x:c r="I165" s="83" t="str">
        <x:v>Risultato di modello della fonte</x:v>
      </x:c>
      <x:c r="J165" s="83" t="str">
        <x:v>S07 (riproduce S08)</x:v>
      </x:c>
      <x:c r="K165" s="83" t="str">
        <x:v>Terna Prospettive Sviluppo Sistema Energetico 2050.pdf</x:v>
      </x:c>
      <x:c r="L165" s="83" t="n">
        <x:v>52</x:v>
      </x:c>
      <x:c r="M165" s="83" t="n">
        <x:v>50</x:v>
      </x:c>
      <x:c r="N165" s="83" t="str">
        <x:v>Tabella 3</x:v>
      </x:c>
      <x:c r="O165" s="83" t="str">
        <x:v>Direct table extraction; PNIEC cross-check</x:v>
      </x:c>
      <x:c r="P165" s="83" t="str">
        <x:v>A - Direct</x:v>
      </x:c>
      <x:c r="Q165" s="83" t="str">
        <x:v>PNIEC exploratory TIMES_RSE scenario.</x:v>
      </x:c>
    </x:row>
    <x:row r="166">
      <x:c r="A166" s="83" t="str">
        <x:v>BAL-0162</x:v>
      </x:c>
      <x:c r="B166" s="83" t="str">
        <x:v>PNIEC_2050_NUCLEAR</x:v>
      </x:c>
      <x:c r="C166" s="83" t="n">
        <x:v>2050</x:v>
      </x:c>
      <x:c r="D166" s="83" t="str">
        <x:v>PNIEC 2050 con nucleare</x:v>
      </x:c>
      <x:c r="E166" s="83" t="str">
        <x:v>Altre FER</x:v>
      </x:c>
      <x:c r="F166" s="143" t="n">
        <x:v>164.1</x:v>
      </x:c>
      <x:c r="G166" s="83" t="str">
        <x:v>TWh</x:v>
      </x:c>
      <x:c r="H166" s="83" t="str">
        <x:v>Italia</x:v>
      </x:c>
      <x:c r="I166" s="83" t="str">
        <x:v>Risultato di modello della fonte</x:v>
      </x:c>
      <x:c r="J166" s="83" t="str">
        <x:v>S07 (riproduce S08)</x:v>
      </x:c>
      <x:c r="K166" s="83" t="str">
        <x:v>Terna Prospettive Sviluppo Sistema Energetico 2050.pdf</x:v>
      </x:c>
      <x:c r="L166" s="83" t="n">
        <x:v>52</x:v>
      </x:c>
      <x:c r="M166" s="83" t="n">
        <x:v>50</x:v>
      </x:c>
      <x:c r="N166" s="83" t="str">
        <x:v>Tabella 3</x:v>
      </x:c>
      <x:c r="O166" s="83" t="str">
        <x:v>Direct table extraction; PNIEC cross-check</x:v>
      </x:c>
      <x:c r="P166" s="83" t="str">
        <x:v>A - Direct</x:v>
      </x:c>
      <x:c r="Q166" s="83" t="str">
        <x:v>PNIEC exploratory TIMES_RSE scenario.</x:v>
      </x:c>
    </x:row>
    <x:row r="167">
      <x:c r="A167" s="83" t="str">
        <x:v>BAL-0163</x:v>
      </x:c>
      <x:c r="B167" s="83" t="str">
        <x:v>PNIEC_2050_NUCLEAR</x:v>
      </x:c>
      <x:c r="C167" s="83" t="n">
        <x:v>2050</x:v>
      </x:c>
      <x:c r="D167" s="83" t="str">
        <x:v>PNIEC 2050 con nucleare</x:v>
      </x:c>
      <x:c r="E167" s="83" t="str">
        <x:v>Gas naturale + altre fonti fossili</x:v>
      </x:c>
      <x:c r="F167" s="143" t="n">
        <x:v>2.1</x:v>
      </x:c>
      <x:c r="G167" s="83" t="str">
        <x:v>TWh</x:v>
      </x:c>
      <x:c r="H167" s="83" t="str">
        <x:v>Italia</x:v>
      </x:c>
      <x:c r="I167" s="83" t="str">
        <x:v>Risultato di modello della fonte</x:v>
      </x:c>
      <x:c r="J167" s="83" t="str">
        <x:v>S07 (riproduce S08)</x:v>
      </x:c>
      <x:c r="K167" s="83" t="str">
        <x:v>Terna Prospettive Sviluppo Sistema Energetico 2050.pdf</x:v>
      </x:c>
      <x:c r="L167" s="83" t="n">
        <x:v>52</x:v>
      </x:c>
      <x:c r="M167" s="83" t="n">
        <x:v>50</x:v>
      </x:c>
      <x:c r="N167" s="83" t="str">
        <x:v>Tabella 3</x:v>
      </x:c>
      <x:c r="O167" s="83" t="str">
        <x:v>Direct table extraction; PNIEC cross-check</x:v>
      </x:c>
      <x:c r="P167" s="83" t="str">
        <x:v>A - Direct</x:v>
      </x:c>
      <x:c r="Q167" s="83" t="str">
        <x:v>PNIEC exploratory TIMES_RSE scenario.</x:v>
      </x:c>
    </x:row>
    <x:row r="168">
      <x:c r="A168" s="83" t="str">
        <x:v>BAL-0164</x:v>
      </x:c>
      <x:c r="B168" s="83" t="str">
        <x:v>PNIEC_2050_NUCLEAR</x:v>
      </x:c>
      <x:c r="C168" s="83" t="n">
        <x:v>2050</x:v>
      </x:c>
      <x:c r="D168" s="83" t="str">
        <x:v>PNIEC 2050 con nucleare</x:v>
      </x:c>
      <x:c r="E168" s="83" t="str">
        <x:v>Gas naturale con CCS</x:v>
      </x:c>
      <x:c r="F168" s="143" t="n">
        <x:v>4</x:v>
      </x:c>
      <x:c r="G168" s="83" t="str">
        <x:v>TWh</x:v>
      </x:c>
      <x:c r="H168" s="83" t="str">
        <x:v>Italia</x:v>
      </x:c>
      <x:c r="I168" s="83" t="str">
        <x:v>Risultato di modello della fonte</x:v>
      </x:c>
      <x:c r="J168" s="83" t="str">
        <x:v>S07 (riproduce S08)</x:v>
      </x:c>
      <x:c r="K168" s="83" t="str">
        <x:v>Terna Prospettive Sviluppo Sistema Energetico 2050.pdf</x:v>
      </x:c>
      <x:c r="L168" s="83" t="n">
        <x:v>52</x:v>
      </x:c>
      <x:c r="M168" s="83" t="n">
        <x:v>50</x:v>
      </x:c>
      <x:c r="N168" s="83" t="str">
        <x:v>Tabella 3</x:v>
      </x:c>
      <x:c r="O168" s="83" t="str">
        <x:v>Direct table extraction; PNIEC cross-check</x:v>
      </x:c>
      <x:c r="P168" s="83" t="str">
        <x:v>A - Direct</x:v>
      </x:c>
      <x:c r="Q168" s="83" t="str">
        <x:v>PNIEC exploratory TIMES_RSE scenario.</x:v>
      </x:c>
    </x:row>
    <x:row r="169">
      <x:c r="A169" s="83" t="str">
        <x:v>BAL-0165</x:v>
      </x:c>
      <x:c r="B169" s="83" t="str">
        <x:v>PNIEC_2050_NUCLEAR</x:v>
      </x:c>
      <x:c r="C169" s="83" t="n">
        <x:v>2050</x:v>
      </x:c>
      <x:c r="D169" s="83" t="str">
        <x:v>PNIEC 2050 con nucleare</x:v>
      </x:c>
      <x:c r="E169" s="83" t="str">
        <x:v>Nucleare</x:v>
      </x:c>
      <x:c r="F169" s="143" t="n">
        <x:v>64.2</x:v>
      </x:c>
      <x:c r="G169" s="83" t="str">
        <x:v>TWh</x:v>
      </x:c>
      <x:c r="H169" s="83" t="str">
        <x:v>Italia</x:v>
      </x:c>
      <x:c r="I169" s="83" t="str">
        <x:v>Risultato di modello della fonte</x:v>
      </x:c>
      <x:c r="J169" s="83" t="str">
        <x:v>S07 (riproduce S08)</x:v>
      </x:c>
      <x:c r="K169" s="83" t="str">
        <x:v>Terna Prospettive Sviluppo Sistema Energetico 2050.pdf</x:v>
      </x:c>
      <x:c r="L169" s="83" t="n">
        <x:v>52</x:v>
      </x:c>
      <x:c r="M169" s="83" t="n">
        <x:v>50</x:v>
      </x:c>
      <x:c r="N169" s="83" t="str">
        <x:v>Tabella 3</x:v>
      </x:c>
      <x:c r="O169" s="83" t="str">
        <x:v>Direct table extraction; PNIEC cross-check</x:v>
      </x:c>
      <x:c r="P169" s="83" t="str">
        <x:v>A - Direct</x:v>
      </x:c>
      <x:c r="Q169" s="83" t="str">
        <x:v>PNIEC exploratory TIMES_RSE scenario.</x:v>
      </x:c>
    </x:row>
    <x:row r="170">
      <x:c r="A170" s="83" t="str">
        <x:v>BAL-0166</x:v>
      </x:c>
      <x:c r="B170" s="83" t="str">
        <x:v>PNIEC_2050_NO_NUCLEAR</x:v>
      </x:c>
      <x:c r="C170" s="83" t="n">
        <x:v>2050</x:v>
      </x:c>
      <x:c r="D170" s="83" t="str">
        <x:v>PNIEC 2050 senza nucleare</x:v>
      </x:c>
      <x:c r="E170" s="83" t="str">
        <x:v>Fabbisogno elettrico totale</x:v>
      </x:c>
      <x:c r="F170" s="143" t="n">
        <x:v>551.7</x:v>
      </x:c>
      <x:c r="G170" s="83" t="str">
        <x:v>TWh</x:v>
      </x:c>
      <x:c r="H170" s="83" t="str">
        <x:v>Italia</x:v>
      </x:c>
      <x:c r="I170" s="83" t="str">
        <x:v>Risultato di modello della fonte</x:v>
      </x:c>
      <x:c r="J170" s="83" t="str">
        <x:v>S07 (riproduce S08)</x:v>
      </x:c>
      <x:c r="K170" s="83" t="str">
        <x:v>Terna Prospettive Sviluppo Sistema Energetico 2050.pdf</x:v>
      </x:c>
      <x:c r="L170" s="83" t="n">
        <x:v>52</x:v>
      </x:c>
      <x:c r="M170" s="83" t="n">
        <x:v>50</x:v>
      </x:c>
      <x:c r="N170" s="83" t="str">
        <x:v>Tabella 3</x:v>
      </x:c>
      <x:c r="O170" s="83" t="str">
        <x:v>Direct table extraction; PNIEC cross-check</x:v>
      </x:c>
      <x:c r="P170" s="83" t="str">
        <x:v>A - Direct</x:v>
      </x:c>
      <x:c r="Q170" s="83" t="str">
        <x:v>PNIEC exploratory TIMES_RSE scenario.</x:v>
      </x:c>
    </x:row>
    <x:row r="171">
      <x:c r="A171" s="83" t="str">
        <x:v>BAL-0167</x:v>
      </x:c>
      <x:c r="B171" s="83" t="str">
        <x:v>PNIEC_2050_NO_NUCLEAR</x:v>
      </x:c>
      <x:c r="C171" s="83" t="n">
        <x:v>2050</x:v>
      </x:c>
      <x:c r="D171" s="83" t="str">
        <x:v>PNIEC 2050 senza nucleare</x:v>
      </x:c>
      <x:c r="E171" s="83" t="str">
        <x:v>Consumi finali</x:v>
      </x:c>
      <x:c r="F171" s="143" t="n">
        <x:v>453.4</x:v>
      </x:c>
      <x:c r="G171" s="83" t="str">
        <x:v>TWh</x:v>
      </x:c>
      <x:c r="H171" s="83" t="str">
        <x:v>Italia</x:v>
      </x:c>
      <x:c r="I171" s="83" t="str">
        <x:v>Risultato di modello della fonte</x:v>
      </x:c>
      <x:c r="J171" s="83" t="str">
        <x:v>S07 (riproduce S08)</x:v>
      </x:c>
      <x:c r="K171" s="83" t="str">
        <x:v>Terna Prospettive Sviluppo Sistema Energetico 2050.pdf</x:v>
      </x:c>
      <x:c r="L171" s="83" t="n">
        <x:v>52</x:v>
      </x:c>
      <x:c r="M171" s="83" t="n">
        <x:v>50</x:v>
      </x:c>
      <x:c r="N171" s="83" t="str">
        <x:v>Tabella 3</x:v>
      </x:c>
      <x:c r="O171" s="83" t="str">
        <x:v>Direct table extraction; PNIEC cross-check</x:v>
      </x:c>
      <x:c r="P171" s="83" t="str">
        <x:v>A - Direct</x:v>
      </x:c>
      <x:c r="Q171" s="83" t="str">
        <x:v>PNIEC exploratory TIMES_RSE scenario.</x:v>
      </x:c>
    </x:row>
    <x:row r="172">
      <x:c r="A172" s="83" t="str">
        <x:v>BAL-0168</x:v>
      </x:c>
      <x:c r="B172" s="83" t="str">
        <x:v>PNIEC_2050_NO_NUCLEAR</x:v>
      </x:c>
      <x:c r="C172" s="83" t="n">
        <x:v>2050</x:v>
      </x:c>
      <x:c r="D172" s="83" t="str">
        <x:v>PNIEC 2050 senza nucleare</x:v>
      </x:c>
      <x:c r="E172" s="83" t="str">
        <x:v>Power to X</x:v>
      </x:c>
      <x:c r="F172" s="143" t="n">
        <x:v>75.8</x:v>
      </x:c>
      <x:c r="G172" s="83" t="str">
        <x:v>TWh</x:v>
      </x:c>
      <x:c r="H172" s="83" t="str">
        <x:v>Italia</x:v>
      </x:c>
      <x:c r="I172" s="83" t="str">
        <x:v>Risultato di modello della fonte</x:v>
      </x:c>
      <x:c r="J172" s="83" t="str">
        <x:v>S07 (riproduce S08)</x:v>
      </x:c>
      <x:c r="K172" s="83" t="str">
        <x:v>Terna Prospettive Sviluppo Sistema Energetico 2050.pdf</x:v>
      </x:c>
      <x:c r="L172" s="83" t="n">
        <x:v>52</x:v>
      </x:c>
      <x:c r="M172" s="83" t="n">
        <x:v>50</x:v>
      </x:c>
      <x:c r="N172" s="83" t="str">
        <x:v>Tabella 3</x:v>
      </x:c>
      <x:c r="O172" s="83" t="str">
        <x:v>Direct table extraction; PNIEC cross-check</x:v>
      </x:c>
      <x:c r="P172" s="83" t="str">
        <x:v>A - Direct</x:v>
      </x:c>
      <x:c r="Q172" s="83" t="str">
        <x:v>PNIEC exploratory TIMES_RSE scenario.</x:v>
      </x:c>
    </x:row>
    <x:row r="173">
      <x:c r="A173" s="83" t="str">
        <x:v>BAL-0169</x:v>
      </x:c>
      <x:c r="B173" s="83" t="str">
        <x:v>PNIEC_2050_NO_NUCLEAR</x:v>
      </x:c>
      <x:c r="C173" s="83" t="n">
        <x:v>2050</x:v>
      </x:c>
      <x:c r="D173" s="83" t="str">
        <x:v>PNIEC 2050 senza nucleare</x:v>
      </x:c>
      <x:c r="E173" s="83" t="str">
        <x:v>Perdite</x:v>
      </x:c>
      <x:c r="F173" s="143" t="n">
        <x:v>22.5</x:v>
      </x:c>
      <x:c r="G173" s="83" t="str">
        <x:v>TWh</x:v>
      </x:c>
      <x:c r="H173" s="83" t="str">
        <x:v>Italia</x:v>
      </x:c>
      <x:c r="I173" s="83" t="str">
        <x:v>Risultato di modello della fonte</x:v>
      </x:c>
      <x:c r="J173" s="83" t="str">
        <x:v>S07 (riproduce S08)</x:v>
      </x:c>
      <x:c r="K173" s="83" t="str">
        <x:v>Terna Prospettive Sviluppo Sistema Energetico 2050.pdf</x:v>
      </x:c>
      <x:c r="L173" s="83" t="n">
        <x:v>52</x:v>
      </x:c>
      <x:c r="M173" s="83" t="n">
        <x:v>50</x:v>
      </x:c>
      <x:c r="N173" s="83" t="str">
        <x:v>Tabella 3</x:v>
      </x:c>
      <x:c r="O173" s="83" t="str">
        <x:v>Direct table extraction; PNIEC cross-check</x:v>
      </x:c>
      <x:c r="P173" s="83" t="str">
        <x:v>A - Direct</x:v>
      </x:c>
      <x:c r="Q173" s="83" t="str">
        <x:v>PNIEC exploratory TIMES_RSE scenario.</x:v>
      </x:c>
    </x:row>
    <x:row r="174">
      <x:c r="A174" s="83" t="str">
        <x:v>BAL-0170</x:v>
      </x:c>
      <x:c r="B174" s="83" t="str">
        <x:v>PNIEC_2050_NO_NUCLEAR</x:v>
      </x:c>
      <x:c r="C174" s="83" t="n">
        <x:v>2050</x:v>
      </x:c>
      <x:c r="D174" s="83" t="str">
        <x:v>PNIEC 2050 senza nucleare</x:v>
      </x:c>
      <x:c r="E174" s="83" t="str">
        <x:v>Produzione nazionale</x:v>
      </x:c>
      <x:c r="F174" s="143" t="n">
        <x:v>566.2</x:v>
      </x:c>
      <x:c r="G174" s="83" t="str">
        <x:v>TWh</x:v>
      </x:c>
      <x:c r="H174" s="83" t="str">
        <x:v>Italia</x:v>
      </x:c>
      <x:c r="I174" s="83" t="str">
        <x:v>Risultato di modello della fonte</x:v>
      </x:c>
      <x:c r="J174" s="83" t="str">
        <x:v>S07 (riproduce S08)</x:v>
      </x:c>
      <x:c r="K174" s="83" t="str">
        <x:v>Terna Prospettive Sviluppo Sistema Energetico 2050.pdf</x:v>
      </x:c>
      <x:c r="L174" s="83" t="n">
        <x:v>52</x:v>
      </x:c>
      <x:c r="M174" s="83" t="n">
        <x:v>50</x:v>
      </x:c>
      <x:c r="N174" s="83" t="str">
        <x:v>Tabella 3</x:v>
      </x:c>
      <x:c r="O174" s="83" t="str">
        <x:v>Direct table extraction; PNIEC cross-check</x:v>
      </x:c>
      <x:c r="P174" s="83" t="str">
        <x:v>A - Direct</x:v>
      </x:c>
      <x:c r="Q174" s="83" t="str">
        <x:v>PNIEC exploratory TIMES_RSE scenario.</x:v>
      </x:c>
    </x:row>
    <x:row r="175">
      <x:c r="A175" s="83" t="str">
        <x:v>BAL-0171</x:v>
      </x:c>
      <x:c r="B175" s="83" t="str">
        <x:v>PNIEC_2050_NO_NUCLEAR</x:v>
      </x:c>
      <x:c r="C175" s="83" t="n">
        <x:v>2050</x:v>
      </x:c>
      <x:c r="D175" s="83" t="str">
        <x:v>PNIEC 2050 senza nucleare</x:v>
      </x:c>
      <x:c r="E175" s="83" t="str">
        <x:v>Fotovoltaica</x:v>
      </x:c>
      <x:c r="F175" s="143" t="n">
        <x:v>349.8</x:v>
      </x:c>
      <x:c r="G175" s="83" t="str">
        <x:v>TWh</x:v>
      </x:c>
      <x:c r="H175" s="83" t="str">
        <x:v>Italia</x:v>
      </x:c>
      <x:c r="I175" s="83" t="str">
        <x:v>Risultato di modello della fonte</x:v>
      </x:c>
      <x:c r="J175" s="83" t="str">
        <x:v>S07 (riproduce S08)</x:v>
      </x:c>
      <x:c r="K175" s="83" t="str">
        <x:v>Terna Prospettive Sviluppo Sistema Energetico 2050.pdf</x:v>
      </x:c>
      <x:c r="L175" s="83" t="n">
        <x:v>52</x:v>
      </x:c>
      <x:c r="M175" s="83" t="n">
        <x:v>50</x:v>
      </x:c>
      <x:c r="N175" s="83" t="str">
        <x:v>Tabella 3</x:v>
      </x:c>
      <x:c r="O175" s="83" t="str">
        <x:v>Direct table extraction; PNIEC cross-check</x:v>
      </x:c>
      <x:c r="P175" s="83" t="str">
        <x:v>A - Direct</x:v>
      </x:c>
      <x:c r="Q175" s="83" t="str">
        <x:v>PNIEC exploratory TIMES_RSE scenario.</x:v>
      </x:c>
    </x:row>
    <x:row r="176">
      <x:c r="A176" s="83" t="str">
        <x:v>BAL-0172</x:v>
      </x:c>
      <x:c r="B176" s="83" t="str">
        <x:v>PNIEC_2050_NO_NUCLEAR</x:v>
      </x:c>
      <x:c r="C176" s="83" t="n">
        <x:v>2050</x:v>
      </x:c>
      <x:c r="D176" s="83" t="str">
        <x:v>PNIEC 2050 senza nucleare</x:v>
      </x:c>
      <x:c r="E176" s="83" t="str">
        <x:v>Bioenergie</x:v>
      </x:c>
      <x:c r="F176" s="143" t="n">
        <x:v>10.6</x:v>
      </x:c>
      <x:c r="G176" s="83" t="str">
        <x:v>TWh</x:v>
      </x:c>
      <x:c r="H176" s="83" t="str">
        <x:v>Italia</x:v>
      </x:c>
      <x:c r="I176" s="83" t="str">
        <x:v>Risultato di modello della fonte</x:v>
      </x:c>
      <x:c r="J176" s="83" t="str">
        <x:v>S07 (riproduce S08)</x:v>
      </x:c>
      <x:c r="K176" s="83" t="str">
        <x:v>Terna Prospettive Sviluppo Sistema Energetico 2050.pdf</x:v>
      </x:c>
      <x:c r="L176" s="83" t="n">
        <x:v>52</x:v>
      </x:c>
      <x:c r="M176" s="83" t="n">
        <x:v>50</x:v>
      </x:c>
      <x:c r="N176" s="83" t="str">
        <x:v>Tabella 3</x:v>
      </x:c>
      <x:c r="O176" s="83" t="str">
        <x:v>Direct table extraction; PNIEC cross-check</x:v>
      </x:c>
      <x:c r="P176" s="83" t="str">
        <x:v>A - Direct</x:v>
      </x:c>
      <x:c r="Q176" s="83" t="str">
        <x:v>PNIEC exploratory TIMES_RSE scenario.</x:v>
      </x:c>
    </x:row>
    <x:row r="177">
      <x:c r="A177" s="83" t="str">
        <x:v>BAL-0173</x:v>
      </x:c>
      <x:c r="B177" s="83" t="str">
        <x:v>PNIEC_2050_NO_NUCLEAR</x:v>
      </x:c>
      <x:c r="C177" s="83" t="n">
        <x:v>2050</x:v>
      </x:c>
      <x:c r="D177" s="83" t="str">
        <x:v>PNIEC 2050 senza nucleare</x:v>
      </x:c>
      <x:c r="E177" s="83" t="str">
        <x:v>Bioenergie con CCS</x:v>
      </x:c>
      <x:c r="F177" s="143" t="n">
        <x:v>12.5</x:v>
      </x:c>
      <x:c r="G177" s="83" t="str">
        <x:v>TWh</x:v>
      </x:c>
      <x:c r="H177" s="83" t="str">
        <x:v>Italia</x:v>
      </x:c>
      <x:c r="I177" s="83" t="str">
        <x:v>Risultato di modello della fonte</x:v>
      </x:c>
      <x:c r="J177" s="83" t="str">
        <x:v>S07 (riproduce S08)</x:v>
      </x:c>
      <x:c r="K177" s="83" t="str">
        <x:v>Terna Prospettive Sviluppo Sistema Energetico 2050.pdf</x:v>
      </x:c>
      <x:c r="L177" s="83" t="n">
        <x:v>52</x:v>
      </x:c>
      <x:c r="M177" s="83" t="n">
        <x:v>50</x:v>
      </x:c>
      <x:c r="N177" s="83" t="str">
        <x:v>Tabella 3</x:v>
      </x:c>
      <x:c r="O177" s="83" t="str">
        <x:v>Direct table extraction; PNIEC cross-check</x:v>
      </x:c>
      <x:c r="P177" s="83" t="str">
        <x:v>A - Direct</x:v>
      </x:c>
      <x:c r="Q177" s="83" t="str">
        <x:v>PNIEC exploratory TIMES_RSE scenario.</x:v>
      </x:c>
    </x:row>
    <x:row r="178">
      <x:c r="A178" s="83" t="str">
        <x:v>BAL-0174</x:v>
      </x:c>
      <x:c r="B178" s="83" t="str">
        <x:v>PNIEC_2050_NO_NUCLEAR</x:v>
      </x:c>
      <x:c r="C178" s="83" t="n">
        <x:v>2050</x:v>
      </x:c>
      <x:c r="D178" s="83" t="str">
        <x:v>PNIEC 2050 senza nucleare</x:v>
      </x:c>
      <x:c r="E178" s="83" t="str">
        <x:v>Altre FER</x:v>
      </x:c>
      <x:c r="F178" s="143" t="n">
        <x:v>179.5</x:v>
      </x:c>
      <x:c r="G178" s="83" t="str">
        <x:v>TWh</x:v>
      </x:c>
      <x:c r="H178" s="83" t="str">
        <x:v>Italia</x:v>
      </x:c>
      <x:c r="I178" s="83" t="str">
        <x:v>Risultato di modello della fonte</x:v>
      </x:c>
      <x:c r="J178" s="83" t="str">
        <x:v>S07 (riproduce S08)</x:v>
      </x:c>
      <x:c r="K178" s="83" t="str">
        <x:v>Terna Prospettive Sviluppo Sistema Energetico 2050.pdf</x:v>
      </x:c>
      <x:c r="L178" s="83" t="n">
        <x:v>52</x:v>
      </x:c>
      <x:c r="M178" s="83" t="n">
        <x:v>50</x:v>
      </x:c>
      <x:c r="N178" s="83" t="str">
        <x:v>Tabella 3</x:v>
      </x:c>
      <x:c r="O178" s="83" t="str">
        <x:v>Direct table extraction; PNIEC cross-check</x:v>
      </x:c>
      <x:c r="P178" s="83" t="str">
        <x:v>A - Direct</x:v>
      </x:c>
      <x:c r="Q178" s="83" t="str">
        <x:v>PNIEC exploratory TIMES_RSE scenario.</x:v>
      </x:c>
    </x:row>
    <x:row r="179">
      <x:c r="A179" s="83" t="str">
        <x:v>BAL-0175</x:v>
      </x:c>
      <x:c r="B179" s="83" t="str">
        <x:v>PNIEC_2050_NO_NUCLEAR</x:v>
      </x:c>
      <x:c r="C179" s="83" t="n">
        <x:v>2050</x:v>
      </x:c>
      <x:c r="D179" s="83" t="str">
        <x:v>PNIEC 2050 senza nucleare</x:v>
      </x:c>
      <x:c r="E179" s="83" t="str">
        <x:v>Gas naturale + altre fonti fossili</x:v>
      </x:c>
      <x:c r="F179" s="143" t="n">
        <x:v>2.3</x:v>
      </x:c>
      <x:c r="G179" s="83" t="str">
        <x:v>TWh</x:v>
      </x:c>
      <x:c r="H179" s="83" t="str">
        <x:v>Italia</x:v>
      </x:c>
      <x:c r="I179" s="83" t="str">
        <x:v>Risultato di modello della fonte</x:v>
      </x:c>
      <x:c r="J179" s="83" t="str">
        <x:v>S07 (riproduce S08)</x:v>
      </x:c>
      <x:c r="K179" s="83" t="str">
        <x:v>Terna Prospettive Sviluppo Sistema Energetico 2050.pdf</x:v>
      </x:c>
      <x:c r="L179" s="83" t="n">
        <x:v>52</x:v>
      </x:c>
      <x:c r="M179" s="83" t="n">
        <x:v>50</x:v>
      </x:c>
      <x:c r="N179" s="83" t="str">
        <x:v>Tabella 3</x:v>
      </x:c>
      <x:c r="O179" s="83" t="str">
        <x:v>Direct table extraction; PNIEC cross-check</x:v>
      </x:c>
      <x:c r="P179" s="83" t="str">
        <x:v>A - Direct</x:v>
      </x:c>
      <x:c r="Q179" s="83" t="str">
        <x:v>PNIEC exploratory TIMES_RSE scenario.</x:v>
      </x:c>
    </x:row>
    <x:row r="180">
      <x:c r="A180" s="83" t="str">
        <x:v>BAL-0176</x:v>
      </x:c>
      <x:c r="B180" s="83" t="str">
        <x:v>PNIEC_2050_NO_NUCLEAR</x:v>
      </x:c>
      <x:c r="C180" s="83" t="n">
        <x:v>2050</x:v>
      </x:c>
      <x:c r="D180" s="83" t="str">
        <x:v>PNIEC 2050 senza nucleare</x:v>
      </x:c>
      <x:c r="E180" s="83" t="str">
        <x:v>Gas naturale con CCS</x:v>
      </x:c>
      <x:c r="F180" s="143" t="n">
        <x:v>11.5</x:v>
      </x:c>
      <x:c r="G180" s="83" t="str">
        <x:v>TWh</x:v>
      </x:c>
      <x:c r="H180" s="83" t="str">
        <x:v>Italia</x:v>
      </x:c>
      <x:c r="I180" s="83" t="str">
        <x:v>Risultato di modello della fonte</x:v>
      </x:c>
      <x:c r="J180" s="83" t="str">
        <x:v>S07 (riproduce S08)</x:v>
      </x:c>
      <x:c r="K180" s="83" t="str">
        <x:v>Terna Prospettive Sviluppo Sistema Energetico 2050.pdf</x:v>
      </x:c>
      <x:c r="L180" s="83" t="n">
        <x:v>52</x:v>
      </x:c>
      <x:c r="M180" s="83" t="n">
        <x:v>50</x:v>
      </x:c>
      <x:c r="N180" s="83" t="str">
        <x:v>Tabella 3</x:v>
      </x:c>
      <x:c r="O180" s="83" t="str">
        <x:v>Direct table extraction; PNIEC cross-check</x:v>
      </x:c>
      <x:c r="P180" s="83" t="str">
        <x:v>A - Direct</x:v>
      </x:c>
      <x:c r="Q180" s="83" t="str">
        <x:v>PNIEC exploratory TIMES_RSE scenario.</x:v>
      </x:c>
    </x:row>
    <x:row r="181">
      <x:c r="A181" s="83" t="str">
        <x:v>BAL-0177</x:v>
      </x:c>
      <x:c r="B181" s="83" t="str">
        <x:v>PNIEC_2050_NO_NUCLEAR</x:v>
      </x:c>
      <x:c r="C181" s="83" t="n">
        <x:v>2050</x:v>
      </x:c>
      <x:c r="D181" s="83" t="str">
        <x:v>PNIEC 2050 senza nucleare</x:v>
      </x:c>
      <x:c r="E181" s="83" t="str">
        <x:v>Nucleare</x:v>
      </x:c>
      <x:c r="F181" s="143" t="n">
        <x:v>0</x:v>
      </x:c>
      <x:c r="G181" s="83" t="str">
        <x:v>TWh</x:v>
      </x:c>
      <x:c r="H181" s="83" t="str">
        <x:v>Italia</x:v>
      </x:c>
      <x:c r="I181" s="83" t="str">
        <x:v>Risultato di modello della fonte</x:v>
      </x:c>
      <x:c r="J181" s="83" t="str">
        <x:v>S07 (riproduce S08)</x:v>
      </x:c>
      <x:c r="K181" s="83" t="str">
        <x:v>Terna Prospettive Sviluppo Sistema Energetico 2050.pdf</x:v>
      </x:c>
      <x:c r="L181" s="83" t="n">
        <x:v>52</x:v>
      </x:c>
      <x:c r="M181" s="83" t="n">
        <x:v>50</x:v>
      </x:c>
      <x:c r="N181" s="83" t="str">
        <x:v>Tabella 3</x:v>
      </x:c>
      <x:c r="O181" s="83" t="str">
        <x:v>Direct table extraction; PNIEC cross-check</x:v>
      </x:c>
      <x:c r="P181" s="83" t="str">
        <x:v>A - Direct</x:v>
      </x:c>
      <x:c r="Q181" s="83" t="str">
        <x:v>PNIEC exploratory TIMES_RSE scenario.</x:v>
      </x:c>
    </x:row>
    <x:row r="182">
      <x:c r="A182" s="83" t="str">
        <x:v>BAL-0178</x:v>
      </x:c>
      <x:c r="B182" s="83" t="str">
        <x:v>TERNA_2050_NUCLEAR</x:v>
      </x:c>
      <x:c r="C182" s="83" t="n">
        <x:v>2050</x:v>
      </x:c>
      <x:c r="D182" s="83" t="str">
        <x:v>Terna 2050 con nucleare</x:v>
      </x:c>
      <x:c r="E182" s="83" t="str">
        <x:v>Fabbisogno elettrico totale</x:v>
      </x:c>
      <x:c r="F182" s="143" t="n">
        <x:v>583</x:v>
      </x:c>
      <x:c r="G182" s="83" t="str">
        <x:v>TWh</x:v>
      </x:c>
      <x:c r="H182" s="83" t="str">
        <x:v>Italia</x:v>
      </x:c>
      <x:c r="I182" s="83" t="str">
        <x:v>Risultato di modello della fonte</x:v>
      </x:c>
      <x:c r="J182" s="83" t="str">
        <x:v>S07</x:v>
      </x:c>
      <x:c r="K182" s="83" t="str">
        <x:v>Terna Prospettive Sviluppo Sistema Energetico 2050.pdf</x:v>
      </x:c>
      <x:c r="L182" s="83" t="n">
        <x:v>59</x:v>
      </x:c>
      <x:c r="M182" s="83" t="n">
        <x:v>57</x:v>
      </x:c>
      <x:c r="N182" s="83" t="str">
        <x:v>Tabella 5</x:v>
      </x:c>
      <x:c r="O182" s="83" t="str">
        <x:v>Direct table extraction</x:v>
      </x:c>
      <x:c r="P182" s="83" t="str">
        <x:v>A - Direct</x:v>
      </x:c>
      <x:c r="Q182" s="83" t="str">
        <x:v>Simulazione pan-europea oraria; network transfer evolution not represented in the presented exercise.</x:v>
      </x:c>
    </x:row>
    <x:row r="183">
      <x:c r="A183" s="83" t="str">
        <x:v>BAL-0179</x:v>
      </x:c>
      <x:c r="B183" s="83" t="str">
        <x:v>TERNA_2050_NUCLEAR</x:v>
      </x:c>
      <x:c r="C183" s="83" t="n">
        <x:v>2050</x:v>
      </x:c>
      <x:c r="D183" s="83" t="str">
        <x:v>Terna 2050 con nucleare</x:v>
      </x:c>
      <x:c r="E183" s="83" t="str">
        <x:v>Totale produzione nazionale</x:v>
      </x:c>
      <x:c r="F183" s="143" t="n">
        <x:v>546</x:v>
      </x:c>
      <x:c r="G183" s="83" t="str">
        <x:v>TWh</x:v>
      </x:c>
      <x:c r="H183" s="83" t="str">
        <x:v>Italia</x:v>
      </x:c>
      <x:c r="I183" s="83" t="str">
        <x:v>Risultato di modello della fonte</x:v>
      </x:c>
      <x:c r="J183" s="83" t="str">
        <x:v>S07</x:v>
      </x:c>
      <x:c r="K183" s="83" t="str">
        <x:v>Terna Prospettive Sviluppo Sistema Energetico 2050.pdf</x:v>
      </x:c>
      <x:c r="L183" s="83" t="n">
        <x:v>59</x:v>
      </x:c>
      <x:c r="M183" s="83" t="n">
        <x:v>57</x:v>
      </x:c>
      <x:c r="N183" s="83" t="str">
        <x:v>Tabella 5</x:v>
      </x:c>
      <x:c r="O183" s="83" t="str">
        <x:v>Direct table extraction</x:v>
      </x:c>
      <x:c r="P183" s="83" t="str">
        <x:v>A - Direct</x:v>
      </x:c>
      <x:c r="Q183" s="83" t="str">
        <x:v>Simulazione pan-europea oraria; network transfer evolution not represented in the presented exercise.</x:v>
      </x:c>
    </x:row>
    <x:row r="184">
      <x:c r="A184" s="83" t="str">
        <x:v>BAL-0180</x:v>
      </x:c>
      <x:c r="B184" s="83" t="str">
        <x:v>TERNA_2050_NUCLEAR</x:v>
      </x:c>
      <x:c r="C184" s="83" t="n">
        <x:v>2050</x:v>
      </x:c>
      <x:c r="D184" s="83" t="str">
        <x:v>Terna 2050 con nucleare</x:v>
      </x:c>
      <x:c r="E184" s="83" t="str">
        <x:v>Solare, eolico e idrico</x:v>
      </x:c>
      <x:c r="F184" s="143" t="n">
        <x:v>435</x:v>
      </x:c>
      <x:c r="G184" s="83" t="str">
        <x:v>TWh</x:v>
      </x:c>
      <x:c r="H184" s="83" t="str">
        <x:v>Italia</x:v>
      </x:c>
      <x:c r="I184" s="83" t="str">
        <x:v>Risultato di modello della fonte</x:v>
      </x:c>
      <x:c r="J184" s="83" t="str">
        <x:v>S07</x:v>
      </x:c>
      <x:c r="K184" s="83" t="str">
        <x:v>Terna Prospettive Sviluppo Sistema Energetico 2050.pdf</x:v>
      </x:c>
      <x:c r="L184" s="83" t="n">
        <x:v>59</x:v>
      </x:c>
      <x:c r="M184" s="83" t="n">
        <x:v>57</x:v>
      </x:c>
      <x:c r="N184" s="83" t="str">
        <x:v>Tabella 5</x:v>
      </x:c>
      <x:c r="O184" s="83" t="str">
        <x:v>Direct table extraction</x:v>
      </x:c>
      <x:c r="P184" s="83" t="str">
        <x:v>A - Direct</x:v>
      </x:c>
      <x:c r="Q184" s="83" t="str">
        <x:v>Simulazione pan-europea oraria; network transfer evolution not represented in the presented exercise.</x:v>
      </x:c>
    </x:row>
    <x:row r="185">
      <x:c r="A185" s="83" t="str">
        <x:v>BAL-0181</x:v>
      </x:c>
      <x:c r="B185" s="83" t="str">
        <x:v>TERNA_2050_NUCLEAR</x:v>
      </x:c>
      <x:c r="C185" s="83" t="n">
        <x:v>2050</x:v>
      </x:c>
      <x:c r="D185" s="83" t="str">
        <x:v>Terna 2050 con nucleare</x:v>
      </x:c>
      <x:c r="E185" s="83" t="str">
        <x:v>Nucleare</x:v>
      </x:c>
      <x:c r="F185" s="143" t="n">
        <x:v>69</x:v>
      </x:c>
      <x:c r="G185" s="83" t="str">
        <x:v>TWh</x:v>
      </x:c>
      <x:c r="H185" s="83" t="str">
        <x:v>Italia</x:v>
      </x:c>
      <x:c r="I185" s="83" t="str">
        <x:v>Risultato di modello della fonte</x:v>
      </x:c>
      <x:c r="J185" s="83" t="str">
        <x:v>S07</x:v>
      </x:c>
      <x:c r="K185" s="83" t="str">
        <x:v>Terna Prospettive Sviluppo Sistema Energetico 2050.pdf</x:v>
      </x:c>
      <x:c r="L185" s="83" t="n">
        <x:v>59</x:v>
      </x:c>
      <x:c r="M185" s="83" t="n">
        <x:v>57</x:v>
      </x:c>
      <x:c r="N185" s="83" t="str">
        <x:v>Tabella 5</x:v>
      </x:c>
      <x:c r="O185" s="83" t="str">
        <x:v>Direct table extraction</x:v>
      </x:c>
      <x:c r="P185" s="83" t="str">
        <x:v>A - Direct</x:v>
      </x:c>
      <x:c r="Q185" s="83" t="str">
        <x:v>Simulazione pan-europea oraria; network transfer evolution not represented in the presented exercise.</x:v>
      </x:c>
    </x:row>
    <x:row r="186">
      <x:c r="A186" s="83" t="str">
        <x:v>BAL-0182</x:v>
      </x:c>
      <x:c r="B186" s="83" t="str">
        <x:v>TERNA_2050_NUCLEAR</x:v>
      </x:c>
      <x:c r="C186" s="83" t="n">
        <x:v>2050</x:v>
      </x:c>
      <x:c r="D186" s="83" t="str">
        <x:v>Terna 2050 con nucleare</x:v>
      </x:c>
      <x:c r="E186" s="83" t="str">
        <x:v>Altra produzione programmabile</x:v>
      </x:c>
      <x:c r="F186" s="143" t="n">
        <x:v>42</x:v>
      </x:c>
      <x:c r="G186" s="83" t="str">
        <x:v>TWh</x:v>
      </x:c>
      <x:c r="H186" s="83" t="str">
        <x:v>Italia</x:v>
      </x:c>
      <x:c r="I186" s="83" t="str">
        <x:v>Risultato di modello della fonte</x:v>
      </x:c>
      <x:c r="J186" s="83" t="str">
        <x:v>S07</x:v>
      </x:c>
      <x:c r="K186" s="83" t="str">
        <x:v>Terna Prospettive Sviluppo Sistema Energetico 2050.pdf</x:v>
      </x:c>
      <x:c r="L186" s="83" t="n">
        <x:v>59</x:v>
      </x:c>
      <x:c r="M186" s="83" t="n">
        <x:v>57</x:v>
      </x:c>
      <x:c r="N186" s="83" t="str">
        <x:v>Tabella 5</x:v>
      </x:c>
      <x:c r="O186" s="83" t="str">
        <x:v>Direct table extraction</x:v>
      </x:c>
      <x:c r="P186" s="83" t="str">
        <x:v>A - Direct</x:v>
      </x:c>
      <x:c r="Q186" s="83" t="str">
        <x:v>Simulazione pan-europea oraria; network transfer evolution not represented in the presented exercise.</x:v>
      </x:c>
    </x:row>
    <x:row r="187">
      <x:c r="A187" s="83" t="str">
        <x:v>BAL-0183</x:v>
      </x:c>
      <x:c r="B187" s="83" t="str">
        <x:v>TERNA_2050_NUCLEAR</x:v>
      </x:c>
      <x:c r="C187" s="83" t="n">
        <x:v>2050</x:v>
      </x:c>
      <x:c r="D187" s="83" t="str">
        <x:v>Terna 2050 con nucleare</x:v>
      </x:c>
      <x:c r="E187" s="83" t="str">
        <x:v>Saldo estero (import netto)</x:v>
      </x:c>
      <x:c r="F187" s="143" t="n">
        <x:v>48</x:v>
      </x:c>
      <x:c r="G187" s="83" t="str">
        <x:v>TWh</x:v>
      </x:c>
      <x:c r="H187" s="83" t="str">
        <x:v>Italia</x:v>
      </x:c>
      <x:c r="I187" s="83" t="str">
        <x:v>Risultato di modello della fonte</x:v>
      </x:c>
      <x:c r="J187" s="83" t="str">
        <x:v>S07</x:v>
      </x:c>
      <x:c r="K187" s="83" t="str">
        <x:v>Terna Prospettive Sviluppo Sistema Energetico 2050.pdf</x:v>
      </x:c>
      <x:c r="L187" s="83" t="n">
        <x:v>59</x:v>
      </x:c>
      <x:c r="M187" s="83" t="n">
        <x:v>57</x:v>
      </x:c>
      <x:c r="N187" s="83" t="str">
        <x:v>Tabella 5</x:v>
      </x:c>
      <x:c r="O187" s="83" t="str">
        <x:v>Direct table extraction</x:v>
      </x:c>
      <x:c r="P187" s="83" t="str">
        <x:v>A - Direct</x:v>
      </x:c>
      <x:c r="Q187" s="83" t="str">
        <x:v>Simulazione pan-europea oraria; network transfer evolution not represented in the presented exercise.</x:v>
      </x:c>
    </x:row>
    <x:row r="188">
      <x:c r="A188" s="83" t="str">
        <x:v>BAL-0184</x:v>
      </x:c>
      <x:c r="B188" s="83" t="str">
        <x:v>TERNA_2050_NUCLEAR</x:v>
      </x:c>
      <x:c r="C188" s="83" t="n">
        <x:v>2050</x:v>
      </x:c>
      <x:c r="D188" s="83" t="str">
        <x:v>Terna 2050 con nucleare</x:v>
      </x:c>
      <x:c r="E188" s="83" t="str">
        <x:v>Perdite accumuli</x:v>
      </x:c>
      <x:c r="F188" s="143" t="n">
        <x:v>-11</x:v>
      </x:c>
      <x:c r="G188" s="83" t="str">
        <x:v>TWh</x:v>
      </x:c>
      <x:c r="H188" s="83" t="str">
        <x:v>Italia</x:v>
      </x:c>
      <x:c r="I188" s="83" t="str">
        <x:v>Risultato di modello della fonte</x:v>
      </x:c>
      <x:c r="J188" s="83" t="str">
        <x:v>S07</x:v>
      </x:c>
      <x:c r="K188" s="83" t="str">
        <x:v>Terna Prospettive Sviluppo Sistema Energetico 2050.pdf</x:v>
      </x:c>
      <x:c r="L188" s="83" t="n">
        <x:v>59</x:v>
      </x:c>
      <x:c r="M188" s="83" t="n">
        <x:v>57</x:v>
      </x:c>
      <x:c r="N188" s="83" t="str">
        <x:v>Tabella 5</x:v>
      </x:c>
      <x:c r="O188" s="83" t="str">
        <x:v>Direct table extraction</x:v>
      </x:c>
      <x:c r="P188" s="83" t="str">
        <x:v>A - Direct</x:v>
      </x:c>
      <x:c r="Q188" s="83" t="str">
        <x:v>Simulazione pan-europea oraria; network transfer evolution not represented in the presented exercise.</x:v>
      </x:c>
    </x:row>
    <x:row r="189">
      <x:c r="A189" s="83" t="str">
        <x:v>BAL-0185</x:v>
      </x:c>
      <x:c r="B189" s="83" t="str">
        <x:v>TERNA_2050_NUCLEAR</x:v>
      </x:c>
      <x:c r="C189" s="83" t="n">
        <x:v>2050</x:v>
      </x:c>
      <x:c r="D189" s="83" t="str">
        <x:v>Terna 2050 con nucleare</x:v>
      </x:c>
      <x:c r="E189" s="83" t="str">
        <x:v>Copertura zero-emissioni</x:v>
      </x:c>
      <x:c r="F189" s="143" t="n">
        <x:v>89</x:v>
      </x:c>
      <x:c r="G189" s="83" t="str">
        <x:v>%</x:v>
      </x:c>
      <x:c r="H189" s="83" t="str">
        <x:v>Italia</x:v>
      </x:c>
      <x:c r="I189" s="83" t="str">
        <x:v>Risultato di modello della fonte</x:v>
      </x:c>
      <x:c r="J189" s="83" t="str">
        <x:v>S07</x:v>
      </x:c>
      <x:c r="K189" s="83" t="str">
        <x:v>Terna Prospettive Sviluppo Sistema Energetico 2050.pdf</x:v>
      </x:c>
      <x:c r="L189" s="83" t="n">
        <x:v>59</x:v>
      </x:c>
      <x:c r="M189" s="83" t="n">
        <x:v>57</x:v>
      </x:c>
      <x:c r="N189" s="83" t="str">
        <x:v>Tabella 5</x:v>
      </x:c>
      <x:c r="O189" s="83" t="str">
        <x:v>Direct table extraction</x:v>
      </x:c>
      <x:c r="P189" s="83" t="str">
        <x:v>A - Direct</x:v>
      </x:c>
      <x:c r="Q189" s="83" t="str">
        <x:v>Simulazione pan-europea oraria; network transfer evolution not represented in the presented exercise.</x:v>
      </x:c>
    </x:row>
    <x:row r="190">
      <x:c r="A190" s="83" t="str">
        <x:v>BAL-0186</x:v>
      </x:c>
      <x:c r="B190" s="83" t="str">
        <x:v>TERNA_2050_NUCLEAR</x:v>
      </x:c>
      <x:c r="C190" s="83" t="n">
        <x:v>2050</x:v>
      </x:c>
      <x:c r="D190" s="83" t="str">
        <x:v>Terna 2050 con nucleare</x:v>
      </x:c>
      <x:c r="E190" s="83" t="str">
        <x:v>Overgeneration su fabbisogno</x:v>
      </x:c>
      <x:c r="F190" s="143" t="n">
        <x:v>4.8</x:v>
      </x:c>
      <x:c r="G190" s="83" t="str">
        <x:v>%</x:v>
      </x:c>
      <x:c r="H190" s="83" t="str">
        <x:v>Italia</x:v>
      </x:c>
      <x:c r="I190" s="83" t="str">
        <x:v>Risultato di modello della fonte</x:v>
      </x:c>
      <x:c r="J190" s="83" t="str">
        <x:v>S07</x:v>
      </x:c>
      <x:c r="K190" s="83" t="str">
        <x:v>Terna Prospettive Sviluppo Sistema Energetico 2050.pdf</x:v>
      </x:c>
      <x:c r="L190" s="83" t="n">
        <x:v>59</x:v>
      </x:c>
      <x:c r="M190" s="83" t="n">
        <x:v>57</x:v>
      </x:c>
      <x:c r="N190" s="83" t="str">
        <x:v>Tabella 5</x:v>
      </x:c>
      <x:c r="O190" s="83" t="str">
        <x:v>Direct table extraction</x:v>
      </x:c>
      <x:c r="P190" s="83" t="str">
        <x:v>A - Direct</x:v>
      </x:c>
      <x:c r="Q190" s="83" t="str">
        <x:v>Simulazione pan-europea oraria; network transfer evolution not represented in the presented exercise.</x:v>
      </x:c>
    </x:row>
    <x:row r="191">
      <x:c r="A191" s="83" t="str">
        <x:v>BAL-0187</x:v>
      </x:c>
      <x:c r="B191" s="83" t="str">
        <x:v>TERNA_2050_NO_NUCLEAR</x:v>
      </x:c>
      <x:c r="C191" s="83" t="n">
        <x:v>2050</x:v>
      </x:c>
      <x:c r="D191" s="83" t="str">
        <x:v>Terna 2050 senza nucleare</x:v>
      </x:c>
      <x:c r="E191" s="83" t="str">
        <x:v>Fabbisogno elettrico totale</x:v>
      </x:c>
      <x:c r="F191" s="143" t="n">
        <x:v>583</x:v>
      </x:c>
      <x:c r="G191" s="83" t="str">
        <x:v>TWh</x:v>
      </x:c>
      <x:c r="H191" s="83" t="str">
        <x:v>Italia</x:v>
      </x:c>
      <x:c r="I191" s="83" t="str">
        <x:v>Risultato di modello della fonte</x:v>
      </x:c>
      <x:c r="J191" s="83" t="str">
        <x:v>S07</x:v>
      </x:c>
      <x:c r="K191" s="83" t="str">
        <x:v>Terna Prospettive Sviluppo Sistema Energetico 2050.pdf</x:v>
      </x:c>
      <x:c r="L191" s="83" t="n">
        <x:v>59</x:v>
      </x:c>
      <x:c r="M191" s="83" t="n">
        <x:v>57</x:v>
      </x:c>
      <x:c r="N191" s="83" t="str">
        <x:v>Tabella 5</x:v>
      </x:c>
      <x:c r="O191" s="83" t="str">
        <x:v>Direct table extraction</x:v>
      </x:c>
      <x:c r="P191" s="83" t="str">
        <x:v>A - Direct</x:v>
      </x:c>
      <x:c r="Q191" s="83" t="str">
        <x:v>Simulazione pan-europea oraria; network transfer evolution not represented in the presented exercise.</x:v>
      </x:c>
    </x:row>
    <x:row r="192">
      <x:c r="A192" s="83" t="str">
        <x:v>BAL-0188</x:v>
      </x:c>
      <x:c r="B192" s="83" t="str">
        <x:v>TERNA_2050_NO_NUCLEAR</x:v>
      </x:c>
      <x:c r="C192" s="83" t="n">
        <x:v>2050</x:v>
      </x:c>
      <x:c r="D192" s="83" t="str">
        <x:v>Terna 2050 senza nucleare</x:v>
      </x:c>
      <x:c r="E192" s="83" t="str">
        <x:v>Totale produzione nazionale</x:v>
      </x:c>
      <x:c r="F192" s="143" t="n">
        <x:v>540</x:v>
      </x:c>
      <x:c r="G192" s="83" t="str">
        <x:v>TWh</x:v>
      </x:c>
      <x:c r="H192" s="83" t="str">
        <x:v>Italia</x:v>
      </x:c>
      <x:c r="I192" s="83" t="str">
        <x:v>Risultato di modello della fonte</x:v>
      </x:c>
      <x:c r="J192" s="83" t="str">
        <x:v>S07</x:v>
      </x:c>
      <x:c r="K192" s="83" t="str">
        <x:v>Terna Prospettive Sviluppo Sistema Energetico 2050.pdf</x:v>
      </x:c>
      <x:c r="L192" s="83" t="n">
        <x:v>59</x:v>
      </x:c>
      <x:c r="M192" s="83" t="n">
        <x:v>57</x:v>
      </x:c>
      <x:c r="N192" s="83" t="str">
        <x:v>Tabella 5</x:v>
      </x:c>
      <x:c r="O192" s="83" t="str">
        <x:v>Direct table extraction</x:v>
      </x:c>
      <x:c r="P192" s="83" t="str">
        <x:v>A - Direct</x:v>
      </x:c>
      <x:c r="Q192" s="83" t="str">
        <x:v>Simulazione pan-europea oraria; network transfer evolution not represented in the presented exercise.</x:v>
      </x:c>
    </x:row>
    <x:row r="193">
      <x:c r="A193" s="83" t="str">
        <x:v>BAL-0189</x:v>
      </x:c>
      <x:c r="B193" s="83" t="str">
        <x:v>TERNA_2050_NO_NUCLEAR</x:v>
      </x:c>
      <x:c r="C193" s="83" t="n">
        <x:v>2050</x:v>
      </x:c>
      <x:c r="D193" s="83" t="str">
        <x:v>Terna 2050 senza nucleare</x:v>
      </x:c>
      <x:c r="E193" s="83" t="str">
        <x:v>Solare, eolico e idrico</x:v>
      </x:c>
      <x:c r="F193" s="143" t="n">
        <x:v>474</x:v>
      </x:c>
      <x:c r="G193" s="83" t="str">
        <x:v>TWh</x:v>
      </x:c>
      <x:c r="H193" s="83" t="str">
        <x:v>Italia</x:v>
      </x:c>
      <x:c r="I193" s="83" t="str">
        <x:v>Risultato di modello della fonte</x:v>
      </x:c>
      <x:c r="J193" s="83" t="str">
        <x:v>S07</x:v>
      </x:c>
      <x:c r="K193" s="83" t="str">
        <x:v>Terna Prospettive Sviluppo Sistema Energetico 2050.pdf</x:v>
      </x:c>
      <x:c r="L193" s="83" t="n">
        <x:v>59</x:v>
      </x:c>
      <x:c r="M193" s="83" t="n">
        <x:v>57</x:v>
      </x:c>
      <x:c r="N193" s="83" t="str">
        <x:v>Tabella 5</x:v>
      </x:c>
      <x:c r="O193" s="83" t="str">
        <x:v>Direct table extraction</x:v>
      </x:c>
      <x:c r="P193" s="83" t="str">
        <x:v>A - Direct</x:v>
      </x:c>
      <x:c r="Q193" s="83" t="str">
        <x:v>Simulazione pan-europea oraria; network transfer evolution not represented in the presented exercise.</x:v>
      </x:c>
    </x:row>
    <x:row r="194">
      <x:c r="A194" s="83" t="str">
        <x:v>BAL-0190</x:v>
      </x:c>
      <x:c r="B194" s="83" t="str">
        <x:v>TERNA_2050_NO_NUCLEAR</x:v>
      </x:c>
      <x:c r="C194" s="83" t="n">
        <x:v>2050</x:v>
      </x:c>
      <x:c r="D194" s="83" t="str">
        <x:v>Terna 2050 senza nucleare</x:v>
      </x:c>
      <x:c r="E194" s="83" t="str">
        <x:v>Nucleare</x:v>
      </x:c>
      <x:c r="F194" s="143" t="n">
        <x:v>0</x:v>
      </x:c>
      <x:c r="G194" s="83" t="str">
        <x:v>TWh</x:v>
      </x:c>
      <x:c r="H194" s="83" t="str">
        <x:v>Italia</x:v>
      </x:c>
      <x:c r="I194" s="83" t="str">
        <x:v>Risultato di modello della fonte</x:v>
      </x:c>
      <x:c r="J194" s="83" t="str">
        <x:v>S07</x:v>
      </x:c>
      <x:c r="K194" s="83" t="str">
        <x:v>Terna Prospettive Sviluppo Sistema Energetico 2050.pdf</x:v>
      </x:c>
      <x:c r="L194" s="83" t="n">
        <x:v>59</x:v>
      </x:c>
      <x:c r="M194" s="83" t="n">
        <x:v>57</x:v>
      </x:c>
      <x:c r="N194" s="83" t="str">
        <x:v>Tabella 5</x:v>
      </x:c>
      <x:c r="O194" s="83" t="str">
        <x:v>Direct table extraction</x:v>
      </x:c>
      <x:c r="P194" s="83" t="str">
        <x:v>A - Direct</x:v>
      </x:c>
      <x:c r="Q194" s="83" t="str">
        <x:v>Simulazione pan-europea oraria; network transfer evolution not represented in the presented exercise.</x:v>
      </x:c>
    </x:row>
    <x:row r="195">
      <x:c r="A195" s="83" t="str">
        <x:v>BAL-0191</x:v>
      </x:c>
      <x:c r="B195" s="83" t="str">
        <x:v>TERNA_2050_NO_NUCLEAR</x:v>
      </x:c>
      <x:c r="C195" s="83" t="n">
        <x:v>2050</x:v>
      </x:c>
      <x:c r="D195" s="83" t="str">
        <x:v>Terna 2050 senza nucleare</x:v>
      </x:c>
      <x:c r="E195" s="83" t="str">
        <x:v>Altra produzione programmabile</x:v>
      </x:c>
      <x:c r="F195" s="143" t="n">
        <x:v>66</x:v>
      </x:c>
      <x:c r="G195" s="83" t="str">
        <x:v>TWh</x:v>
      </x:c>
      <x:c r="H195" s="83" t="str">
        <x:v>Italia</x:v>
      </x:c>
      <x:c r="I195" s="83" t="str">
        <x:v>Risultato di modello della fonte</x:v>
      </x:c>
      <x:c r="J195" s="83" t="str">
        <x:v>S07</x:v>
      </x:c>
      <x:c r="K195" s="83" t="str">
        <x:v>Terna Prospettive Sviluppo Sistema Energetico 2050.pdf</x:v>
      </x:c>
      <x:c r="L195" s="83" t="n">
        <x:v>59</x:v>
      </x:c>
      <x:c r="M195" s="83" t="n">
        <x:v>57</x:v>
      </x:c>
      <x:c r="N195" s="83" t="str">
        <x:v>Tabella 5</x:v>
      </x:c>
      <x:c r="O195" s="83" t="str">
        <x:v>Direct table extraction</x:v>
      </x:c>
      <x:c r="P195" s="83" t="str">
        <x:v>A - Direct</x:v>
      </x:c>
      <x:c r="Q195" s="83" t="str">
        <x:v>Simulazione pan-europea oraria; network transfer evolution not represented in the presented exercise.</x:v>
      </x:c>
    </x:row>
    <x:row r="196">
      <x:c r="A196" s="83" t="str">
        <x:v>BAL-0192</x:v>
      </x:c>
      <x:c r="B196" s="83" t="str">
        <x:v>TERNA_2050_NO_NUCLEAR</x:v>
      </x:c>
      <x:c r="C196" s="83" t="n">
        <x:v>2050</x:v>
      </x:c>
      <x:c r="D196" s="83" t="str">
        <x:v>Terna 2050 senza nucleare</x:v>
      </x:c>
      <x:c r="E196" s="83" t="str">
        <x:v>Saldo estero (import netto)</x:v>
      </x:c>
      <x:c r="F196" s="143" t="n">
        <x:v>57</x:v>
      </x:c>
      <x:c r="G196" s="83" t="str">
        <x:v>TWh</x:v>
      </x:c>
      <x:c r="H196" s="83" t="str">
        <x:v>Italia</x:v>
      </x:c>
      <x:c r="I196" s="83" t="str">
        <x:v>Risultato di modello della fonte</x:v>
      </x:c>
      <x:c r="J196" s="83" t="str">
        <x:v>S07</x:v>
      </x:c>
      <x:c r="K196" s="83" t="str">
        <x:v>Terna Prospettive Sviluppo Sistema Energetico 2050.pdf</x:v>
      </x:c>
      <x:c r="L196" s="83" t="n">
        <x:v>59</x:v>
      </x:c>
      <x:c r="M196" s="83" t="n">
        <x:v>57</x:v>
      </x:c>
      <x:c r="N196" s="83" t="str">
        <x:v>Tabella 5</x:v>
      </x:c>
      <x:c r="O196" s="83" t="str">
        <x:v>Direct table extraction</x:v>
      </x:c>
      <x:c r="P196" s="83" t="str">
        <x:v>A - Direct</x:v>
      </x:c>
      <x:c r="Q196" s="83" t="str">
        <x:v>Simulazione pan-europea oraria; network transfer evolution not represented in the presented exercise.</x:v>
      </x:c>
    </x:row>
    <x:row r="197">
      <x:c r="A197" s="83" t="str">
        <x:v>BAL-0193</x:v>
      </x:c>
      <x:c r="B197" s="83" t="str">
        <x:v>TERNA_2050_NO_NUCLEAR</x:v>
      </x:c>
      <x:c r="C197" s="83" t="n">
        <x:v>2050</x:v>
      </x:c>
      <x:c r="D197" s="83" t="str">
        <x:v>Terna 2050 senza nucleare</x:v>
      </x:c>
      <x:c r="E197" s="83" t="str">
        <x:v>Perdite accumuli</x:v>
      </x:c>
      <x:c r="F197" s="143" t="n">
        <x:v>-14</x:v>
      </x:c>
      <x:c r="G197" s="83" t="str">
        <x:v>TWh</x:v>
      </x:c>
      <x:c r="H197" s="83" t="str">
        <x:v>Italia</x:v>
      </x:c>
      <x:c r="I197" s="83" t="str">
        <x:v>Risultato di modello della fonte</x:v>
      </x:c>
      <x:c r="J197" s="83" t="str">
        <x:v>S07</x:v>
      </x:c>
      <x:c r="K197" s="83" t="str">
        <x:v>Terna Prospettive Sviluppo Sistema Energetico 2050.pdf</x:v>
      </x:c>
      <x:c r="L197" s="83" t="n">
        <x:v>59</x:v>
      </x:c>
      <x:c r="M197" s="83" t="n">
        <x:v>57</x:v>
      </x:c>
      <x:c r="N197" s="83" t="str">
        <x:v>Tabella 5</x:v>
      </x:c>
      <x:c r="O197" s="83" t="str">
        <x:v>Direct table extraction</x:v>
      </x:c>
      <x:c r="P197" s="83" t="str">
        <x:v>A - Direct</x:v>
      </x:c>
      <x:c r="Q197" s="83" t="str">
        <x:v>Simulazione pan-europea oraria; network transfer evolution not represented in the presented exercise.</x:v>
      </x:c>
    </x:row>
    <x:row r="198">
      <x:c r="A198" s="83" t="str">
        <x:v>BAL-0194</x:v>
      </x:c>
      <x:c r="B198" s="83" t="str">
        <x:v>TERNA_2050_NO_NUCLEAR</x:v>
      </x:c>
      <x:c r="C198" s="83" t="n">
        <x:v>2050</x:v>
      </x:c>
      <x:c r="D198" s="83" t="str">
        <x:v>Terna 2050 senza nucleare</x:v>
      </x:c>
      <x:c r="E198" s="83" t="str">
        <x:v>Copertura zero-emissioni</x:v>
      </x:c>
      <x:c r="F198" s="143" t="n">
        <x:v>84</x:v>
      </x:c>
      <x:c r="G198" s="83" t="str">
        <x:v>%</x:v>
      </x:c>
      <x:c r="H198" s="83" t="str">
        <x:v>Italia</x:v>
      </x:c>
      <x:c r="I198" s="83" t="str">
        <x:v>Risultato di modello della fonte</x:v>
      </x:c>
      <x:c r="J198" s="83" t="str">
        <x:v>S07</x:v>
      </x:c>
      <x:c r="K198" s="83" t="str">
        <x:v>Terna Prospettive Sviluppo Sistema Energetico 2050.pdf</x:v>
      </x:c>
      <x:c r="L198" s="83" t="n">
        <x:v>59</x:v>
      </x:c>
      <x:c r="M198" s="83" t="n">
        <x:v>57</x:v>
      </x:c>
      <x:c r="N198" s="83" t="str">
        <x:v>Tabella 5</x:v>
      </x:c>
      <x:c r="O198" s="83" t="str">
        <x:v>Direct table extraction</x:v>
      </x:c>
      <x:c r="P198" s="83" t="str">
        <x:v>A - Direct</x:v>
      </x:c>
      <x:c r="Q198" s="83" t="str">
        <x:v>Simulazione pan-europea oraria; network transfer evolution not represented in the presented exercise.</x:v>
      </x:c>
    </x:row>
    <x:row r="199">
      <x:c r="A199" s="83" t="str">
        <x:v>BAL-0195</x:v>
      </x:c>
      <x:c r="B199" s="83" t="str">
        <x:v>TERNA_2050_NO_NUCLEAR</x:v>
      </x:c>
      <x:c r="C199" s="83" t="n">
        <x:v>2050</x:v>
      </x:c>
      <x:c r="D199" s="83" t="str">
        <x:v>Terna 2050 senza nucleare</x:v>
      </x:c>
      <x:c r="E199" s="83" t="str">
        <x:v>Overgeneration su fabbisogno</x:v>
      </x:c>
      <x:c r="F199" s="143" t="n">
        <x:v>4.4</x:v>
      </x:c>
      <x:c r="G199" s="83" t="str">
        <x:v>%</x:v>
      </x:c>
      <x:c r="H199" s="83" t="str">
        <x:v>Italia</x:v>
      </x:c>
      <x:c r="I199" s="83" t="str">
        <x:v>Risultato di modello della fonte</x:v>
      </x:c>
      <x:c r="J199" s="83" t="str">
        <x:v>S07</x:v>
      </x:c>
      <x:c r="K199" s="83" t="str">
        <x:v>Terna Prospettive Sviluppo Sistema Energetico 2050.pdf</x:v>
      </x:c>
      <x:c r="L199" s="83" t="n">
        <x:v>59</x:v>
      </x:c>
      <x:c r="M199" s="83" t="n">
        <x:v>57</x:v>
      </x:c>
      <x:c r="N199" s="83" t="str">
        <x:v>Tabella 5</x:v>
      </x:c>
      <x:c r="O199" s="83" t="str">
        <x:v>Direct table extraction</x:v>
      </x:c>
      <x:c r="P199" s="83" t="str">
        <x:v>A - Direct</x:v>
      </x:c>
      <x:c r="Q199" s="83" t="str">
        <x:v>Simulazione pan-europea oraria; network transfer evolution not represented in the presented exercise.</x:v>
      </x:c>
    </x:row>
  </x:sheetData>
  <x:mergeCells>
    <x:mergeCell ref="A1:Q1"/>
    <x:mergeCell ref="A2:Q2"/>
  </x:mergeCells>
  <x:conditionalFormatting sqref="P5:P199">
    <x:cfRule type="expression" dxfId="35" priority="1">
      <x:formula>LEFT(P5,1)="A"</x:formula>
    </x:cfRule>
    <x:cfRule type="expression" dxfId="36" priority="2">
      <x:formula>OR(LEFT(P5,1)="D",LEFT(P5,1)="E")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d25317cb3e4397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2" hidden="0" customWidth="1"/>
    <x:col min="4" max="4" width="20" hidden="0" customWidth="1"/>
    <x:col min="5" max="5" width="26" hidden="0" customWidth="1"/>
    <x:col min="6" max="6" width="34" hidden="0" customWidth="1"/>
    <x:col min="7" max="7" width="18" hidden="0" customWidth="1"/>
    <x:col min="8" max="8" width="38" hidden="0" customWidth="1"/>
    <x:col min="9" max="9" width="60" hidden="0" customWidth="1"/>
  </x:cols>
  <x:sheetData>
    <x:row r="1" ht="34" customHeight="1">
      <x:c r="A1" s="134" t="str">
        <x:v>Registro di estrazione — Fase 3A</x:v>
      </x:c>
      <x:c r="B1" s="134"/>
      <x:c r="C1" s="134"/>
      <x:c r="D1" s="134"/>
      <x:c r="E1" s="134"/>
      <x:c r="F1" s="134"/>
      <x:c r="G1" s="134"/>
      <x:c r="H1" s="134"/>
      <x:c r="I1" s="134"/>
    </x:row>
    <x:row r="2" ht="30" customHeight="1">
      <x:c r="A2" s="138" t="str">
        <x:v>16 blocchi verificati e trasferiti</x:v>
      </x:c>
      <x:c r="B2" s="138"/>
      <x:c r="C2" s="138"/>
      <x:c r="D2" s="138"/>
      <x:c r="E2" s="138"/>
      <x:c r="F2" s="138"/>
      <x:c r="G2" s="138"/>
      <x:c r="H2" s="138"/>
      <x:c r="I2" s="138"/>
    </x:row>
    <x:row r="4" ht="38" customHeight="1">
      <x:c r="A4" s="142" t="str">
        <x:v>Extraction ID</x:v>
      </x:c>
      <x:c r="B4" s="142" t="str">
        <x:v>Fonte</x:v>
      </x:c>
      <x:c r="C4" s="142" t="str">
        <x:v>Contenuto</x:v>
      </x:c>
      <x:c r="D4" s="142" t="str">
        <x:v>Pagine PDF</x:v>
      </x:c>
      <x:c r="E4" s="142" t="str">
        <x:v>Tabella/Figura</x:v>
      </x:c>
      <x:c r="F4" s="142" t="str">
        <x:v>Blocco output</x:v>
      </x:c>
      <x:c r="G4" s="142" t="str">
        <x:v>Stato</x:v>
      </x:c>
      <x:c r="H4" s="142" t="str">
        <x:v>Metodo</x:v>
      </x:c>
      <x:c r="I4" s="142" t="str">
        <x:v>Note</x:v>
      </x:c>
    </x:row>
    <x:row r="5">
      <x:c r="A5" s="83" t="str">
        <x:v>EXT-001</x:v>
      </x:c>
      <x:c r="B5" s="83" t="str">
        <x:v>S09</x:v>
      </x:c>
      <x:c r="C5" s="83" t="str">
        <x:v>Scenario definitions and storylines</x:v>
      </x:c>
      <x:c r="D5" s="83" t="str">
        <x:v>PDF pages 39-41</x:v>
      </x:c>
      <x:c r="E5" s="83" t="str">
        <x:v>Sections 6.2-6.3</x:v>
      </x:c>
      <x:c r="F5" s="83" t="str">
        <x:v>Scenario crosswalk</x:v>
      </x:c>
      <x:c r="G5" s="83" t="str">
        <x:v>Complete</x:v>
      </x:c>
      <x:c r="H5" s="83" t="str">
        <x:v>Text + visual verification</x:v>
      </x:c>
      <x:c r="I5" s="83" t="str">
        <x:v>DE/GA/Slow relationships recorded.</x:v>
      </x:c>
    </x:row>
    <x:row r="6">
      <x:c r="A6" s="83" t="str">
        <x:v>EXT-002</x:v>
      </x:c>
      <x:c r="B6" s="83" t="str">
        <x:v>S09</x:v>
      </x:c>
      <x:c r="C6" s="83" t="str">
        <x:v>Main scenario values</x:v>
      </x:c>
      <x:c r="D6" s="83" t="str">
        <x:v>PDF page 14</x:v>
      </x:c>
      <x:c r="E6" s="83" t="str">
        <x:v>Table 1</x:v>
      </x:c>
      <x:c r="F6" s="83" t="str">
        <x:v>Scenario/demand/capacity headline</x:v>
      </x:c>
      <x:c r="G6" s="83" t="str">
        <x:v>Complete</x:v>
      </x:c>
      <x:c r="H6" s="83" t="str">
        <x:v>Direct table extraction</x:v>
      </x:c>
      <x:c r="I6" s="83" t="str">
        <x:v>Rounded headline values; detailed tables used where available.</x:v>
      </x:c>
    </x:row>
    <x:row r="7">
      <x:c r="A7" s="83" t="str">
        <x:v>EXT-003</x:v>
      </x:c>
      <x:c r="B7" s="83" t="str">
        <x:v>S09</x:v>
      </x:c>
      <x:c r="C7" s="83" t="str">
        <x:v>Commodity assumptions</x:v>
      </x:c>
      <x:c r="D7" s="83" t="str">
        <x:v>PDF page 28</x:v>
      </x:c>
      <x:c r="E7" s="83" t="str">
        <x:v>Table 4</x:v>
      </x:c>
      <x:c r="F7" s="83" t="str">
        <x:v>Scenario parameters</x:v>
      </x:c>
      <x:c r="G7" s="83" t="str">
        <x:v>Complete</x:v>
      </x:c>
      <x:c r="H7" s="83" t="str">
        <x:v>Direct table extraction</x:v>
      </x:c>
      <x:c r="I7" s="83" t="str">
        <x:v>Real 2023 prices; scenario parameters, not forecasts.</x:v>
      </x:c>
    </x:row>
    <x:row r="8">
      <x:c r="A8" s="83" t="str">
        <x:v>EXT-004</x:v>
      </x:c>
      <x:c r="B8" s="83" t="str">
        <x:v>S09</x:v>
      </x:c>
      <x:c r="C8" s="83" t="str">
        <x:v>Demand by sector</x:v>
      </x:c>
      <x:c r="D8" s="83" t="str">
        <x:v>PDF page 48</x:v>
      </x:c>
      <x:c r="E8" s="83" t="str">
        <x:v>Table 6</x:v>
      </x:c>
      <x:c r="F8" s="83" t="str">
        <x:v>Demand total/sectoral</x:v>
      </x:c>
      <x:c r="G8" s="83" t="str">
        <x:v>Complete</x:v>
      </x:c>
      <x:c r="H8" s="83" t="str">
        <x:v>Direct table extraction</x:v>
      </x:c>
      <x:c r="I8" s="83" t="str">
        <x:v>Decimal values retained.</x:v>
      </x:c>
    </x:row>
    <x:row r="9">
      <x:c r="A9" s="83" t="str">
        <x:v>EXT-005</x:v>
      </x:c>
      <x:c r="B9" s="83" t="str">
        <x:v>S09</x:v>
      </x:c>
      <x:c r="C9" s="83" t="str">
        <x:v>Solar/wind national capacity</x:v>
      </x:c>
      <x:c r="D9" s="83" t="str">
        <x:v>PDF page 59</x:v>
      </x:c>
      <x:c r="E9" s="83" t="str">
        <x:v>Table 13</x:v>
      </x:c>
      <x:c r="F9" s="83" t="str">
        <x:v>National capacity</x:v>
      </x:c>
      <x:c r="G9" s="83" t="str">
        <x:v>Complete</x:v>
      </x:c>
      <x:c r="H9" s="83" t="str">
        <x:v>Direct table extraction</x:v>
      </x:c>
      <x:c r="I9" s="83" t="str">
        <x:v>Total row covers solar+wind despite FER title.</x:v>
      </x:c>
    </x:row>
    <x:row r="10">
      <x:c r="A10" s="83" t="str">
        <x:v>EXT-006</x:v>
      </x:c>
      <x:c r="B10" s="83" t="str">
        <x:v>S09</x:v>
      </x:c>
      <x:c r="C10" s="83" t="str">
        <x:v>Solar zonal capacity</x:v>
      </x:c>
      <x:c r="D10" s="83" t="str">
        <x:v>PDF page 60</x:v>
      </x:c>
      <x:c r="E10" s="83" t="str">
        <x:v>Table 14</x:v>
      </x:c>
      <x:c r="F10" s="83" t="str">
        <x:v>Zonal capacity</x:v>
      </x:c>
      <x:c r="G10" s="83" t="str">
        <x:v>Complete</x:v>
      </x:c>
      <x:c r="H10" s="83" t="str">
        <x:v>Direct table extraction + page render</x:v>
      </x:c>
      <x:c r="I10" s="83" t="str">
        <x:v>252 zonal technology-scenario records created jointly with wind.</x:v>
      </x:c>
    </x:row>
    <x:row r="11">
      <x:c r="A11" s="83" t="str">
        <x:v>EXT-007</x:v>
      </x:c>
      <x:c r="B11" s="83" t="str">
        <x:v>S09</x:v>
      </x:c>
      <x:c r="C11" s="83" t="str">
        <x:v>Wind zonal capacity</x:v>
      </x:c>
      <x:c r="D11" s="83" t="str">
        <x:v>PDF page 61</x:v>
      </x:c>
      <x:c r="E11" s="83" t="str">
        <x:v>Table 15</x:v>
      </x:c>
      <x:c r="F11" s="83" t="str">
        <x:v>Zonal capacity</x:v>
      </x:c>
      <x:c r="G11" s="83" t="str">
        <x:v>Complete</x:v>
      </x:c>
      <x:c r="H11" s="83" t="str">
        <x:v>Direct table extraction + page render</x:v>
      </x:c>
      <x:c r="I11" s="83" t="str">
        <x:v>Onshore/offshore standardized from source categories.</x:v>
      </x:c>
    </x:row>
    <x:row r="12">
      <x:c r="A12" s="83" t="str">
        <x:v>EXT-008</x:v>
      </x:c>
      <x:c r="B12" s="83" t="str">
        <x:v>S09</x:v>
      </x:c>
      <x:c r="C12" s="83" t="str">
        <x:v>Storage headline/electrolyzers</x:v>
      </x:c>
      <x:c r="D12" s="83" t="str">
        <x:v>PDF pages 62-64</x:v>
      </x:c>
      <x:c r="E12" s="83" t="str">
        <x:v>Table 16; Figures 28-30</x:v>
      </x:c>
      <x:c r="F12" s="83" t="str">
        <x:v>Scenario context</x:v>
      </x:c>
      <x:c r="G12" s="83" t="str">
        <x:v>Partial for Phase 3A</x:v>
      </x:c>
      <x:c r="H12" s="83" t="str">
        <x:v>Direct extraction</x:v>
      </x:c>
      <x:c r="I12" s="83" t="str">
        <x:v>Detailed storage deferred to Phase 3B; electrolyzer power captured.</x:v>
      </x:c>
    </x:row>
    <x:row r="13">
      <x:c r="A13" s="83" t="str">
        <x:v>EXT-009</x:v>
      </x:c>
      <x:c r="B13" s="83" t="str">
        <x:v>S09</x:v>
      </x:c>
      <x:c r="C13" s="83" t="str">
        <x:v>Annual balance and FER shares</x:v>
      </x:c>
      <x:c r="D13" s="83" t="str">
        <x:v>PDF pages 65-67</x:v>
      </x:c>
      <x:c r="E13" s="83" t="str">
        <x:v>Tables 17-19</x:v>
      </x:c>
      <x:c r="F13" s="83" t="str">
        <x:v>Annual balance</x:v>
      </x:c>
      <x:c r="G13" s="83" t="str">
        <x:v>Complete</x:v>
      </x:c>
      <x:c r="H13" s="83" t="str">
        <x:v>Direct table extraction</x:v>
      </x:c>
      <x:c r="I13" s="83" t="str">
        <x:v>Import by frontier retained for Phase 3C; national total captured here.</x:v>
      </x:c>
    </x:row>
    <x:row r="14">
      <x:c r="A14" s="83" t="str">
        <x:v>EXT-010</x:v>
      </x:c>
      <x:c r="B14" s="83" t="str">
        <x:v>S01</x:v>
      </x:c>
      <x:c r="C14" s="83" t="str">
        <x:v>PdS-selected scenarios and aggregate thermal fleet</x:v>
      </x:c>
      <x:c r="D14" s="83" t="str">
        <x:v>PDF pages 90-97</x:v>
      </x:c>
      <x:c r="E14" s="83" t="str">
        <x:v>Sections 5.3.1-5.3.3</x:v>
      </x:c>
      <x:c r="F14" s="83" t="str">
        <x:v>Cross-check</x:v>
      </x:c>
      <x:c r="G14" s="83" t="str">
        <x:v>Complete</x:v>
      </x:c>
      <x:c r="H14" s="83" t="str">
        <x:v>Direct text/table extraction</x:v>
      </x:c>
      <x:c r="I14" s="83" t="str">
        <x:v>DE-IT/Slow selected for PdS; thermal fleet ~55 GW.</x:v>
      </x:c>
    </x:row>
    <x:row r="15">
      <x:c r="A15" s="83" t="str">
        <x:v>EXT-011</x:v>
      </x:c>
      <x:c r="B15" s="83" t="str">
        <x:v>S07</x:v>
      </x:c>
      <x:c r="C15" s="83" t="str">
        <x:v>PNIEC 2050 demand/production</x:v>
      </x:c>
      <x:c r="D15" s="83" t="str">
        <x:v>PDF page 52</x:v>
      </x:c>
      <x:c r="E15" s="83" t="str">
        <x:v>Table 3</x:v>
      </x:c>
      <x:c r="F15" s="83" t="str">
        <x:v>Demand/balance</x:v>
      </x:c>
      <x:c r="G15" s="83" t="str">
        <x:v>Complete</x:v>
      </x:c>
      <x:c r="H15" s="83" t="str">
        <x:v>Direct table extraction</x:v>
      </x:c>
      <x:c r="I15" s="83" t="str">
        <x:v>Cross-checks PNIEC exploratory outputs.</x:v>
      </x:c>
    </x:row>
    <x:row r="16">
      <x:c r="A16" s="83" t="str">
        <x:v>EXT-012</x:v>
      </x:c>
      <x:c r="B16" s="83" t="str">
        <x:v>S07</x:v>
      </x:c>
      <x:c r="C16" s="83" t="str">
        <x:v>2050 demand drivers</x:v>
      </x:c>
      <x:c r="D16" s="83" t="str">
        <x:v>PDF page 53</x:v>
      </x:c>
      <x:c r="E16" s="83" t="str">
        <x:v>Figure 45</x:v>
      </x:c>
      <x:c r="F16" s="83" t="str">
        <x:v>Demand sectoral ranges</x:v>
      </x:c>
      <x:c r="G16" s="83" t="str">
        <x:v>Complete</x:v>
      </x:c>
      <x:c r="H16" s="83" t="str">
        <x:v>Direct figure labels + render</x:v>
      </x:c>
      <x:c r="I16" s="83" t="str">
        <x:v>Ranges are not necessarily simultaneous.</x:v>
      </x:c>
    </x:row>
    <x:row r="17">
      <x:c r="A17" s="83" t="str">
        <x:v>EXT-013</x:v>
      </x:c>
      <x:c r="B17" s="83" t="str">
        <x:v>S07</x:v>
      </x:c>
      <x:c r="C17" s="83" t="str">
        <x:v>Terna 2050 capacity and storage</x:v>
      </x:c>
      <x:c r="D17" s="83" t="str">
        <x:v>PDF page 58</x:v>
      </x:c>
      <x:c r="E17" s="83" t="str">
        <x:v>Table 4</x:v>
      </x:c>
      <x:c r="F17" s="83" t="str">
        <x:v>National capacity</x:v>
      </x:c>
      <x:c r="G17" s="83" t="str">
        <x:v>Complete for generation headline</x:v>
      </x:c>
      <x:c r="H17" s="83" t="str">
        <x:v>Direct table extraction</x:v>
      </x:c>
      <x:c r="I17" s="83" t="str">
        <x:v>Storage detail deferred to Phase 3B.</x:v>
      </x:c>
    </x:row>
    <x:row r="18">
      <x:c r="A18" s="83" t="str">
        <x:v>EXT-014</x:v>
      </x:c>
      <x:c r="B18" s="83" t="str">
        <x:v>S07</x:v>
      </x:c>
      <x:c r="C18" s="83" t="str">
        <x:v>Terna 2050 annual balance</x:v>
      </x:c>
      <x:c r="D18" s="83" t="str">
        <x:v>PDF page 59</x:v>
      </x:c>
      <x:c r="E18" s="83" t="str">
        <x:v>Table 5</x:v>
      </x:c>
      <x:c r="F18" s="83" t="str">
        <x:v>Annual balance</x:v>
      </x:c>
      <x:c r="G18" s="83" t="str">
        <x:v>Complete</x:v>
      </x:c>
      <x:c r="H18" s="83" t="str">
        <x:v>Direct table extraction</x:v>
      </x:c>
      <x:c r="I18" s="83" t="str">
        <x:v>Exploratory scenario caveats retained.</x:v>
      </x:c>
    </x:row>
    <x:row r="19">
      <x:c r="A19" s="83" t="str">
        <x:v>EXT-015</x:v>
      </x:c>
      <x:c r="B19" s="83" t="str">
        <x:v>S07</x:v>
      </x:c>
      <x:c r="C19" s="83" t="str">
        <x:v>2050 installed park and peak</x:v>
      </x:c>
      <x:c r="D19" s="83" t="str">
        <x:v>PDF page 64</x:v>
      </x:c>
      <x:c r="E19" s="83" t="str">
        <x:v>Figure 54</x:v>
      </x:c>
      <x:c r="F19" s="83" t="str">
        <x:v>Capacity context</x:v>
      </x:c>
      <x:c r="G19" s="83" t="str">
        <x:v>Complete</x:v>
      </x:c>
      <x:c r="H19" s="83" t="str">
        <x:v>Direct figure labels + render</x:v>
      </x:c>
      <x:c r="I19" s="83" t="str">
        <x:v>Includes storage in 330 GW total.</x:v>
      </x:c>
    </x:row>
    <x:row r="20">
      <x:c r="A20" s="83" t="str">
        <x:v>EXT-016</x:v>
      </x:c>
      <x:c r="B20" s="83" t="str">
        <x:v>S08</x:v>
      </x:c>
      <x:c r="C20" s="83" t="str">
        <x:v>PNIEC nuclear scenario assumptions</x:v>
      </x:c>
      <x:c r="D20" s="83" t="str">
        <x:v>PDF pages 90-93</x:v>
      </x:c>
      <x:c r="E20" s="83" t="str">
        <x:v>Narrative/Figures 6-8</x:v>
      </x:c>
      <x:c r="F20" s="83" t="str">
        <x:v>2050 policy cross-check</x:v>
      </x:c>
      <x:c r="G20" s="83" t="str">
        <x:v>Complete</x:v>
      </x:c>
      <x:c r="H20" s="83" t="str">
        <x:v>Direct narrative extraction</x:v>
      </x:c>
      <x:c r="I20" s="83" t="str">
        <x:v>8 GW mean, range 7.5-8.5; imports fixed 17.7 TWh.</x:v>
      </x:c>
    </x:row>
  </x:sheetData>
  <x:mergeCells>
    <x:mergeCell ref="A1:I1"/>
    <x:mergeCell ref="A2:I2"/>
  </x:mergeCells>
  <x:conditionalFormatting sqref="G5:G20">
    <x:cfRule type="expression" dxfId="22" priority="1">
      <x:formula>G5="Complete"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adccd95e86241d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48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48" hidden="0" customWidth="1"/>
    <x:col min="11" max="11" width="65" hidden="0" customWidth="1"/>
  </x:cols>
  <x:sheetData>
    <x:row r="1" ht="34" customHeight="1">
      <x:c r="A1" s="134" t="str">
        <x:v>Controlli di qualità — Fase 3A</x:v>
      </x:c>
      <x:c r="B1" s="134"/>
      <x:c r="C1" s="134"/>
      <x:c r="D1" s="134"/>
      <x:c r="E1" s="134"/>
      <x:c r="F1" s="134"/>
      <x:c r="G1" s="134"/>
      <x:c r="H1" s="134"/>
      <x:c r="I1" s="134"/>
      <x:c r="J1" s="134"/>
      <x:c r="K1" s="134"/>
    </x:row>
    <x:row r="2" ht="30" customHeight="1">
      <x:c r="A2" s="138" t="str">
        <x:v>38 controlli; formule ricalcolabili in Excel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</x:row>
    <x:row r="4" ht="38" customHeight="1">
      <x:c r="A4" s="140" t="str">
        <x:v>QA ID</x:v>
      </x:c>
      <x:c r="B4" s="140" t="str">
        <x:v>Scenario ID</x:v>
      </x:c>
      <x:c r="C4" s="140" t="str">
        <x:v>Controllo</x:v>
      </x:c>
      <x:c r="D4" s="140" t="str">
        <x:v>Metrica</x:v>
      </x:c>
      <x:c r="E4" s="140" t="str">
        <x:v>Atteso</x:v>
      </x:c>
      <x:c r="F4" s="140" t="str">
        <x:v>Calcolato</x:v>
      </x:c>
      <x:c r="G4" s="140" t="str">
        <x:v>Differenza</x:v>
      </x:c>
      <x:c r="H4" s="140" t="str">
        <x:v>Tolleranza</x:v>
      </x:c>
      <x:c r="I4" s="140" t="str">
        <x:v>Stato</x:v>
      </x:c>
      <x:c r="J4" s="140" t="str">
        <x:v>Note</x:v>
      </x:c>
      <x:c r="K4" s="140" t="str">
        <x:v>Logica</x:v>
      </x:c>
    </x:row>
    <x:row r="5">
      <x:c r="A5" s="83" t="str">
        <x:v>QA-001</x:v>
      </x:c>
      <x:c r="B5" s="83" t="str">
        <x:v>HIST_2023</x:v>
      </x:c>
      <x:c r="C5" s="83" t="str">
        <x:v>Zonal sum vs national</x:v>
      </x:c>
      <x:c r="D5" s="83" t="str">
        <x:v>Solar</x:v>
      </x:c>
      <x:c r="E5" s="143" t="n">
        <x:v>30.3</x:v>
      </x:c>
      <x:c r="F5" s="143" t="n">
        <x:f>SUMIFS('15_GEN_CAP_ZONAL'!$I:$I,'15_GEN_CAP_ZONAL'!$B:$B,$B5,'15_GEN_CAP_ZONAL'!$F:$F,$D5)</x:f>
        <x:v>30.299999999999997</x:v>
      </x:c>
      <x:c r="G5" s="143" t="n">
        <x:f>F5-E5</x:f>
        <x:v>-3.552713678800501e-15</x:v>
      </x:c>
      <x:c r="H5" s="143" t="n">
        <x:v>0.15</x:v>
      </x:c>
      <x:c r="I5" s="83" t="str">
        <x:f>IF(ABS(G5)&lt;=H5,"PASS","REVIEW")</x:f>
        <x:v>PASS</x:v>
      </x:c>
      <x:c r="J5" s="83" t="str">
        <x:v>Small differences may reflect source rounding at one decimal.</x:v>
      </x:c>
      <x:c r="K5" s="83" t="str">
        <x:v>Somma zonale per scenario e gruppo tecnologico</x:v>
      </x:c>
    </x:row>
    <x:row r="6">
      <x:c r="A6" s="83" t="str">
        <x:v>QA-002</x:v>
      </x:c>
      <x:c r="B6" s="83" t="str">
        <x:v>HIST_2023</x:v>
      </x:c>
      <x:c r="C6" s="83" t="str">
        <x:v>Zonal sum vs national</x:v>
      </x:c>
      <x:c r="D6" s="83" t="str">
        <x:v>Wind</x:v>
      </x:c>
      <x:c r="E6" s="143" t="n">
        <x:v>12.3</x:v>
      </x:c>
      <x:c r="F6" s="143" t="n">
        <x:f>SUMIFS('15_GEN_CAP_ZONAL'!$I:$I,'15_GEN_CAP_ZONAL'!$B:$B,$B6,'15_GEN_CAP_ZONAL'!$F:$F,$D6)</x:f>
        <x:v>12.399999999999999</x:v>
      </x:c>
      <x:c r="G6" s="143" t="n">
        <x:f>F6-E6</x:f>
        <x:v>0.09999999999999787</x:v>
      </x:c>
      <x:c r="H6" s="143" t="n">
        <x:v>0.15</x:v>
      </x:c>
      <x:c r="I6" s="83" t="str">
        <x:f>IF(ABS(G6)&lt;=H6,"PASS","REVIEW")</x:f>
        <x:v>PASS</x:v>
      </x:c>
      <x:c r="J6" s="83" t="str">
        <x:v>Small differences may reflect source rounding at one decimal.</x:v>
      </x:c>
      <x:c r="K6" s="83" t="str">
        <x:v>Somma zonale per scenario e gruppo tecnologico</x:v>
      </x:c>
    </x:row>
    <x:row r="7">
      <x:c r="A7" s="83" t="str">
        <x:v>QA-003</x:v>
      </x:c>
      <x:c r="B7" s="83" t="str">
        <x:v>PNIEC_POLICY_2030</x:v>
      </x:c>
      <x:c r="C7" s="83" t="str">
        <x:v>Zonal sum vs national</x:v>
      </x:c>
      <x:c r="D7" s="83" t="str">
        <x:v>Solar</x:v>
      </x:c>
      <x:c r="E7" s="143" t="n">
        <x:v>79.3</x:v>
      </x:c>
      <x:c r="F7" s="143" t="n">
        <x:f>SUMIFS('15_GEN_CAP_ZONAL'!$I:$I,'15_GEN_CAP_ZONAL'!$B:$B,$B7,'15_GEN_CAP_ZONAL'!$F:$F,$D7)</x:f>
        <x:v>79.09999999999997</x:v>
      </x:c>
      <x:c r="G7" s="143" t="n">
        <x:f>F7-E7</x:f>
        <x:v>-0.20000000000003126</x:v>
      </x:c>
      <x:c r="H7" s="143" t="n">
        <x:v>0.15</x:v>
      </x:c>
      <x:c r="I7" s="83" t="str">
        <x:f>IF(ABS(G7)&lt;=H7,"PASS","REVIEW")</x:f>
        <x:v>REVIEW</x:v>
      </x:c>
      <x:c r="J7" s="83" t="str">
        <x:v>Small differences may reflect source rounding at one decimal.</x:v>
      </x:c>
      <x:c r="K7" s="83" t="str">
        <x:v>Somma zonale per scenario e gruppo tecnologico</x:v>
      </x:c>
    </x:row>
    <x:row r="8">
      <x:c r="A8" s="83" t="str">
        <x:v>QA-004</x:v>
      </x:c>
      <x:c r="B8" s="83" t="str">
        <x:v>PNIEC_POLICY_2030</x:v>
      </x:c>
      <x:c r="C8" s="83" t="str">
        <x:v>Zonal sum vs national</x:v>
      </x:c>
      <x:c r="D8" s="83" t="str">
        <x:v>Wind</x:v>
      </x:c>
      <x:c r="E8" s="143" t="n">
        <x:v>28.1</x:v>
      </x:c>
      <x:c r="F8" s="143" t="n">
        <x:f>SUMIFS('15_GEN_CAP_ZONAL'!$I:$I,'15_GEN_CAP_ZONAL'!$B:$B,$B8,'15_GEN_CAP_ZONAL'!$F:$F,$D8)</x:f>
        <x:v>28.100000000000005</x:v>
      </x:c>
      <x:c r="G8" s="143" t="n">
        <x:f>F8-E8</x:f>
        <x:v>3.552713678800501e-15</x:v>
      </x:c>
      <x:c r="H8" s="143" t="n">
        <x:v>0.15</x:v>
      </x:c>
      <x:c r="I8" s="83" t="str">
        <x:f>IF(ABS(G8)&lt;=H8,"PASS","REVIEW")</x:f>
        <x:v>PASS</x:v>
      </x:c>
      <x:c r="J8" s="83" t="str">
        <x:v>Small differences may reflect source rounding at one decimal.</x:v>
      </x:c>
      <x:c r="K8" s="83" t="str">
        <x:v>Somma zonale per scenario e gruppo tecnologico</x:v>
      </x:c>
    </x:row>
    <x:row r="9">
      <x:c r="A9" s="83" t="str">
        <x:v>QA-005</x:v>
      </x:c>
      <x:c r="B9" s="83" t="str">
        <x:v>PNIEC_SLOW_2030</x:v>
      </x:c>
      <x:c r="C9" s="83" t="str">
        <x:v>Zonal sum vs national</x:v>
      </x:c>
      <x:c r="D9" s="83" t="str">
        <x:v>Solar</x:v>
      </x:c>
      <x:c r="E9" s="143" t="n">
        <x:v>70.6</x:v>
      </x:c>
      <x:c r="F9" s="143" t="n">
        <x:f>SUMIFS('15_GEN_CAP_ZONAL'!$I:$I,'15_GEN_CAP_ZONAL'!$B:$B,$B9,'15_GEN_CAP_ZONAL'!$F:$F,$D9)</x:f>
        <x:v>70.49999999999999</x:v>
      </x:c>
      <x:c r="G9" s="143" t="n">
        <x:f>F9-E9</x:f>
        <x:v>-0.10000000000000853</x:v>
      </x:c>
      <x:c r="H9" s="143" t="n">
        <x:v>0.15</x:v>
      </x:c>
      <x:c r="I9" s="83" t="str">
        <x:f>IF(ABS(G9)&lt;=H9,"PASS","REVIEW")</x:f>
        <x:v>PASS</x:v>
      </x:c>
      <x:c r="J9" s="83" t="str">
        <x:v>Small differences may reflect source rounding at one decimal.</x:v>
      </x:c>
      <x:c r="K9" s="83" t="str">
        <x:v>Somma zonale per scenario e gruppo tecnologico</x:v>
      </x:c>
    </x:row>
    <x:row r="10">
      <x:c r="A10" s="83" t="str">
        <x:v>QA-006</x:v>
      </x:c>
      <x:c r="B10" s="83" t="str">
        <x:v>PNIEC_SLOW_2030</x:v>
      </x:c>
      <x:c r="C10" s="83" t="str">
        <x:v>Zonal sum vs national</x:v>
      </x:c>
      <x:c r="D10" s="83" t="str">
        <x:v>Wind</x:v>
      </x:c>
      <x:c r="E10" s="143" t="n">
        <x:v>21.9</x:v>
      </x:c>
      <x:c r="F10" s="143" t="n">
        <x:f>SUMIFS('15_GEN_CAP_ZONAL'!$I:$I,'15_GEN_CAP_ZONAL'!$B:$B,$B10,'15_GEN_CAP_ZONAL'!$F:$F,$D10)</x:f>
        <x:v>21.800000000000004</x:v>
      </x:c>
      <x:c r="G10" s="143" t="n">
        <x:f>F10-E10</x:f>
        <x:v>-0.09999999999999432</x:v>
      </x:c>
      <x:c r="H10" s="143" t="n">
        <x:v>0.15</x:v>
      </x:c>
      <x:c r="I10" s="83" t="str">
        <x:f>IF(ABS(G10)&lt;=H10,"PASS","REVIEW")</x:f>
        <x:v>PASS</x:v>
      </x:c>
      <x:c r="J10" s="83" t="str">
        <x:v>Small differences may reflect source rounding at one decimal.</x:v>
      </x:c>
      <x:c r="K10" s="83" t="str">
        <x:v>Somma zonale per scenario e gruppo tecnologico</x:v>
      </x:c>
    </x:row>
    <x:row r="11">
      <x:c r="A11" s="83" t="str">
        <x:v>QA-007</x:v>
      </x:c>
      <x:c r="B11" s="83" t="str">
        <x:v>DE_IT_2035</x:v>
      </x:c>
      <x:c r="C11" s="83" t="str">
        <x:v>Zonal sum vs national</x:v>
      </x:c>
      <x:c r="D11" s="83" t="str">
        <x:v>Solar</x:v>
      </x:c>
      <x:c r="E11" s="143" t="n">
        <x:v>100</x:v>
      </x:c>
      <x:c r="F11" s="143" t="n">
        <x:f>SUMIFS('15_GEN_CAP_ZONAL'!$I:$I,'15_GEN_CAP_ZONAL'!$B:$B,$B11,'15_GEN_CAP_ZONAL'!$F:$F,$D11)</x:f>
        <x:v>100.00000000000001</x:v>
      </x:c>
      <x:c r="G11" s="143" t="n">
        <x:f>F11-E11</x:f>
        <x:v>1.4210854715202004e-14</x:v>
      </x:c>
      <x:c r="H11" s="143" t="n">
        <x:v>0.15</x:v>
      </x:c>
      <x:c r="I11" s="83" t="str">
        <x:f>IF(ABS(G11)&lt;=H11,"PASS","REVIEW")</x:f>
        <x:v>PASS</x:v>
      </x:c>
      <x:c r="J11" s="83" t="str">
        <x:v>Small differences may reflect source rounding at one decimal.</x:v>
      </x:c>
      <x:c r="K11" s="83" t="str">
        <x:v>Somma zonale per scenario e gruppo tecnologico</x:v>
      </x:c>
    </x:row>
    <x:row r="12">
      <x:c r="A12" s="83" t="str">
        <x:v>QA-008</x:v>
      </x:c>
      <x:c r="B12" s="83" t="str">
        <x:v>DE_IT_2035</x:v>
      </x:c>
      <x:c r="C12" s="83" t="str">
        <x:v>Zonal sum vs national</x:v>
      </x:c>
      <x:c r="D12" s="83" t="str">
        <x:v>Wind</x:v>
      </x:c>
      <x:c r="E12" s="143" t="n">
        <x:v>37.1</x:v>
      </x:c>
      <x:c r="F12" s="143" t="n">
        <x:f>SUMIFS('15_GEN_CAP_ZONAL'!$I:$I,'15_GEN_CAP_ZONAL'!$B:$B,$B12,'15_GEN_CAP_ZONAL'!$F:$F,$D12)</x:f>
        <x:v>37.099999999999994</x:v>
      </x:c>
      <x:c r="G12" s="143" t="n">
        <x:f>F12-E12</x:f>
        <x:v>-7.105427357601002e-15</x:v>
      </x:c>
      <x:c r="H12" s="143" t="n">
        <x:v>0.15</x:v>
      </x:c>
      <x:c r="I12" s="83" t="str">
        <x:f>IF(ABS(G12)&lt;=H12,"PASS","REVIEW")</x:f>
        <x:v>PASS</x:v>
      </x:c>
      <x:c r="J12" s="83" t="str">
        <x:v>Small differences may reflect source rounding at one decimal.</x:v>
      </x:c>
      <x:c r="K12" s="83" t="str">
        <x:v>Somma zonale per scenario e gruppo tecnologico</x:v>
      </x:c>
    </x:row>
    <x:row r="13">
      <x:c r="A13" s="83" t="str">
        <x:v>QA-009</x:v>
      </x:c>
      <x:c r="B13" s="83" t="str">
        <x:v>GA_IT_2035</x:v>
      </x:c>
      <x:c r="C13" s="83" t="str">
        <x:v>Zonal sum vs national</x:v>
      </x:c>
      <x:c r="D13" s="83" t="str">
        <x:v>Solar</x:v>
      </x:c>
      <x:c r="E13" s="143" t="n">
        <x:v>95</x:v>
      </x:c>
      <x:c r="F13" s="143" t="n">
        <x:f>SUMIFS('15_GEN_CAP_ZONAL'!$I:$I,'15_GEN_CAP_ZONAL'!$B:$B,$B13,'15_GEN_CAP_ZONAL'!$F:$F,$D13)</x:f>
        <x:v>95.09999999999998</x:v>
      </x:c>
      <x:c r="G13" s="143" t="n">
        <x:f>F13-E13</x:f>
        <x:v>0.0999999999999801</x:v>
      </x:c>
      <x:c r="H13" s="143" t="n">
        <x:v>0.15</x:v>
      </x:c>
      <x:c r="I13" s="83" t="str">
        <x:f>IF(ABS(G13)&lt;=H13,"PASS","REVIEW")</x:f>
        <x:v>PASS</x:v>
      </x:c>
      <x:c r="J13" s="83" t="str">
        <x:v>Small differences may reflect source rounding at one decimal.</x:v>
      </x:c>
      <x:c r="K13" s="83" t="str">
        <x:v>Somma zonale per scenario e gruppo tecnologico</x:v>
      </x:c>
    </x:row>
    <x:row r="14">
      <x:c r="A14" s="83" t="str">
        <x:v>QA-010</x:v>
      </x:c>
      <x:c r="B14" s="83" t="str">
        <x:v>GA_IT_2035</x:v>
      </x:c>
      <x:c r="C14" s="83" t="str">
        <x:v>Zonal sum vs national</x:v>
      </x:c>
      <x:c r="D14" s="83" t="str">
        <x:v>Wind</x:v>
      </x:c>
      <x:c r="E14" s="143" t="n">
        <x:v>33.8</x:v>
      </x:c>
      <x:c r="F14" s="143" t="n">
        <x:f>SUMIFS('15_GEN_CAP_ZONAL'!$I:$I,'15_GEN_CAP_ZONAL'!$B:$B,$B14,'15_GEN_CAP_ZONAL'!$F:$F,$D14)</x:f>
        <x:v>34</x:v>
      </x:c>
      <x:c r="G14" s="143" t="n">
        <x:f>F14-E14</x:f>
        <x:v>0.20000000000000284</x:v>
      </x:c>
      <x:c r="H14" s="143" t="n">
        <x:v>0.15</x:v>
      </x:c>
      <x:c r="I14" s="83" t="str">
        <x:f>IF(ABS(G14)&lt;=H14,"PASS","REVIEW")</x:f>
        <x:v>REVIEW</x:v>
      </x:c>
      <x:c r="J14" s="83" t="str">
        <x:v>Small differences may reflect source rounding at one decimal.</x:v>
      </x:c>
      <x:c r="K14" s="83" t="str">
        <x:v>Somma zonale per scenario e gruppo tecnologico</x:v>
      </x:c>
    </x:row>
    <x:row r="15">
      <x:c r="A15" s="83" t="str">
        <x:v>QA-011</x:v>
      </x:c>
      <x:c r="B15" s="83" t="str">
        <x:v>PNIEC_SLOW_2035</x:v>
      </x:c>
      <x:c r="C15" s="83" t="str">
        <x:v>Zonal sum vs national</x:v>
      </x:c>
      <x:c r="D15" s="83" t="str">
        <x:v>Solar</x:v>
      </x:c>
      <x:c r="E15" s="143" t="n">
        <x:v>87</x:v>
      </x:c>
      <x:c r="F15" s="143" t="n">
        <x:f>SUMIFS('15_GEN_CAP_ZONAL'!$I:$I,'15_GEN_CAP_ZONAL'!$B:$B,$B15,'15_GEN_CAP_ZONAL'!$F:$F,$D15)</x:f>
        <x:v>87.00000000000001</x:v>
      </x:c>
      <x:c r="G15" s="143" t="n">
        <x:f>F15-E15</x:f>
        <x:v>1.4210854715202004e-14</x:v>
      </x:c>
      <x:c r="H15" s="143" t="n">
        <x:v>0.15</x:v>
      </x:c>
      <x:c r="I15" s="83" t="str">
        <x:f>IF(ABS(G15)&lt;=H15,"PASS","REVIEW")</x:f>
        <x:v>PASS</x:v>
      </x:c>
      <x:c r="J15" s="83" t="str">
        <x:v>Small differences may reflect source rounding at one decimal.</x:v>
      </x:c>
      <x:c r="K15" s="83" t="str">
        <x:v>Somma zonale per scenario e gruppo tecnologico</x:v>
      </x:c>
    </x:row>
    <x:row r="16">
      <x:c r="A16" s="83" t="str">
        <x:v>QA-012</x:v>
      </x:c>
      <x:c r="B16" s="83" t="str">
        <x:v>PNIEC_SLOW_2035</x:v>
      </x:c>
      <x:c r="C16" s="83" t="str">
        <x:v>Zonal sum vs national</x:v>
      </x:c>
      <x:c r="D16" s="83" t="str">
        <x:v>Wind</x:v>
      </x:c>
      <x:c r="E16" s="143" t="n">
        <x:v>29.3</x:v>
      </x:c>
      <x:c r="F16" s="143" t="n">
        <x:f>SUMIFS('15_GEN_CAP_ZONAL'!$I:$I,'15_GEN_CAP_ZONAL'!$B:$B,$B16,'15_GEN_CAP_ZONAL'!$F:$F,$D16)</x:f>
        <x:v>29.200000000000003</x:v>
      </x:c>
      <x:c r="G16" s="143" t="n">
        <x:f>F16-E16</x:f>
        <x:v>-0.09999999999999787</x:v>
      </x:c>
      <x:c r="H16" s="143" t="n">
        <x:v>0.15</x:v>
      </x:c>
      <x:c r="I16" s="83" t="str">
        <x:f>IF(ABS(G16)&lt;=H16,"PASS","REVIEW")</x:f>
        <x:v>PASS</x:v>
      </x:c>
      <x:c r="J16" s="83" t="str">
        <x:v>Small differences may reflect source rounding at one decimal.</x:v>
      </x:c>
      <x:c r="K16" s="83" t="str">
        <x:v>Somma zonale per scenario e gruppo tecnologico</x:v>
      </x:c>
    </x:row>
    <x:row r="17">
      <x:c r="A17" s="83" t="str">
        <x:v>QA-013</x:v>
      </x:c>
      <x:c r="B17" s="83" t="str">
        <x:v>DE_IT_2040</x:v>
      </x:c>
      <x:c r="C17" s="83" t="str">
        <x:v>Zonal sum vs national</x:v>
      </x:c>
      <x:c r="D17" s="83" t="str">
        <x:v>Solar</x:v>
      </x:c>
      <x:c r="E17" s="143" t="n">
        <x:v>121</x:v>
      </x:c>
      <x:c r="F17" s="143" t="n">
        <x:f>SUMIFS('15_GEN_CAP_ZONAL'!$I:$I,'15_GEN_CAP_ZONAL'!$B:$B,$B17,'15_GEN_CAP_ZONAL'!$F:$F,$D17)</x:f>
        <x:v>120.89999999999999</x:v>
      </x:c>
      <x:c r="G17" s="143" t="n">
        <x:f>F17-E17</x:f>
        <x:v>-0.10000000000000853</x:v>
      </x:c>
      <x:c r="H17" s="143" t="n">
        <x:v>0.15</x:v>
      </x:c>
      <x:c r="I17" s="83" t="str">
        <x:f>IF(ABS(G17)&lt;=H17,"PASS","REVIEW")</x:f>
        <x:v>PASS</x:v>
      </x:c>
      <x:c r="J17" s="83" t="str">
        <x:v>Small differences may reflect source rounding at one decimal.</x:v>
      </x:c>
      <x:c r="K17" s="83" t="str">
        <x:v>Somma zonale per scenario e gruppo tecnologico</x:v>
      </x:c>
    </x:row>
    <x:row r="18">
      <x:c r="A18" s="83" t="str">
        <x:v>QA-014</x:v>
      </x:c>
      <x:c r="B18" s="83" t="str">
        <x:v>DE_IT_2040</x:v>
      </x:c>
      <x:c r="C18" s="83" t="str">
        <x:v>Zonal sum vs national</x:v>
      </x:c>
      <x:c r="D18" s="83" t="str">
        <x:v>Wind</x:v>
      </x:c>
      <x:c r="E18" s="143" t="n">
        <x:v>49.1</x:v>
      </x:c>
      <x:c r="F18" s="143" t="n">
        <x:f>SUMIFS('15_GEN_CAP_ZONAL'!$I:$I,'15_GEN_CAP_ZONAL'!$B:$B,$B18,'15_GEN_CAP_ZONAL'!$F:$F,$D18)</x:f>
        <x:v>49.3</x:v>
      </x:c>
      <x:c r="G18" s="143" t="n">
        <x:f>F18-E18</x:f>
        <x:v>0.19999999999999574</x:v>
      </x:c>
      <x:c r="H18" s="143" t="n">
        <x:v>0.15</x:v>
      </x:c>
      <x:c r="I18" s="83" t="str">
        <x:f>IF(ABS(G18)&lt;=H18,"PASS","REVIEW")</x:f>
        <x:v>REVIEW</x:v>
      </x:c>
      <x:c r="J18" s="83" t="str">
        <x:v>Small differences may reflect source rounding at one decimal.</x:v>
      </x:c>
      <x:c r="K18" s="83" t="str">
        <x:v>Somma zonale per scenario e gruppo tecnologico</x:v>
      </x:c>
    </x:row>
    <x:row r="19">
      <x:c r="A19" s="83" t="str">
        <x:v>QA-015</x:v>
      </x:c>
      <x:c r="B19" s="83" t="str">
        <x:v>GA_IT_2040</x:v>
      </x:c>
      <x:c r="C19" s="83" t="str">
        <x:v>Zonal sum vs national</x:v>
      </x:c>
      <x:c r="D19" s="83" t="str">
        <x:v>Solar</x:v>
      </x:c>
      <x:c r="E19" s="143" t="n">
        <x:v>111</x:v>
      </x:c>
      <x:c r="F19" s="143" t="n">
        <x:f>SUMIFS('15_GEN_CAP_ZONAL'!$I:$I,'15_GEN_CAP_ZONAL'!$B:$B,$B19,'15_GEN_CAP_ZONAL'!$F:$F,$D19)</x:f>
        <x:v>111.1</x:v>
      </x:c>
      <x:c r="G19" s="143" t="n">
        <x:f>F19-E19</x:f>
        <x:v>0.09999999999999432</x:v>
      </x:c>
      <x:c r="H19" s="143" t="n">
        <x:v>0.15</x:v>
      </x:c>
      <x:c r="I19" s="83" t="str">
        <x:f>IF(ABS(G19)&lt;=H19,"PASS","REVIEW")</x:f>
        <x:v>PASS</x:v>
      </x:c>
      <x:c r="J19" s="83" t="str">
        <x:v>Small differences may reflect source rounding at one decimal.</x:v>
      </x:c>
      <x:c r="K19" s="83" t="str">
        <x:v>Somma zonale per scenario e gruppo tecnologico</x:v>
      </x:c>
    </x:row>
    <x:row r="20">
      <x:c r="A20" s="83" t="str">
        <x:v>QA-016</x:v>
      </x:c>
      <x:c r="B20" s="83" t="str">
        <x:v>GA_IT_2040</x:v>
      </x:c>
      <x:c r="C20" s="83" t="str">
        <x:v>Zonal sum vs national</x:v>
      </x:c>
      <x:c r="D20" s="83" t="str">
        <x:v>Wind</x:v>
      </x:c>
      <x:c r="E20" s="143" t="n">
        <x:v>43.1</x:v>
      </x:c>
      <x:c r="F20" s="143" t="n">
        <x:f>SUMIFS('15_GEN_CAP_ZONAL'!$I:$I,'15_GEN_CAP_ZONAL'!$B:$B,$B20,'15_GEN_CAP_ZONAL'!$F:$F,$D20)</x:f>
        <x:v>43</x:v>
      </x:c>
      <x:c r="G20" s="143" t="n">
        <x:f>F20-E20</x:f>
        <x:v>-0.10000000000000142</x:v>
      </x:c>
      <x:c r="H20" s="143" t="n">
        <x:v>0.15</x:v>
      </x:c>
      <x:c r="I20" s="83" t="str">
        <x:f>IF(ABS(G20)&lt;=H20,"PASS","REVIEW")</x:f>
        <x:v>PASS</x:v>
      </x:c>
      <x:c r="J20" s="83" t="str">
        <x:v>Small differences may reflect source rounding at one decimal.</x:v>
      </x:c>
      <x:c r="K20" s="83" t="str">
        <x:v>Somma zonale per scenario e gruppo tecnologico</x:v>
      </x:c>
    </x:row>
    <x:row r="21">
      <x:c r="A21" s="83" t="str">
        <x:v>QA-017</x:v>
      </x:c>
      <x:c r="B21" s="83" t="str">
        <x:v>PNIEC_SLOW_2040</x:v>
      </x:c>
      <x:c r="C21" s="83" t="str">
        <x:v>Zonal sum vs national</x:v>
      </x:c>
      <x:c r="D21" s="83" t="str">
        <x:v>Solar</x:v>
      </x:c>
      <x:c r="E21" s="143" t="n">
        <x:v>105.1</x:v>
      </x:c>
      <x:c r="F21" s="143" t="n">
        <x:f>SUMIFS('15_GEN_CAP_ZONAL'!$I:$I,'15_GEN_CAP_ZONAL'!$B:$B,$B21,'15_GEN_CAP_ZONAL'!$F:$F,$D21)</x:f>
        <x:v>105.19999999999999</x:v>
      </x:c>
      <x:c r="G21" s="143" t="n">
        <x:f>F21-E21</x:f>
        <x:v>0.09999999999999432</x:v>
      </x:c>
      <x:c r="H21" s="143" t="n">
        <x:v>0.15</x:v>
      </x:c>
      <x:c r="I21" s="83" t="str">
        <x:f>IF(ABS(G21)&lt;=H21,"PASS","REVIEW")</x:f>
        <x:v>PASS</x:v>
      </x:c>
      <x:c r="J21" s="83" t="str">
        <x:v>Small differences may reflect source rounding at one decimal.</x:v>
      </x:c>
      <x:c r="K21" s="83" t="str">
        <x:v>Somma zonale per scenario e gruppo tecnologico</x:v>
      </x:c>
    </x:row>
    <x:row r="22">
      <x:c r="A22" s="83" t="str">
        <x:v>QA-018</x:v>
      </x:c>
      <x:c r="B22" s="83" t="str">
        <x:v>PNIEC_SLOW_2040</x:v>
      </x:c>
      <x:c r="C22" s="83" t="str">
        <x:v>Zonal sum vs national</x:v>
      </x:c>
      <x:c r="D22" s="83" t="str">
        <x:v>Wind</x:v>
      </x:c>
      <x:c r="E22" s="143" t="n">
        <x:v>39</x:v>
      </x:c>
      <x:c r="F22" s="143" t="n">
        <x:f>SUMIFS('15_GEN_CAP_ZONAL'!$I:$I,'15_GEN_CAP_ZONAL'!$B:$B,$B22,'15_GEN_CAP_ZONAL'!$F:$F,$D22)</x:f>
        <x:v>39.099999999999994</x:v>
      </x:c>
      <x:c r="G22" s="143" t="n">
        <x:f>F22-E22</x:f>
        <x:v>0.09999999999999432</x:v>
      </x:c>
      <x:c r="H22" s="143" t="n">
        <x:v>0.15</x:v>
      </x:c>
      <x:c r="I22" s="83" t="str">
        <x:f>IF(ABS(G22)&lt;=H22,"PASS","REVIEW")</x:f>
        <x:v>PASS</x:v>
      </x:c>
      <x:c r="J22" s="83" t="str">
        <x:v>Small differences may reflect source rounding at one decimal.</x:v>
      </x:c>
      <x:c r="K22" s="83" t="str">
        <x:v>Somma zonale per scenario e gruppo tecnologico</x:v>
      </x:c>
    </x:row>
    <x:row r="23">
      <x:c r="A23" s="83" t="str">
        <x:v>QA-019</x:v>
      </x:c>
      <x:c r="B23" s="83" t="str">
        <x:v>HIST_2023</x:v>
      </x:c>
      <x:c r="C23" s="83" t="str">
        <x:v>Demand accounting</x:v>
      </x:c>
      <x:c r="D23" s="83" t="str">
        <x:v>Usi finali + usi energetici + perdite</x:v>
      </x:c>
      <x:c r="E23" s="143" t="n">
        <x:v>305.6</x:v>
      </x:c>
      <x:c r="F23" s="143" t="n">
        <x:f>SUMIFS('11_DEMAND_TOTAL'!$F:$F,'11_DEMAND_TOTAL'!$B:$B,$B23,'11_DEMAND_TOTAL'!$E:$E,"Usi finali")+SUMIFS('11_DEMAND_TOTAL'!$F:$F,'11_DEMAND_TOTAL'!$B:$B,$B23,'11_DEMAND_TOTAL'!$E:$E,"Usi energetici")+SUMIFS('11_DEMAND_TOTAL'!$F:$F,'11_DEMAND_TOTAL'!$B:$B,$B23,'11_DEMAND_TOTAL'!$E:$E,"Perdite di rete")</x:f>
        <x:v>305.5</x:v>
      </x:c>
      <x:c r="G23" s="143" t="n">
        <x:f>F23-E23</x:f>
        <x:v>-0.10000000000002274</x:v>
      </x:c>
      <x:c r="H23" s="143" t="n">
        <x:v>0.15</x:v>
      </x:c>
      <x:c r="I23" s="83" t="str">
        <x:f>IF(ABS(G23)&lt;=H23,"PASS","REVIEW")</x:f>
        <x:v>PASS</x:v>
      </x:c>
      <x:c r="J23" s="83" t="str">
        <x:v>Source values rounded to one decimal.</x:v>
      </x:c>
      <x:c r="K23" s="83" t="str">
        <x:v>Usi finali + usi energetici + perdite</x:v>
      </x:c>
    </x:row>
    <x:row r="24">
      <x:c r="A24" s="83" t="str">
        <x:v>QA-020</x:v>
      </x:c>
      <x:c r="B24" s="83" t="str">
        <x:v>PNIEC_POLICY_2030</x:v>
      </x:c>
      <x:c r="C24" s="83" t="str">
        <x:v>Demand accounting</x:v>
      </x:c>
      <x:c r="D24" s="83" t="str">
        <x:v>Usi finali + usi energetici + perdite</x:v>
      </x:c>
      <x:c r="E24" s="143" t="n">
        <x:v>361.9</x:v>
      </x:c>
      <x:c r="F24" s="143" t="n">
        <x:f>SUMIFS('11_DEMAND_TOTAL'!$F:$F,'11_DEMAND_TOTAL'!$B:$B,$B24,'11_DEMAND_TOTAL'!$E:$E,"Usi finali")+SUMIFS('11_DEMAND_TOTAL'!$F:$F,'11_DEMAND_TOTAL'!$B:$B,$B24,'11_DEMAND_TOTAL'!$E:$E,"Usi energetici")+SUMIFS('11_DEMAND_TOTAL'!$F:$F,'11_DEMAND_TOTAL'!$B:$B,$B24,'11_DEMAND_TOTAL'!$E:$E,"Perdite di rete")</x:f>
        <x:v>361.9</x:v>
      </x:c>
      <x:c r="G24" s="143" t="n">
        <x:f>F24-E24</x:f>
        <x:v>0</x:v>
      </x:c>
      <x:c r="H24" s="143" t="n">
        <x:v>0.15</x:v>
      </x:c>
      <x:c r="I24" s="83" t="str">
        <x:f>IF(ABS(G24)&lt;=H24,"PASS","REVIEW")</x:f>
        <x:v>PASS</x:v>
      </x:c>
      <x:c r="J24" s="83" t="str">
        <x:v>Source values rounded to one decimal.</x:v>
      </x:c>
      <x:c r="K24" s="83" t="str">
        <x:v>Usi finali + usi energetici + perdite</x:v>
      </x:c>
    </x:row>
    <x:row r="25">
      <x:c r="A25" s="83" t="str">
        <x:v>QA-021</x:v>
      </x:c>
      <x:c r="B25" s="83" t="str">
        <x:v>PNIEC_SLOW_2030</x:v>
      </x:c>
      <x:c r="C25" s="83" t="str">
        <x:v>Demand accounting</x:v>
      </x:c>
      <x:c r="D25" s="83" t="str">
        <x:v>Usi finali + usi energetici + perdite</x:v>
      </x:c>
      <x:c r="E25" s="143" t="n">
        <x:v>346.6</x:v>
      </x:c>
      <x:c r="F25" s="143" t="n">
        <x:f>SUMIFS('11_DEMAND_TOTAL'!$F:$F,'11_DEMAND_TOTAL'!$B:$B,$B25,'11_DEMAND_TOTAL'!$E:$E,"Usi finali")+SUMIFS('11_DEMAND_TOTAL'!$F:$F,'11_DEMAND_TOTAL'!$B:$B,$B25,'11_DEMAND_TOTAL'!$E:$E,"Usi energetici")+SUMIFS('11_DEMAND_TOTAL'!$F:$F,'11_DEMAND_TOTAL'!$B:$B,$B25,'11_DEMAND_TOTAL'!$E:$E,"Perdite di rete")</x:f>
        <x:v>346.6</x:v>
      </x:c>
      <x:c r="G25" s="143" t="n">
        <x:f>F25-E25</x:f>
        <x:v>0</x:v>
      </x:c>
      <x:c r="H25" s="143" t="n">
        <x:v>0.15</x:v>
      </x:c>
      <x:c r="I25" s="83" t="str">
        <x:f>IF(ABS(G25)&lt;=H25,"PASS","REVIEW")</x:f>
        <x:v>PASS</x:v>
      </x:c>
      <x:c r="J25" s="83" t="str">
        <x:v>Source values rounded to one decimal.</x:v>
      </x:c>
      <x:c r="K25" s="83" t="str">
        <x:v>Usi finali + usi energetici + perdite</x:v>
      </x:c>
    </x:row>
    <x:row r="26">
      <x:c r="A26" s="83" t="str">
        <x:v>QA-022</x:v>
      </x:c>
      <x:c r="B26" s="83" t="str">
        <x:v>DE_IT_2035</x:v>
      </x:c>
      <x:c r="C26" s="83" t="str">
        <x:v>Demand accounting</x:v>
      </x:c>
      <x:c r="D26" s="83" t="str">
        <x:v>Usi finali + usi energetici + perdite</x:v>
      </x:c>
      <x:c r="E26" s="143" t="n">
        <x:v>396.9</x:v>
      </x:c>
      <x:c r="F26" s="143" t="n">
        <x:f>SUMIFS('11_DEMAND_TOTAL'!$F:$F,'11_DEMAND_TOTAL'!$B:$B,$B26,'11_DEMAND_TOTAL'!$E:$E,"Usi finali")+SUMIFS('11_DEMAND_TOTAL'!$F:$F,'11_DEMAND_TOTAL'!$B:$B,$B26,'11_DEMAND_TOTAL'!$E:$E,"Usi energetici")+SUMIFS('11_DEMAND_TOTAL'!$F:$F,'11_DEMAND_TOTAL'!$B:$B,$B26,'11_DEMAND_TOTAL'!$E:$E,"Perdite di rete")</x:f>
        <x:v>396.9</x:v>
      </x:c>
      <x:c r="G26" s="143" t="n">
        <x:f>F26-E26</x:f>
        <x:v>0</x:v>
      </x:c>
      <x:c r="H26" s="143" t="n">
        <x:v>0.15</x:v>
      </x:c>
      <x:c r="I26" s="83" t="str">
        <x:f>IF(ABS(G26)&lt;=H26,"PASS","REVIEW")</x:f>
        <x:v>PASS</x:v>
      </x:c>
      <x:c r="J26" s="83" t="str">
        <x:v>Source values rounded to one decimal.</x:v>
      </x:c>
      <x:c r="K26" s="83" t="str">
        <x:v>Usi finali + usi energetici + perdite</x:v>
      </x:c>
    </x:row>
    <x:row r="27">
      <x:c r="A27" s="83" t="str">
        <x:v>QA-023</x:v>
      </x:c>
      <x:c r="B27" s="83" t="str">
        <x:v>GA_IT_2035</x:v>
      </x:c>
      <x:c r="C27" s="83" t="str">
        <x:v>Demand accounting</x:v>
      </x:c>
      <x:c r="D27" s="83" t="str">
        <x:v>Usi finali + usi energetici + perdite</x:v>
      </x:c>
      <x:c r="E27" s="143" t="n">
        <x:v>385</x:v>
      </x:c>
      <x:c r="F27" s="143" t="n">
        <x:f>SUMIFS('11_DEMAND_TOTAL'!$F:$F,'11_DEMAND_TOTAL'!$B:$B,$B27,'11_DEMAND_TOTAL'!$E:$E,"Usi finali")+SUMIFS('11_DEMAND_TOTAL'!$F:$F,'11_DEMAND_TOTAL'!$B:$B,$B27,'11_DEMAND_TOTAL'!$E:$E,"Usi energetici")+SUMIFS('11_DEMAND_TOTAL'!$F:$F,'11_DEMAND_TOTAL'!$B:$B,$B27,'11_DEMAND_TOTAL'!$E:$E,"Perdite di rete")</x:f>
        <x:v>385</x:v>
      </x:c>
      <x:c r="G27" s="143" t="n">
        <x:f>F27-E27</x:f>
        <x:v>0</x:v>
      </x:c>
      <x:c r="H27" s="143" t="n">
        <x:v>0.15</x:v>
      </x:c>
      <x:c r="I27" s="83" t="str">
        <x:f>IF(ABS(G27)&lt;=H27,"PASS","REVIEW")</x:f>
        <x:v>PASS</x:v>
      </x:c>
      <x:c r="J27" s="83" t="str">
        <x:v>Source values rounded to one decimal.</x:v>
      </x:c>
      <x:c r="K27" s="83" t="str">
        <x:v>Usi finali + usi energetici + perdite</x:v>
      </x:c>
    </x:row>
    <x:row r="28">
      <x:c r="A28" s="83" t="str">
        <x:v>QA-024</x:v>
      </x:c>
      <x:c r="B28" s="83" t="str">
        <x:v>PNIEC_SLOW_2035</x:v>
      </x:c>
      <x:c r="C28" s="83" t="str">
        <x:v>Demand accounting</x:v>
      </x:c>
      <x:c r="D28" s="83" t="str">
        <x:v>Usi finali + usi energetici + perdite</x:v>
      </x:c>
      <x:c r="E28" s="143" t="n">
        <x:v>375.5</x:v>
      </x:c>
      <x:c r="F28" s="143" t="n">
        <x:f>SUMIFS('11_DEMAND_TOTAL'!$F:$F,'11_DEMAND_TOTAL'!$B:$B,$B28,'11_DEMAND_TOTAL'!$E:$E,"Usi finali")+SUMIFS('11_DEMAND_TOTAL'!$F:$F,'11_DEMAND_TOTAL'!$B:$B,$B28,'11_DEMAND_TOTAL'!$E:$E,"Usi energetici")+SUMIFS('11_DEMAND_TOTAL'!$F:$F,'11_DEMAND_TOTAL'!$B:$B,$B28,'11_DEMAND_TOTAL'!$E:$E,"Perdite di rete")</x:f>
        <x:v>375.49999999999994</x:v>
      </x:c>
      <x:c r="G28" s="143" t="n">
        <x:f>F28-E28</x:f>
        <x:v>-5.684341886080802e-14</x:v>
      </x:c>
      <x:c r="H28" s="143" t="n">
        <x:v>0.15</x:v>
      </x:c>
      <x:c r="I28" s="83" t="str">
        <x:f>IF(ABS(G28)&lt;=H28,"PASS","REVIEW")</x:f>
        <x:v>PASS</x:v>
      </x:c>
      <x:c r="J28" s="83" t="str">
        <x:v>Source values rounded to one decimal.</x:v>
      </x:c>
      <x:c r="K28" s="83" t="str">
        <x:v>Usi finali + usi energetici + perdite</x:v>
      </x:c>
    </x:row>
    <x:row r="29">
      <x:c r="A29" s="83" t="str">
        <x:v>QA-025</x:v>
      </x:c>
      <x:c r="B29" s="83" t="str">
        <x:v>DE_IT_2040</x:v>
      </x:c>
      <x:c r="C29" s="83" t="str">
        <x:v>Demand accounting</x:v>
      </x:c>
      <x:c r="D29" s="83" t="str">
        <x:v>Usi finali + usi energetici + perdite</x:v>
      </x:c>
      <x:c r="E29" s="143" t="n">
        <x:v>439</x:v>
      </x:c>
      <x:c r="F29" s="143" t="n">
        <x:f>SUMIFS('11_DEMAND_TOTAL'!$F:$F,'11_DEMAND_TOTAL'!$B:$B,$B29,'11_DEMAND_TOTAL'!$E:$E,"Usi finali")+SUMIFS('11_DEMAND_TOTAL'!$F:$F,'11_DEMAND_TOTAL'!$B:$B,$B29,'11_DEMAND_TOTAL'!$E:$E,"Usi energetici")+SUMIFS('11_DEMAND_TOTAL'!$F:$F,'11_DEMAND_TOTAL'!$B:$B,$B29,'11_DEMAND_TOTAL'!$E:$E,"Perdite di rete")</x:f>
        <x:v>438.9</x:v>
      </x:c>
      <x:c r="G29" s="143" t="n">
        <x:f>F29-E29</x:f>
        <x:v>-0.10000000000002274</x:v>
      </x:c>
      <x:c r="H29" s="143" t="n">
        <x:v>0.15</x:v>
      </x:c>
      <x:c r="I29" s="83" t="str">
        <x:f>IF(ABS(G29)&lt;=H29,"PASS","REVIEW")</x:f>
        <x:v>PASS</x:v>
      </x:c>
      <x:c r="J29" s="83" t="str">
        <x:v>Source values rounded to one decimal.</x:v>
      </x:c>
      <x:c r="K29" s="83" t="str">
        <x:v>Usi finali + usi energetici + perdite</x:v>
      </x:c>
    </x:row>
    <x:row r="30">
      <x:c r="A30" s="83" t="str">
        <x:v>QA-026</x:v>
      </x:c>
      <x:c r="B30" s="83" t="str">
        <x:v>GA_IT_2040</x:v>
      </x:c>
      <x:c r="C30" s="83" t="str">
        <x:v>Demand accounting</x:v>
      </x:c>
      <x:c r="D30" s="83" t="str">
        <x:v>Usi finali + usi energetici + perdite</x:v>
      </x:c>
      <x:c r="E30" s="143" t="n">
        <x:v>415.2</x:v>
      </x:c>
      <x:c r="F30" s="143" t="n">
        <x:f>SUMIFS('11_DEMAND_TOTAL'!$F:$F,'11_DEMAND_TOTAL'!$B:$B,$B30,'11_DEMAND_TOTAL'!$E:$E,"Usi finali")+SUMIFS('11_DEMAND_TOTAL'!$F:$F,'11_DEMAND_TOTAL'!$B:$B,$B30,'11_DEMAND_TOTAL'!$E:$E,"Usi energetici")+SUMIFS('11_DEMAND_TOTAL'!$F:$F,'11_DEMAND_TOTAL'!$B:$B,$B30,'11_DEMAND_TOTAL'!$E:$E,"Perdite di rete")</x:f>
        <x:v>415.2</x:v>
      </x:c>
      <x:c r="G30" s="143" t="n">
        <x:f>F30-E30</x:f>
        <x:v>0</x:v>
      </x:c>
      <x:c r="H30" s="143" t="n">
        <x:v>0.15</x:v>
      </x:c>
      <x:c r="I30" s="83" t="str">
        <x:f>IF(ABS(G30)&lt;=H30,"PASS","REVIEW")</x:f>
        <x:v>PASS</x:v>
      </x:c>
      <x:c r="J30" s="83" t="str">
        <x:v>Source values rounded to one decimal.</x:v>
      </x:c>
      <x:c r="K30" s="83" t="str">
        <x:v>Usi finali + usi energetici + perdite</x:v>
      </x:c>
    </x:row>
    <x:row r="31">
      <x:c r="A31" s="83" t="str">
        <x:v>QA-027</x:v>
      </x:c>
      <x:c r="B31" s="83" t="str">
        <x:v>PNIEC_SLOW_2040</x:v>
      </x:c>
      <x:c r="C31" s="83" t="str">
        <x:v>Demand accounting</x:v>
      </x:c>
      <x:c r="D31" s="83" t="str">
        <x:v>Usi finali + usi energetici + perdite</x:v>
      </x:c>
      <x:c r="E31" s="143" t="n">
        <x:v>404.4</x:v>
      </x:c>
      <x:c r="F31" s="143" t="n">
        <x:f>SUMIFS('11_DEMAND_TOTAL'!$F:$F,'11_DEMAND_TOTAL'!$B:$B,$B31,'11_DEMAND_TOTAL'!$E:$E,"Usi finali")+SUMIFS('11_DEMAND_TOTAL'!$F:$F,'11_DEMAND_TOTAL'!$B:$B,$B31,'11_DEMAND_TOTAL'!$E:$E,"Usi energetici")+SUMIFS('11_DEMAND_TOTAL'!$F:$F,'11_DEMAND_TOTAL'!$B:$B,$B31,'11_DEMAND_TOTAL'!$E:$E,"Perdite di rete")</x:f>
        <x:v>404.30000000000007</x:v>
      </x:c>
      <x:c r="G31" s="143" t="n">
        <x:f>F31-E31</x:f>
        <x:v>-0.09999999999990905</x:v>
      </x:c>
      <x:c r="H31" s="143" t="n">
        <x:v>0.15</x:v>
      </x:c>
      <x:c r="I31" s="83" t="str">
        <x:f>IF(ABS(G31)&lt;=H31,"PASS","REVIEW")</x:f>
        <x:v>PASS</x:v>
      </x:c>
      <x:c r="J31" s="83" t="str">
        <x:v>Source values rounded to one decimal.</x:v>
      </x:c>
      <x:c r="K31" s="83" t="str">
        <x:v>Usi finali + usi energetici + perdite</x:v>
      </x:c>
    </x:row>
    <x:row r="32">
      <x:c r="A32" s="83" t="str">
        <x:v>QA-028</x:v>
      </x:c>
      <x:c r="B32" s="83" t="str">
        <x:v>HIST_2023</x:v>
      </x:c>
      <x:c r="C32" s="83" t="str">
        <x:v>Annual energy balance</x:v>
      </x:c>
      <x:c r="D32" s="83" t="str">
        <x:v>Produzione nazionale + import netto + perdite accumuli</x:v>
      </x:c>
      <x:c r="E32" s="143" t="n">
        <x:v>306</x:v>
      </x:c>
      <x:c r="F32" s="143" t="n">
        <x:f>SUMIFS('16_ANNUAL_BALANCE'!$F:$F,'16_ANNUAL_BALANCE'!$B:$B,$B32,'16_ANNUAL_BALANCE'!$E:$E,"Produzione nazionale")+SUMIFS('16_ANNUAL_BALANCE'!$F:$F,'16_ANNUAL_BALANCE'!$B:$B,$B32,'16_ANNUAL_BALANCE'!$E:$E,"Saldo estero (import netto)")+SUMIFS('16_ANNUAL_BALANCE'!$F:$F,'16_ANNUAL_BALANCE'!$B:$B,$B32,'16_ANNUAL_BALANCE'!$E:$E,"Perdite accumuli")</x:f>
        <x:v>50</x:v>
      </x:c>
      <x:c r="G32" s="143" t="n">
        <x:f>F32-E32</x:f>
        <x:v>-256</x:v>
      </x:c>
      <x:c r="H32" s="143" t="n">
        <x:v>1.1</x:v>
      </x:c>
      <x:c r="I32" s="83" t="str">
        <x:f>IF(ABS(G32)&lt;=H32,"PASS","REVIEW")</x:f>
        <x:v>REVIEW</x:v>
      </x:c>
      <x:c r="J32" s="83" t="str">
        <x:v>Tolerance accommodates whole-TWh rounding.</x:v>
      </x:c>
      <x:c r="K32" s="83" t="str">
        <x:v>Produzione nazionale + saldo estero + perdite accumuli</x:v>
      </x:c>
    </x:row>
    <x:row r="33">
      <x:c r="A33" s="83" t="str">
        <x:v>QA-029</x:v>
      </x:c>
      <x:c r="B33" s="83" t="str">
        <x:v>PNIEC_POLICY_2030</x:v>
      </x:c>
      <x:c r="C33" s="83" t="str">
        <x:v>Annual energy balance</x:v>
      </x:c>
      <x:c r="D33" s="83" t="str">
        <x:v>Produzione nazionale + import netto + perdite accumuli</x:v>
      </x:c>
      <x:c r="E33" s="143" t="n">
        <x:v>362</x:v>
      </x:c>
      <x:c r="F33" s="143" t="n">
        <x:f>SUMIFS('16_ANNUAL_BALANCE'!$F:$F,'16_ANNUAL_BALANCE'!$B:$B,$B33,'16_ANNUAL_BALANCE'!$E:$E,"Produzione nazionale")+SUMIFS('16_ANNUAL_BALANCE'!$F:$F,'16_ANNUAL_BALANCE'!$B:$B,$B33,'16_ANNUAL_BALANCE'!$E:$E,"Saldo estero (import netto)")+SUMIFS('16_ANNUAL_BALANCE'!$F:$F,'16_ANNUAL_BALANCE'!$B:$B,$B33,'16_ANNUAL_BALANCE'!$E:$E,"Perdite accumuli")</x:f>
        <x:v>39</x:v>
      </x:c>
      <x:c r="G33" s="143" t="n">
        <x:f>F33-E33</x:f>
        <x:v>-323</x:v>
      </x:c>
      <x:c r="H33" s="143" t="n">
        <x:v>1.1</x:v>
      </x:c>
      <x:c r="I33" s="83" t="str">
        <x:f>IF(ABS(G33)&lt;=H33,"PASS","REVIEW")</x:f>
        <x:v>REVIEW</x:v>
      </x:c>
      <x:c r="J33" s="83" t="str">
        <x:v>Tolerance accommodates whole-TWh rounding.</x:v>
      </x:c>
      <x:c r="K33" s="83" t="str">
        <x:v>Produzione nazionale + saldo estero + perdite accumuli</x:v>
      </x:c>
    </x:row>
    <x:row r="34">
      <x:c r="A34" s="83" t="str">
        <x:v>QA-030</x:v>
      </x:c>
      <x:c r="B34" s="83" t="str">
        <x:v>PNIEC_SLOW_2030</x:v>
      </x:c>
      <x:c r="C34" s="83" t="str">
        <x:v>Annual energy balance</x:v>
      </x:c>
      <x:c r="D34" s="83" t="str">
        <x:v>Produzione nazionale + import netto + perdite accumuli</x:v>
      </x:c>
      <x:c r="E34" s="143" t="n">
        <x:v>347</x:v>
      </x:c>
      <x:c r="F34" s="143" t="n">
        <x:f>SUMIFS('16_ANNUAL_BALANCE'!$F:$F,'16_ANNUAL_BALANCE'!$B:$B,$B34,'16_ANNUAL_BALANCE'!$E:$E,"Produzione nazionale")+SUMIFS('16_ANNUAL_BALANCE'!$F:$F,'16_ANNUAL_BALANCE'!$B:$B,$B34,'16_ANNUAL_BALANCE'!$E:$E,"Saldo estero (import netto)")+SUMIFS('16_ANNUAL_BALANCE'!$F:$F,'16_ANNUAL_BALANCE'!$B:$B,$B34,'16_ANNUAL_BALANCE'!$E:$E,"Perdite accumuli")</x:f>
        <x:v>44</x:v>
      </x:c>
      <x:c r="G34" s="143" t="n">
        <x:f>F34-E34</x:f>
        <x:v>-303</x:v>
      </x:c>
      <x:c r="H34" s="143" t="n">
        <x:v>1.1</x:v>
      </x:c>
      <x:c r="I34" s="83" t="str">
        <x:f>IF(ABS(G34)&lt;=H34,"PASS","REVIEW")</x:f>
        <x:v>REVIEW</x:v>
      </x:c>
      <x:c r="J34" s="83" t="str">
        <x:v>Tolerance accommodates whole-TWh rounding.</x:v>
      </x:c>
      <x:c r="K34" s="83" t="str">
        <x:v>Produzione nazionale + saldo estero + perdite accumuli</x:v>
      </x:c>
    </x:row>
    <x:row r="35">
      <x:c r="A35" s="83" t="str">
        <x:v>QA-031</x:v>
      </x:c>
      <x:c r="B35" s="83" t="str">
        <x:v>DE_IT_2035</x:v>
      </x:c>
      <x:c r="C35" s="83" t="str">
        <x:v>Annual energy balance</x:v>
      </x:c>
      <x:c r="D35" s="83" t="str">
        <x:v>Produzione nazionale + import netto + perdite accumuli</x:v>
      </x:c>
      <x:c r="E35" s="143" t="n">
        <x:v>397</x:v>
      </x:c>
      <x:c r="F35" s="143" t="n">
        <x:f>SUMIFS('16_ANNUAL_BALANCE'!$F:$F,'16_ANNUAL_BALANCE'!$B:$B,$B35,'16_ANNUAL_BALANCE'!$E:$E,"Produzione nazionale")+SUMIFS('16_ANNUAL_BALANCE'!$F:$F,'16_ANNUAL_BALANCE'!$B:$B,$B35,'16_ANNUAL_BALANCE'!$E:$E,"Saldo estero (import netto)")+SUMIFS('16_ANNUAL_BALANCE'!$F:$F,'16_ANNUAL_BALANCE'!$B:$B,$B35,'16_ANNUAL_BALANCE'!$E:$E,"Perdite accumuli")</x:f>
        <x:v>39</x:v>
      </x:c>
      <x:c r="G35" s="143" t="n">
        <x:f>F35-E35</x:f>
        <x:v>-358</x:v>
      </x:c>
      <x:c r="H35" s="143" t="n">
        <x:v>1.1</x:v>
      </x:c>
      <x:c r="I35" s="83" t="str">
        <x:f>IF(ABS(G35)&lt;=H35,"PASS","REVIEW")</x:f>
        <x:v>REVIEW</x:v>
      </x:c>
      <x:c r="J35" s="83" t="str">
        <x:v>Tolerance accommodates whole-TWh rounding.</x:v>
      </x:c>
      <x:c r="K35" s="83" t="str">
        <x:v>Produzione nazionale + saldo estero + perdite accumuli</x:v>
      </x:c>
    </x:row>
    <x:row r="36">
      <x:c r="A36" s="83" t="str">
        <x:v>QA-032</x:v>
      </x:c>
      <x:c r="B36" s="83" t="str">
        <x:v>GA_IT_2035</x:v>
      </x:c>
      <x:c r="C36" s="83" t="str">
        <x:v>Annual energy balance</x:v>
      </x:c>
      <x:c r="D36" s="83" t="str">
        <x:v>Produzione nazionale + import netto + perdite accumuli</x:v>
      </x:c>
      <x:c r="E36" s="143" t="n">
        <x:v>385</x:v>
      </x:c>
      <x:c r="F36" s="143" t="n">
        <x:f>SUMIFS('16_ANNUAL_BALANCE'!$F:$F,'16_ANNUAL_BALANCE'!$B:$B,$B36,'16_ANNUAL_BALANCE'!$E:$E,"Produzione nazionale")+SUMIFS('16_ANNUAL_BALANCE'!$F:$F,'16_ANNUAL_BALANCE'!$B:$B,$B36,'16_ANNUAL_BALANCE'!$E:$E,"Saldo estero (import netto)")+SUMIFS('16_ANNUAL_BALANCE'!$F:$F,'16_ANNUAL_BALANCE'!$B:$B,$B36,'16_ANNUAL_BALANCE'!$E:$E,"Perdite accumuli")</x:f>
        <x:v>42</x:v>
      </x:c>
      <x:c r="G36" s="143" t="n">
        <x:f>F36-E36</x:f>
        <x:v>-343</x:v>
      </x:c>
      <x:c r="H36" s="143" t="n">
        <x:v>1.1</x:v>
      </x:c>
      <x:c r="I36" s="83" t="str">
        <x:f>IF(ABS(G36)&lt;=H36,"PASS","REVIEW")</x:f>
        <x:v>REVIEW</x:v>
      </x:c>
      <x:c r="J36" s="83" t="str">
        <x:v>Tolerance accommodates whole-TWh rounding.</x:v>
      </x:c>
      <x:c r="K36" s="83" t="str">
        <x:v>Produzione nazionale + saldo estero + perdite accumuli</x:v>
      </x:c>
    </x:row>
    <x:row r="37">
      <x:c r="A37" s="83" t="str">
        <x:v>QA-033</x:v>
      </x:c>
      <x:c r="B37" s="83" t="str">
        <x:v>PNIEC_SLOW_2035</x:v>
      </x:c>
      <x:c r="C37" s="83" t="str">
        <x:v>Annual energy balance</x:v>
      </x:c>
      <x:c r="D37" s="83" t="str">
        <x:v>Produzione nazionale + import netto + perdite accumuli</x:v>
      </x:c>
      <x:c r="E37" s="143" t="n">
        <x:v>376</x:v>
      </x:c>
      <x:c r="F37" s="143" t="n">
        <x:f>SUMIFS('16_ANNUAL_BALANCE'!$F:$F,'16_ANNUAL_BALANCE'!$B:$B,$B37,'16_ANNUAL_BALANCE'!$E:$E,"Produzione nazionale")+SUMIFS('16_ANNUAL_BALANCE'!$F:$F,'16_ANNUAL_BALANCE'!$B:$B,$B37,'16_ANNUAL_BALANCE'!$E:$E,"Saldo estero (import netto)")+SUMIFS('16_ANNUAL_BALANCE'!$F:$F,'16_ANNUAL_BALANCE'!$B:$B,$B37,'16_ANNUAL_BALANCE'!$E:$E,"Perdite accumuli")</x:f>
        <x:v>45</x:v>
      </x:c>
      <x:c r="G37" s="143" t="n">
        <x:f>F37-E37</x:f>
        <x:v>-331</x:v>
      </x:c>
      <x:c r="H37" s="143" t="n">
        <x:v>1.1</x:v>
      </x:c>
      <x:c r="I37" s="83" t="str">
        <x:f>IF(ABS(G37)&lt;=H37,"PASS","REVIEW")</x:f>
        <x:v>REVIEW</x:v>
      </x:c>
      <x:c r="J37" s="83" t="str">
        <x:v>Tolerance accommodates whole-TWh rounding.</x:v>
      </x:c>
      <x:c r="K37" s="83" t="str">
        <x:v>Produzione nazionale + saldo estero + perdite accumuli</x:v>
      </x:c>
    </x:row>
    <x:row r="38">
      <x:c r="A38" s="83" t="str">
        <x:v>QA-034</x:v>
      </x:c>
      <x:c r="B38" s="83" t="str">
        <x:v>DE_IT_2040</x:v>
      </x:c>
      <x:c r="C38" s="83" t="str">
        <x:v>Annual energy balance</x:v>
      </x:c>
      <x:c r="D38" s="83" t="str">
        <x:v>Produzione nazionale + import netto + perdite accumuli</x:v>
      </x:c>
      <x:c r="E38" s="143" t="n">
        <x:v>439</x:v>
      </x:c>
      <x:c r="F38" s="143" t="n">
        <x:f>SUMIFS('16_ANNUAL_BALANCE'!$F:$F,'16_ANNUAL_BALANCE'!$B:$B,$B38,'16_ANNUAL_BALANCE'!$E:$E,"Produzione nazionale")+SUMIFS('16_ANNUAL_BALANCE'!$F:$F,'16_ANNUAL_BALANCE'!$B:$B,$B38,'16_ANNUAL_BALANCE'!$E:$E,"Saldo estero (import netto)")+SUMIFS('16_ANNUAL_BALANCE'!$F:$F,'16_ANNUAL_BALANCE'!$B:$B,$B38,'16_ANNUAL_BALANCE'!$E:$E,"Perdite accumuli")</x:f>
        <x:v>38</x:v>
      </x:c>
      <x:c r="G38" s="143" t="n">
        <x:f>F38-E38</x:f>
        <x:v>-401</x:v>
      </x:c>
      <x:c r="H38" s="143" t="n">
        <x:v>1.1</x:v>
      </x:c>
      <x:c r="I38" s="83" t="str">
        <x:f>IF(ABS(G38)&lt;=H38,"PASS","REVIEW")</x:f>
        <x:v>REVIEW</x:v>
      </x:c>
      <x:c r="J38" s="83" t="str">
        <x:v>Tolerance accommodates whole-TWh rounding.</x:v>
      </x:c>
      <x:c r="K38" s="83" t="str">
        <x:v>Produzione nazionale + saldo estero + perdite accumuli</x:v>
      </x:c>
    </x:row>
    <x:row r="39">
      <x:c r="A39" s="83" t="str">
        <x:v>QA-035</x:v>
      </x:c>
      <x:c r="B39" s="83" t="str">
        <x:v>GA_IT_2040</x:v>
      </x:c>
      <x:c r="C39" s="83" t="str">
        <x:v>Annual energy balance</x:v>
      </x:c>
      <x:c r="D39" s="83" t="str">
        <x:v>Produzione nazionale + import netto + perdite accumuli</x:v>
      </x:c>
      <x:c r="E39" s="143" t="n">
        <x:v>415</x:v>
      </x:c>
      <x:c r="F39" s="143" t="n">
        <x:f>SUMIFS('16_ANNUAL_BALANCE'!$F:$F,'16_ANNUAL_BALANCE'!$B:$B,$B39,'16_ANNUAL_BALANCE'!$E:$E,"Produzione nazionale")+SUMIFS('16_ANNUAL_BALANCE'!$F:$F,'16_ANNUAL_BALANCE'!$B:$B,$B39,'16_ANNUAL_BALANCE'!$E:$E,"Saldo estero (import netto)")+SUMIFS('16_ANNUAL_BALANCE'!$F:$F,'16_ANNUAL_BALANCE'!$B:$B,$B39,'16_ANNUAL_BALANCE'!$E:$E,"Perdite accumuli")</x:f>
        <x:v>39</x:v>
      </x:c>
      <x:c r="G39" s="143" t="n">
        <x:f>F39-E39</x:f>
        <x:v>-376</x:v>
      </x:c>
      <x:c r="H39" s="143" t="n">
        <x:v>1.1</x:v>
      </x:c>
      <x:c r="I39" s="83" t="str">
        <x:f>IF(ABS(G39)&lt;=H39,"PASS","REVIEW")</x:f>
        <x:v>REVIEW</x:v>
      </x:c>
      <x:c r="J39" s="83" t="str">
        <x:v>Tolerance accommodates whole-TWh rounding.</x:v>
      </x:c>
      <x:c r="K39" s="83" t="str">
        <x:v>Produzione nazionale + saldo estero + perdite accumuli</x:v>
      </x:c>
    </x:row>
    <x:row r="40">
      <x:c r="A40" s="83" t="str">
        <x:v>QA-036</x:v>
      </x:c>
      <x:c r="B40" s="83" t="str">
        <x:v>PNIEC_SLOW_2040</x:v>
      </x:c>
      <x:c r="C40" s="83" t="str">
        <x:v>Annual energy balance</x:v>
      </x:c>
      <x:c r="D40" s="83" t="str">
        <x:v>Produzione nazionale + import netto + perdite accumuli</x:v>
      </x:c>
      <x:c r="E40" s="143" t="n">
        <x:v>404</x:v>
      </x:c>
      <x:c r="F40" s="143" t="n">
        <x:f>SUMIFS('16_ANNUAL_BALANCE'!$F:$F,'16_ANNUAL_BALANCE'!$B:$B,$B40,'16_ANNUAL_BALANCE'!$E:$E,"Produzione nazionale")+SUMIFS('16_ANNUAL_BALANCE'!$F:$F,'16_ANNUAL_BALANCE'!$B:$B,$B40,'16_ANNUAL_BALANCE'!$E:$E,"Saldo estero (import netto)")+SUMIFS('16_ANNUAL_BALANCE'!$F:$F,'16_ANNUAL_BALANCE'!$B:$B,$B40,'16_ANNUAL_BALANCE'!$E:$E,"Perdite accumuli")</x:f>
        <x:v>41</x:v>
      </x:c>
      <x:c r="G40" s="143" t="n">
        <x:f>F40-E40</x:f>
        <x:v>-363</x:v>
      </x:c>
      <x:c r="H40" s="143" t="n">
        <x:v>1.1</x:v>
      </x:c>
      <x:c r="I40" s="83" t="str">
        <x:f>IF(ABS(G40)&lt;=H40,"PASS","REVIEW")</x:f>
        <x:v>REVIEW</x:v>
      </x:c>
      <x:c r="J40" s="83" t="str">
        <x:v>Tolerance accommodates whole-TWh rounding.</x:v>
      </x:c>
      <x:c r="K40" s="83" t="str">
        <x:v>Produzione nazionale + saldo estero + perdite accumuli</x:v>
      </x:c>
    </x:row>
    <x:row r="41">
      <x:c r="A41" s="83" t="str">
        <x:v>QA-037</x:v>
      </x:c>
      <x:c r="B41" s="83" t="str">
        <x:v>TERNA_2050_NUCLEAR</x:v>
      </x:c>
      <x:c r="C41" s="83" t="str">
        <x:v>Annual energy balance</x:v>
      </x:c>
      <x:c r="D41" s="83" t="str">
        <x:v>Produzione nazionale + import netto + perdite accumuli</x:v>
      </x:c>
      <x:c r="E41" s="143" t="n">
        <x:v>583</x:v>
      </x:c>
      <x:c r="F41" s="143" t="n">
        <x:f>SUMIFS('16_ANNUAL_BALANCE'!$F:$F,'16_ANNUAL_BALANCE'!$B:$B,$B41,'16_ANNUAL_BALANCE'!$E:$E,"Produzione nazionale")+SUMIFS('16_ANNUAL_BALANCE'!$F:$F,'16_ANNUAL_BALANCE'!$B:$B,$B41,'16_ANNUAL_BALANCE'!$E:$E,"Saldo estero (import netto)")+SUMIFS('16_ANNUAL_BALANCE'!$F:$F,'16_ANNUAL_BALANCE'!$B:$B,$B41,'16_ANNUAL_BALANCE'!$E:$E,"Perdite accumuli")</x:f>
        <x:v>37</x:v>
      </x:c>
      <x:c r="G41" s="143" t="n">
        <x:f>F41-E41</x:f>
        <x:v>-546</x:v>
      </x:c>
      <x:c r="H41" s="143" t="n">
        <x:v>1</x:v>
      </x:c>
      <x:c r="I41" s="83" t="str">
        <x:f>IF(ABS(G41)&lt;=H41,"PASS","REVIEW")</x:f>
        <x:v>REVIEW</x:v>
      </x:c>
      <x:c r="J41" s="83" t="str">
        <x:v>Whole-TWh source values.</x:v>
      </x:c>
      <x:c r="K41" s="83" t="str">
        <x:v>Produzione nazionale + saldo estero + perdite accumuli</x:v>
      </x:c>
    </x:row>
    <x:row r="42">
      <x:c r="A42" s="83" t="str">
        <x:v>QA-038</x:v>
      </x:c>
      <x:c r="B42" s="83" t="str">
        <x:v>TERNA_2050_NO_NUCLEAR</x:v>
      </x:c>
      <x:c r="C42" s="83" t="str">
        <x:v>Annual energy balance</x:v>
      </x:c>
      <x:c r="D42" s="83" t="str">
        <x:v>Produzione nazionale + import netto + perdite accumuli</x:v>
      </x:c>
      <x:c r="E42" s="143" t="n">
        <x:v>583</x:v>
      </x:c>
      <x:c r="F42" s="143" t="n">
        <x:f>SUMIFS('16_ANNUAL_BALANCE'!$F:$F,'16_ANNUAL_BALANCE'!$B:$B,$B42,'16_ANNUAL_BALANCE'!$E:$E,"Produzione nazionale")+SUMIFS('16_ANNUAL_BALANCE'!$F:$F,'16_ANNUAL_BALANCE'!$B:$B,$B42,'16_ANNUAL_BALANCE'!$E:$E,"Saldo estero (import netto)")+SUMIFS('16_ANNUAL_BALANCE'!$F:$F,'16_ANNUAL_BALANCE'!$B:$B,$B42,'16_ANNUAL_BALANCE'!$E:$E,"Perdite accumuli")</x:f>
        <x:v>43</x:v>
      </x:c>
      <x:c r="G42" s="143" t="n">
        <x:f>F42-E42</x:f>
        <x:v>-540</x:v>
      </x:c>
      <x:c r="H42" s="143" t="n">
        <x:v>1</x:v>
      </x:c>
      <x:c r="I42" s="83" t="str">
        <x:f>IF(ABS(G42)&lt;=H42,"PASS","REVIEW")</x:f>
        <x:v>REVIEW</x:v>
      </x:c>
      <x:c r="J42" s="83" t="str">
        <x:v>Whole-TWh source values.</x:v>
      </x:c>
      <x:c r="K42" s="83" t="str">
        <x:v>Produzione nazionale + saldo estero + perdite accumuli</x:v>
      </x:c>
    </x:row>
  </x:sheetData>
  <x:mergeCells>
    <x:mergeCell ref="A1:K1"/>
    <x:mergeCell ref="A2:K2"/>
  </x:mergeCells>
  <x:conditionalFormatting sqref="I5:I42">
    <x:cfRule type="expression" dxfId="23" priority="1">
      <x:formula>I5="PASS"</x:formula>
    </x:cfRule>
    <x:cfRule type="expression" dxfId="24" priority="2">
      <x:formula>I5="REVIEW"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da932f960a4f1a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159" t="str">
        <x:v>Fase 3A — Scenari, domanda e capacità</x:v>
      </x:c>
      <x:c r="B1" s="159"/>
      <x:c r="C1" s="159"/>
      <x:c r="D1" s="159"/>
      <x:c r="E1" s="159"/>
      <x:c r="F1" s="159"/>
      <x:c r="G1" s="159"/>
      <x:c r="H1" s="159"/>
      <x:c r="I1" s="159"/>
      <x:c r="J1" s="159"/>
      <x:c r="K1" s="159"/>
      <x:c r="L1" s="159"/>
      <x:c r="M1" s="159"/>
      <x:c r="N1" s="159"/>
      <x:c r="O1" s="159"/>
      <x:c r="P1" s="159"/>
      <x:c r="Q1" s="159"/>
      <x:c r="R1" s="159"/>
    </x:row>
    <x:row r="2" ht="30" customHeight="1">
      <x:c r="A2" s="138" t="str">
        <x:v>DDS 2024 incorporato come S09; dati 2040 e configurazioni/benchmark 2050 auditabili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160" t="str">
        <x:v>Indicatore</x:v>
      </x:c>
      <x:c r="B4" s="160" t="str">
        <x:v>Valore</x:v>
      </x:c>
      <x:c r="C4" s="45"/>
      <x:c r="D4" s="160" t="str">
        <x:v>Esito analitico</x:v>
      </x:c>
      <x:c r="E4" s="160"/>
      <x:c r="F4" s="160"/>
      <x:c r="G4" s="160"/>
      <x:c r="H4" s="160"/>
      <x:c r="I4" s="160"/>
      <x:c r="J4" s="160"/>
      <x:c r="K4" s="45"/>
      <x:c r="L4" s="45"/>
      <x:c r="M4" s="45"/>
      <x:c r="N4" s="45"/>
      <x:c r="O4" s="45"/>
      <x:c r="P4" s="45"/>
      <x:c r="Q4" s="45"/>
      <x:c r="R4" s="45"/>
    </x:row>
    <x:row r="5">
      <x:c r="A5" s="161" t="str">
        <x:v>Scenari</x:v>
      </x:c>
      <x:c r="B5" s="48" t="n">
        <x:v>13</x:v>
      </x:c>
      <x:c r="C5" s="45"/>
      <x:c r="D5" s="150" t="str">
        <x:v>2040: DE-IT candidato centrale; GA-IT e PNIEC Slow restano scenari completi. 2050: rami Terna con e senza nucleare e benchmark PNIEC mantenuti separati. La baseline finale sarà scelta solo dopo storage, idroelettrico, rete e costi.</x:v>
      </x:c>
      <x:c r="E5" s="150"/>
      <x:c r="F5" s="150"/>
      <x:c r="G5" s="150"/>
      <x:c r="H5" s="150"/>
      <x:c r="I5" s="150"/>
      <x:c r="J5" s="150"/>
      <x:c r="K5" s="45"/>
      <x:c r="L5" s="45"/>
      <x:c r="M5" s="45"/>
      <x:c r="N5" s="45"/>
      <x:c r="O5" s="45"/>
      <x:c r="P5" s="45"/>
      <x:c r="Q5" s="45"/>
      <x:c r="R5" s="45"/>
    </x:row>
    <x:row r="6">
      <x:c r="A6" s="161" t="str">
        <x:v>Righe domanda</x:v>
      </x:c>
      <x:c r="B6" s="48" t="n">
        <x:v>115</x:v>
      </x:c>
      <x:c r="C6" s="45"/>
      <x:c r="D6" s="150"/>
      <x:c r="E6" s="150"/>
      <x:c r="F6" s="150"/>
      <x:c r="G6" s="150"/>
      <x:c r="H6" s="150"/>
      <x:c r="I6" s="150"/>
      <x:c r="J6" s="150"/>
      <x:c r="K6" s="45"/>
      <x:c r="L6" s="45"/>
      <x:c r="M6" s="45"/>
      <x:c r="N6" s="45"/>
      <x:c r="O6" s="45"/>
      <x:c r="P6" s="45"/>
      <x:c r="Q6" s="45"/>
      <x:c r="R6" s="45"/>
    </x:row>
    <x:row r="7">
      <x:c r="A7" s="161" t="str">
        <x:v>Parametri scenario</x:v>
      </x:c>
      <x:c r="B7" s="48" t="n">
        <x:v>16</x:v>
      </x:c>
      <x:c r="C7" s="45"/>
      <x:c r="D7" s="150"/>
      <x:c r="E7" s="150"/>
      <x:c r="F7" s="150"/>
      <x:c r="G7" s="150"/>
      <x:c r="H7" s="150"/>
      <x:c r="I7" s="150"/>
      <x:c r="J7" s="150"/>
      <x:c r="K7" s="45"/>
      <x:c r="L7" s="45"/>
      <x:c r="M7" s="45"/>
      <x:c r="N7" s="45"/>
      <x:c r="O7" s="45"/>
      <x:c r="P7" s="45"/>
      <x:c r="Q7" s="45"/>
      <x:c r="R7" s="45"/>
    </x:row>
    <x:row r="8">
      <x:c r="A8" s="161" t="str">
        <x:v>Capacità nazionale</x:v>
      </x:c>
      <x:c r="B8" s="48" t="n">
        <x:v>88</x:v>
      </x:c>
      <x:c r="C8" s="45"/>
      <x:c r="D8" s="150"/>
      <x:c r="E8" s="150"/>
      <x:c r="F8" s="150"/>
      <x:c r="G8" s="150"/>
      <x:c r="H8" s="150"/>
      <x:c r="I8" s="150"/>
      <x:c r="J8" s="150"/>
      <x:c r="K8" s="45"/>
      <x:c r="L8" s="45"/>
      <x:c r="M8" s="45"/>
      <x:c r="N8" s="45"/>
      <x:c r="O8" s="45"/>
      <x:c r="P8" s="45"/>
      <x:c r="Q8" s="45"/>
      <x:c r="R8" s="45"/>
    </x:row>
    <x:row r="9">
      <x:c r="A9" s="161" t="str">
        <x:v>Capacità zonale</x:v>
      </x:c>
      <x:c r="B9" s="48" t="n">
        <x:v>252</x:v>
      </x:c>
      <x:c r="C9" s="45"/>
      <x:c r="D9" s="150"/>
      <x:c r="E9" s="150"/>
      <x:c r="F9" s="150"/>
      <x:c r="G9" s="150"/>
      <x:c r="H9" s="150"/>
      <x:c r="I9" s="150"/>
      <x:c r="J9" s="150"/>
      <x:c r="K9" s="45"/>
      <x:c r="L9" s="45"/>
      <x:c r="M9" s="45"/>
      <x:c r="N9" s="45"/>
      <x:c r="O9" s="45"/>
      <x:c r="P9" s="45"/>
      <x:c r="Q9" s="45"/>
      <x:c r="R9" s="45"/>
    </x:row>
    <x:row r="10">
      <x:c r="A10" s="161" t="str">
        <x:v>Bilanci annuali</x:v>
      </x:c>
      <x:c r="B10" s="48" t="n">
        <x:v>195</x:v>
      </x:c>
      <x:c r="C10" s="45"/>
      <x:c r="D10" s="150"/>
      <x:c r="E10" s="150"/>
      <x:c r="F10" s="150"/>
      <x:c r="G10" s="150"/>
      <x:c r="H10" s="150"/>
      <x:c r="I10" s="150"/>
      <x:c r="J10" s="150"/>
      <x:c r="K10" s="45"/>
      <x:c r="L10" s="45"/>
      <x:c r="M10" s="45"/>
      <x:c r="N10" s="45"/>
      <x:c r="O10" s="45"/>
      <x:c r="P10" s="45"/>
      <x:c r="Q10" s="45"/>
      <x:c r="R10" s="45"/>
    </x:row>
    <x:row r="11">
      <x:c r="A11" s="161" t="str">
        <x:v>QA PASS</x:v>
      </x:c>
      <x:c r="B11" s="48" t="n">
        <x:v>34</x:v>
      </x:c>
      <x:c r="C11" s="45"/>
      <x:c r="D11" s="150"/>
      <x:c r="E11" s="150"/>
      <x:c r="F11" s="150"/>
      <x:c r="G11" s="150"/>
      <x:c r="H11" s="150"/>
      <x:c r="I11" s="150"/>
      <x:c r="J11" s="150"/>
      <x:c r="K11" s="45"/>
      <x:c r="L11" s="45"/>
      <x:c r="M11" s="45"/>
      <x:c r="N11" s="45"/>
      <x:c r="O11" s="45"/>
      <x:c r="P11" s="45"/>
      <x:c r="Q11" s="45"/>
      <x:c r="R11" s="45"/>
    </x:row>
    <x:row r="12">
      <x:c r="A12" s="161" t="str">
        <x:v>QA REVIEW</x:v>
      </x:c>
      <x:c r="B12" s="48" t="n">
        <x:v>4</x:v>
      </x:c>
      <x:c r="C12" s="45"/>
      <x:c r="D12" s="150"/>
      <x:c r="E12" s="150"/>
      <x:c r="F12" s="150"/>
      <x:c r="G12" s="150"/>
      <x:c r="H12" s="150"/>
      <x:c r="I12" s="150"/>
      <x:c r="J12" s="150"/>
      <x:c r="K12" s="45"/>
      <x:c r="L12" s="45"/>
      <x:c r="M12" s="45"/>
      <x:c r="N12" s="45"/>
      <x:c r="O12" s="45"/>
      <x:c r="P12" s="45"/>
      <x:c r="Q12" s="45"/>
      <x:c r="R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</x:row>
    <x:row r="15">
      <x:c r="A15" s="162" t="str">
        <x:v>Scenario 2040</x:v>
      </x:c>
      <x:c r="B15" s="162" t="str">
        <x:v>Fabbisogno TWh</x:v>
      </x:c>
      <x:c r="C15" s="162" t="str">
        <x:v>Usi finali TWh</x:v>
      </x:c>
      <x:c r="D15" s="162" t="str">
        <x:v>H₂ TWh</x:v>
      </x:c>
      <x:c r="E15" s="162" t="str">
        <x:v>FER GW</x:v>
      </x:c>
      <x:c r="F15" s="162" t="str">
        <x:v>Solare GW</x:v>
      </x:c>
      <x:c r="G15" s="162" t="str">
        <x:v>Onshore GW</x:v>
      </x:c>
      <x:c r="H15" s="162" t="str">
        <x:v>Offshore GW</x:v>
      </x:c>
      <x:c r="I15" s="162" t="str">
        <x:v>Produzione FER TWh</x:v>
      </x:c>
      <x:c r="J15" s="45"/>
      <x:c r="K15" s="45"/>
      <x:c r="L15" s="45"/>
      <x:c r="M15" s="45"/>
      <x:c r="N15" s="45"/>
      <x:c r="O15" s="45"/>
      <x:c r="P15" s="45"/>
      <x:c r="Q15" s="45"/>
      <x:c r="R15" s="45"/>
    </x:row>
    <x:row r="16">
      <x:c r="A16" s="45" t="str">
        <x:v>DE-IT 2040</x:v>
      </x:c>
      <x:c r="B16" s="163" t="n">
        <x:f>'11_DEMAND_TOTAL'!F56</x:f>
        <x:v>439</x:v>
      </x:c>
      <x:c r="C16" s="163" t="n">
        <x:f>'11_DEMAND_TOTAL'!F11</x:f>
        <x:v>377.8</x:v>
      </x:c>
      <x:c r="D16" s="163" t="n">
        <x:f>'11_DEMAND_TOTAL'!F38</x:f>
        <x:v>27.5</x:v>
      </x:c>
      <x:c r="E16" s="163" t="n">
        <x:f>'14_GEN_CAP_NATIONAL'!I35</x:f>
        <x:v>192</x:v>
      </x:c>
      <x:c r="F16" s="163" t="n">
        <x:f>'14_GEN_CAP_NATIONAL'!I36</x:f>
        <x:v>121</x:v>
      </x:c>
      <x:c r="G16" s="163" t="n">
        <x:f>'14_GEN_CAP_NATIONAL'!I37</x:f>
        <x:v>34</x:v>
      </x:c>
      <x:c r="H16" s="163" t="n">
        <x:f>'14_GEN_CAP_NATIONAL'!I38</x:f>
        <x:v>15.1</x:v>
      </x:c>
      <x:c r="I16" s="163" t="n">
        <x:f>'16_ANNUAL_BALANCE'!F47</x:f>
        <x:v>336</x:v>
      </x:c>
      <x:c r="J16" s="45"/>
      <x:c r="K16" s="45"/>
      <x:c r="L16" s="45"/>
      <x:c r="M16" s="45"/>
      <x:c r="N16" s="45"/>
      <x:c r="O16" s="45"/>
      <x:c r="P16" s="45"/>
      <x:c r="Q16" s="45"/>
      <x:c r="R16" s="45"/>
    </x:row>
    <x:row r="17">
      <x:c r="A17" s="45" t="str">
        <x:v>GA-IT 2040</x:v>
      </x:c>
      <x:c r="B17" s="163" t="n">
        <x:f>'11_DEMAND_TOTAL'!F57</x:f>
        <x:v>415.2</x:v>
      </x:c>
      <x:c r="C17" s="163" t="n">
        <x:f>'11_DEMAND_TOTAL'!F12</x:f>
        <x:v>355</x:v>
      </x:c>
      <x:c r="D17" s="163" t="n">
        <x:f>'11_DEMAND_TOTAL'!F39</x:f>
        <x:v>27.5</x:v>
      </x:c>
      <x:c r="E17" s="163" t="n">
        <x:f>'14_GEN_CAP_NATIONAL'!I40</x:f>
        <x:v>176</x:v>
      </x:c>
      <x:c r="F17" s="163" t="n">
        <x:f>'14_GEN_CAP_NATIONAL'!I41</x:f>
        <x:v>111</x:v>
      </x:c>
      <x:c r="G17" s="163" t="n">
        <x:f>'14_GEN_CAP_NATIONAL'!I42</x:f>
        <x:v>31</x:v>
      </x:c>
      <x:c r="H17" s="163" t="n">
        <x:f>'14_GEN_CAP_NATIONAL'!I43</x:f>
        <x:v>12.1</x:v>
      </x:c>
      <x:c r="I17" s="163" t="n">
        <x:f>'16_ANNUAL_BALANCE'!F48</x:f>
        <x:v>309</x:v>
      </x:c>
      <x:c r="J17" s="45"/>
      <x:c r="K17" s="45"/>
      <x:c r="L17" s="45"/>
      <x:c r="M17" s="45"/>
      <x:c r="N17" s="45"/>
      <x:c r="O17" s="45"/>
      <x:c r="P17" s="45"/>
      <x:c r="Q17" s="45"/>
      <x:c r="R17" s="45"/>
    </x:row>
    <x:row r="18">
      <x:c r="A18" s="45" t="str">
        <x:v>PNIEC Slow 2040</x:v>
      </x:c>
      <x:c r="B18" s="163" t="n">
        <x:f>'11_DEMAND_TOTAL'!F58</x:f>
        <x:v>404.4</x:v>
      </x:c>
      <x:c r="C18" s="163" t="n">
        <x:f>'11_DEMAND_TOTAL'!F13</x:f>
        <x:v>352.1</x:v>
      </x:c>
      <x:c r="D18" s="163" t="n">
        <x:f>'11_DEMAND_TOTAL'!F40</x:f>
        <x:v>19.8</x:v>
      </x:c>
      <x:c r="E18" s="163" t="n">
        <x:f>'14_GEN_CAP_NATIONAL'!I45</x:f>
        <x:v>166</x:v>
      </x:c>
      <x:c r="F18" s="163" t="n">
        <x:f>'14_GEN_CAP_NATIONAL'!I46</x:f>
        <x:v>105.1</x:v>
      </x:c>
      <x:c r="G18" s="163" t="n">
        <x:f>'14_GEN_CAP_NATIONAL'!I47</x:f>
        <x:v>29</x:v>
      </x:c>
      <x:c r="H18" s="163" t="n">
        <x:f>'14_GEN_CAP_NATIONAL'!I48</x:f>
        <x:v>10</x:v>
      </x:c>
      <x:c r="I18" s="163" t="n">
        <x:f>'16_ANNUAL_BALANCE'!F49</x:f>
        <x:v>293</x:v>
      </x:c>
      <x:c r="J18" s="45"/>
      <x:c r="K18" s="45"/>
      <x:c r="L18" s="45"/>
      <x:c r="M18" s="45"/>
      <x:c r="N18" s="45"/>
      <x:c r="O18" s="45"/>
      <x:c r="P18" s="45"/>
      <x:c r="Q18" s="45"/>
      <x:c r="R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</x:row>
    <x:row r="22">
      <x:c r="A22" s="162" t="str">
        <x:v>Scenario 2050</x:v>
      </x:c>
      <x:c r="B22" s="162" t="str">
        <x:v>Fabbisogno TWh</x:v>
      </x:c>
      <x:c r="C22" s="162" t="str">
        <x:v>FRNP GW</x:v>
      </x:c>
      <x:c r="D22" s="162" t="str">
        <x:v>Solare GW</x:v>
      </x:c>
      <x:c r="E22" s="162" t="str">
        <x:v>Onshore GW</x:v>
      </x:c>
      <x:c r="F22" s="162" t="str">
        <x:v>Offshore GW</x:v>
      </x:c>
      <x:c r="G22" s="162" t="str">
        <x:v>Nucleare GW</x:v>
      </x:c>
      <x:c r="H22" s="162" t="str">
        <x:v>Produzione FRNP+idro TWh</x:v>
      </x:c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</x:row>
    <x:row r="23">
      <x:c r="A23" s="45" t="str">
        <x:v>PNIEC con nucleare</x:v>
      </x:c>
      <x:c r="B23" s="163" t="n">
        <x:f>'11_DEMAND_TOTAL'!F68 </x:f>
        <x:v>583.1</x:v>
      </x:c>
      <x:c r="C23" s="163" t="n">
        <x:f>'14_GEN_CAP_NATIONAL'!I68</x:f>
        <x:v>296</x:v>
      </x:c>
      <x:c r="D23" s="163" t="n">
        <x:f>'14_GEN_CAP_NATIONAL'!I69</x:f>
        <x:v>245</x:v>
      </x:c>
      <x:c r="E23" s="163" t="n">
        <x:f>'14_GEN_CAP_NATIONAL'!I70</x:f>
        <x:v>36</x:v>
      </x:c>
      <x:c r="F23" s="163" t="n">
        <x:f>'14_GEN_CAP_NATIONAL'!I71</x:f>
        <x:v>15</x:v>
      </x:c>
      <x:c r="G23" s="163" t="n">
        <x:f>'14_GEN_CAP_NATIONAL'!I72</x:f>
        <x:v>8</x:v>
      </x:c>
      <x:c r="H23" s="163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</x:row>
    <x:row r="24">
      <x:c r="A24" s="45" t="str">
        <x:v>PNIEC senza nucleare</x:v>
      </x:c>
      <x:c r="B24" s="163" t="n">
        <x:f>'11_DEMAND_TOTAL'!F72 </x:f>
        <x:v>551.7</x:v>
      </x:c>
      <x:c r="C24" s="163" t="n">
        <x:f>'14_GEN_CAP_NATIONAL'!I73</x:f>
        <x:v>296</x:v>
      </x:c>
      <x:c r="D24" s="163" t="n">
        <x:f>'14_GEN_CAP_NATIONAL'!I74</x:f>
        <x:v>245</x:v>
      </x:c>
      <x:c r="E24" s="163" t="n">
        <x:f>'14_GEN_CAP_NATIONAL'!I75</x:f>
        <x:v>36</x:v>
      </x:c>
      <x:c r="F24" s="163" t="n">
        <x:f>'14_GEN_CAP_NATIONAL'!I76</x:f>
        <x:v>15</x:v>
      </x:c>
      <x:c r="G24" s="163" t="n">
        <x:f>'14_GEN_CAP_NATIONAL'!I77</x:f>
        <x:v>0</x:v>
      </x:c>
      <x:c r="H24" s="163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</x:row>
    <x:row r="25">
      <x:c r="A25" s="45" t="str">
        <x:v>Terna con nucleare</x:v>
      </x:c>
      <x:c r="B25" s="163" t="n">
        <x:f>'11_DEMAND_TOTAL'!F76 </x:f>
        <x:v>583</x:v>
      </x:c>
      <x:c r="C25" s="163" t="n">
        <x:f>'14_GEN_CAP_NATIONAL'!I78</x:f>
        <x:v>246</x:v>
      </x:c>
      <x:c r="D25" s="163" t="n">
        <x:f>'14_GEN_CAP_NATIONAL'!I79</x:f>
        <x:v>180</x:v>
      </x:c>
      <x:c r="E25" s="163" t="n">
        <x:f>'14_GEN_CAP_NATIONAL'!I80</x:f>
        <x:v>46</x:v>
      </x:c>
      <x:c r="F25" s="163" t="n">
        <x:f>'14_GEN_CAP_NATIONAL'!I81</x:f>
        <x:v>20</x:v>
      </x:c>
      <x:c r="G25" s="163" t="n">
        <x:f>'14_GEN_CAP_NATIONAL'!I82</x:f>
        <x:v>10</x:v>
      </x:c>
      <x:c r="H25" s="163" t="n">
        <x:f>'16_ANNUAL_BALANCE'!F184</x:f>
        <x:v>435</x:v>
      </x:c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</x:row>
    <x:row r="26">
      <x:c r="A26" s="45" t="str">
        <x:v>Terna senza nucleare</x:v>
      </x:c>
      <x:c r="B26" s="163" t="n">
        <x:f>'11_DEMAND_TOTAL'!F77 </x:f>
        <x:v>583</x:v>
      </x:c>
      <x:c r="C26" s="163" t="n">
        <x:f>'14_GEN_CAP_NATIONAL'!I83</x:f>
        <x:v>270</x:v>
      </x:c>
      <x:c r="D26" s="163" t="n">
        <x:f>'14_GEN_CAP_NATIONAL'!I84</x:f>
        <x:v>200</x:v>
      </x:c>
      <x:c r="E26" s="163" t="n">
        <x:f>'14_GEN_CAP_NATIONAL'!I85</x:f>
        <x:v>50</x:v>
      </x:c>
      <x:c r="F26" s="163" t="n">
        <x:f>'14_GEN_CAP_NATIONAL'!I86</x:f>
        <x:v>20</x:v>
      </x:c>
      <x:c r="G26" s="163" t="n">
        <x:f>'14_GEN_CAP_NATIONAL'!I87</x:f>
        <x:v>0</x:v>
      </x:c>
      <x:c r="H26" s="163" t="n">
        <x:f>'16_ANNUAL_BALANCE'!F193</x:f>
        <x:v>474</x:v>
      </x:c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</x:row>
    <x:row r="30">
      <x:c r="A30" s="162" t="str">
        <x:v>Gap model-critical trasferiti alle fasi successive</x:v>
      </x:c>
      <x:c r="B30" s="162"/>
      <x:c r="C30" s="162"/>
      <x:c r="D30" s="162"/>
      <x:c r="E30" s="162"/>
      <x:c r="F30" s="162"/>
      <x:c r="G30" s="162"/>
      <x:c r="H30" s="162"/>
      <x:c r="I30" s="162"/>
      <x:c r="J30" s="162"/>
      <x:c r="K30" s="45"/>
      <x:c r="L30" s="45"/>
      <x:c r="M30" s="45"/>
      <x:c r="N30" s="45"/>
      <x:c r="O30" s="45"/>
      <x:c r="P30" s="45"/>
      <x:c r="Q30" s="45"/>
      <x:c r="R30" s="45"/>
    </x:row>
    <x:row r="31">
      <x:c r="A31" s="160" t="str">
        <x:v>Gap</x:v>
      </x:c>
      <x:c r="B31" s="160" t="str">
        <x:v>Impatto</x:v>
      </x:c>
      <x:c r="C31" s="160" t="str">
        <x:v>Risoluzione</x:v>
      </x:c>
      <x:c r="D31" s="45"/>
      <x:c r="E31" s="160" t="str">
        <x:v>Review QA: arrotondamenti conservati, nessuna correzione automatica</x:v>
      </x:c>
      <x:c r="F31" s="160"/>
      <x:c r="G31" s="160"/>
      <x:c r="H31" s="160"/>
      <x:c r="I31" s="160"/>
      <x:c r="J31" s="160"/>
      <x:c r="K31" s="45"/>
      <x:c r="L31" s="45"/>
      <x:c r="M31" s="45"/>
      <x:c r="N31" s="45"/>
      <x:c r="O31" s="45"/>
      <x:c r="P31" s="45"/>
      <x:c r="Q31" s="45"/>
      <x:c r="R31" s="45"/>
    </x:row>
    <x:row r="32">
      <x:c r="A32" s="164" t="str">
        <x:v>Profili orari zonali</x:v>
      </x:c>
      <x:c r="B32" s="164" t="str">
        <x:v>Domanda, FER e idrologia</x:v>
      </x:c>
      <x:c r="C32" s="164" t="str">
        <x:v>Fase 4 / fonti esterne</x:v>
      </x:c>
      <x:c r="D32" s="45"/>
      <x:c r="E32" s="165" t="str">
        <x:v>QA ID</x:v>
      </x:c>
      <x:c r="F32" s="165" t="str">
        <x:v>Scenario</x:v>
      </x:c>
      <x:c r="G32" s="165" t="str">
        <x:v>Metrica</x:v>
      </x:c>
      <x:c r="H32" s="165" t="str">
        <x:v>Scarto</x:v>
      </x:c>
      <x:c r="I32" s="165" t="str">
        <x:v>Tolleranza</x:v>
      </x:c>
      <x:c r="J32" s="45"/>
      <x:c r="K32" s="45"/>
      <x:c r="L32" s="45"/>
      <x:c r="M32" s="45"/>
      <x:c r="N32" s="45"/>
      <x:c r="O32" s="45"/>
      <x:c r="P32" s="45"/>
      <x:c r="Q32" s="45"/>
      <x:c r="R32" s="45"/>
    </x:row>
    <x:row r="33">
      <x:c r="A33" s="164" t="str">
        <x:v>Zonalizzazione domanda</x:v>
      </x:c>
      <x:c r="B33" s="164" t="str">
        <x:v>2040 e soprattutto 2050</x:v>
      </x:c>
      <x:c r="C33" s="164" t="str">
        <x:v>Fase 4</x:v>
      </x:c>
      <x:c r="D33" s="45"/>
      <x:c r="E33" s="166" t="str">
        <x:v>QA-003</x:v>
      </x:c>
      <x:c r="F33" s="166" t="str">
        <x:v>PNIEC_POLICY_2030</x:v>
      </x:c>
      <x:c r="G33" s="166" t="str">
        <x:v>Solar</x:v>
      </x:c>
      <x:c r="H33" s="167" t="n">
        <x:v>-0.2</x:v>
      </x:c>
      <x:c r="I33" s="167" t="n">
        <x:v>0.15</x:v>
      </x:c>
      <x:c r="J33" s="45"/>
      <x:c r="K33" s="45"/>
      <x:c r="L33" s="45"/>
      <x:c r="M33" s="45"/>
      <x:c r="N33" s="45"/>
      <x:c r="O33" s="45"/>
      <x:c r="P33" s="45"/>
      <x:c r="Q33" s="45"/>
      <x:c r="R33" s="45"/>
    </x:row>
    <x:row r="34">
      <x:c r="A34" s="164" t="str">
        <x:v>Idroelettrico/pompaggi</x:v>
      </x:c>
      <x:c r="B34" s="164" t="str">
        <x:v>Potenza, energia, inflow e SOC</x:v>
      </x:c>
      <x:c r="C34" s="164" t="str">
        <x:v>Fase 3B</x:v>
      </x:c>
      <x:c r="D34" s="45"/>
      <x:c r="E34" s="166" t="str">
        <x:v>QA-010</x:v>
      </x:c>
      <x:c r="F34" s="166" t="str">
        <x:v>GA_IT_2035</x:v>
      </x:c>
      <x:c r="G34" s="166" t="str">
        <x:v>Wind</x:v>
      </x:c>
      <x:c r="H34" s="167" t="n">
        <x:v>0.2</x:v>
      </x:c>
      <x:c r="I34" s="167" t="n">
        <x:v>0.15</x:v>
      </x:c>
      <x:c r="J34" s="45"/>
      <x:c r="K34" s="45"/>
      <x:c r="L34" s="45"/>
      <x:c r="M34" s="45"/>
      <x:c r="N34" s="45"/>
      <x:c r="O34" s="45"/>
      <x:c r="P34" s="45"/>
      <x:c r="Q34" s="45"/>
      <x:c r="R34" s="45"/>
    </x:row>
    <x:row r="35">
      <x:c r="A35" s="164" t="str">
        <x:v>Accumuli</x:v>
      </x:c>
      <x:c r="B35" s="164" t="str">
        <x:v>MW/MWh, durata, efficienze e zona</x:v>
      </x:c>
      <x:c r="C35" s="164" t="str">
        <x:v>Fase 3B</x:v>
      </x:c>
      <x:c r="D35" s="45"/>
      <x:c r="E35" s="166" t="str">
        <x:v>QA-014</x:v>
      </x:c>
      <x:c r="F35" s="166" t="str">
        <x:v>DE_IT_2040</x:v>
      </x:c>
      <x:c r="G35" s="166" t="str">
        <x:v>Wind</x:v>
      </x:c>
      <x:c r="H35" s="167" t="n">
        <x:v>0.2</x:v>
      </x:c>
      <x:c r="I35" s="167" t="n">
        <x:v>0.15</x:v>
      </x:c>
      <x:c r="J35" s="45"/>
      <x:c r="K35" s="45"/>
      <x:c r="L35" s="45"/>
      <x:c r="M35" s="45"/>
      <x:c r="N35" s="45"/>
      <x:c r="O35" s="45"/>
      <x:c r="P35" s="45"/>
      <x:c r="Q35" s="45"/>
      <x:c r="R35" s="45"/>
    </x:row>
    <x:row r="36">
      <x:c r="A36" s="164" t="str">
        <x:v>Rete/interconnessioni</x:v>
      </x:c>
      <x:c r="B36" s="164" t="str">
        <x:v>NTC vs target vs rating progetto</x:v>
      </x:c>
      <x:c r="C36" s="164" t="str">
        <x:v>Fase 3C</x:v>
      </x:c>
      <x:c r="D36" s="45"/>
      <x:c r="E36" s="166" t="str">
        <x:v>QA-030</x:v>
      </x:c>
      <x:c r="F36" s="166" t="str">
        <x:v>PNIEC_SLOW_2030</x:v>
      </x:c>
      <x:c r="G36" s="166" t="str">
        <x:v>Produzione nazionale + import netto + perdite accumuli</x:v>
      </x:c>
      <x:c r="H36" s="167" t="n">
        <x:v>-2</x:v>
      </x:c>
      <x:c r="I36" s="167" t="n">
        <x:v>1.1</x:v>
      </x:c>
      <x:c r="J36" s="45"/>
      <x:c r="K36" s="45"/>
      <x:c r="L36" s="45"/>
      <x:c r="M36" s="45"/>
      <x:c r="N36" s="45"/>
      <x:c r="O36" s="45"/>
      <x:c r="P36" s="45"/>
      <x:c r="Q36" s="45"/>
      <x:c r="R36" s="45"/>
    </x:row>
    <x:row r="37">
      <x:c r="A37" s="164" t="str">
        <x:v>Termoelettrico</x:v>
      </x:c>
      <x:c r="B37" s="164" t="str">
        <x:v>Tecnologie, efficienze, outage, costi</x:v>
      </x:c>
      <x:c r="C37" s="164" t="str">
        <x:v>Fase 3D</x:v>
      </x:c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45"/>
      <x:c r="Q37" s="45"/>
      <x:c r="R37" s="45"/>
    </x:row>
    <x:row r="38">
      <x:c r="A38" s="164" t="str">
        <x:v>Localizzazione 2050</x:v>
      </x:c>
      <x:c r="B38" s="164" t="str">
        <x:v>FER, termico, storage, nucleare</x:v>
      </x:c>
      <x:c r="C38" s="164" t="str">
        <x:v>Fase 4</x:v>
      </x:c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</x:row>
    <x:row r="39">
      <x:c r="A39" s="164" t="str">
        <x:v>Perimetro estero</x:v>
      </x:c>
      <x:c r="B39" s="164" t="str">
        <x:v>Endogeno o prezzi/import esogeni</x:v>
      </x:c>
      <x:c r="C39" s="164" t="str">
        <x:v>Fase 4</x:v>
      </x:c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</x:row>
    <x:row r="44">
      <x:c r="A44" s="184" t="str">
        <x:v>Scenario</x:v>
      </x:c>
      <x:c r="B44" s="184" t="str">
        <x:v>FRNP GW</x:v>
      </x:c>
      <x:c r="C44" s="184" t="str">
        <x:v>Solare GW</x:v>
      </x:c>
      <x:c r="D44" s="184" t="str">
        <x:v>Onshore GW</x:v>
      </x:c>
      <x:c r="E44" s="184" t="str">
        <x:v>Offshore GW</x:v>
      </x:c>
      <x:c r="F44" s="184" t="str">
        <x:v>Nucleare GW</x:v>
      </x:c>
    </x:row>
    <x:row r="45">
      <x:c r="A45" s="184" t="str">
        <x:v>PNIEC con nucleare</x:v>
      </x:c>
      <x:c r="B45" s="185" t="n">
        <x:f>C23</x:f>
        <x:v>296</x:v>
      </x:c>
      <x:c r="C45" s="185" t="n">
        <x:f>D23</x:f>
        <x:v>245</x:v>
      </x:c>
      <x:c r="D45" s="185" t="n">
        <x:f>E23</x:f>
        <x:v>36</x:v>
      </x:c>
      <x:c r="E45" s="185" t="n">
        <x:f>F23</x:f>
        <x:v>15</x:v>
      </x:c>
      <x:c r="F45" s="185" t="n">
        <x:f>G23</x:f>
        <x:v>8</x:v>
      </x:c>
    </x:row>
    <x:row r="46">
      <x:c r="A46" s="184" t="str">
        <x:v>PNIEC senza nucleare</x:v>
      </x:c>
      <x:c r="B46" s="185" t="n">
        <x:f>C24</x:f>
        <x:v>296</x:v>
      </x:c>
      <x:c r="C46" s="185" t="n">
        <x:f>D24</x:f>
        <x:v>245</x:v>
      </x:c>
      <x:c r="D46" s="185" t="n">
        <x:f>E24</x:f>
        <x:v>36</x:v>
      </x:c>
      <x:c r="E46" s="185" t="n">
        <x:f>F24</x:f>
        <x:v>15</x:v>
      </x:c>
      <x:c r="F46" s="185" t="n">
        <x:f>G24</x:f>
        <x:v>0</x:v>
      </x:c>
    </x:row>
    <x:row r="47">
      <x:c r="A47" s="184" t="str">
        <x:v>Terna con nucleare</x:v>
      </x:c>
      <x:c r="B47" s="185" t="n">
        <x:f>C25</x:f>
        <x:v>246</x:v>
      </x:c>
      <x:c r="C47" s="185" t="n">
        <x:f>D25</x:f>
        <x:v>180</x:v>
      </x:c>
      <x:c r="D47" s="185" t="n">
        <x:f>E25</x:f>
        <x:v>46</x:v>
      </x:c>
      <x:c r="E47" s="185" t="n">
        <x:f>F25</x:f>
        <x:v>20</x:v>
      </x:c>
      <x:c r="F47" s="185" t="n">
        <x:f>G25</x:f>
        <x:v>10</x:v>
      </x:c>
    </x:row>
    <x:row r="48">
      <x:c r="A48" s="184" t="str">
        <x:v>Terna senza nucleare</x:v>
      </x:c>
      <x:c r="B48" s="185" t="n">
        <x:f>C26</x:f>
        <x:v>270</x:v>
      </x:c>
      <x:c r="C48" s="185" t="n">
        <x:f>D26</x:f>
        <x:v>200</x:v>
      </x:c>
      <x:c r="D48" s="185" t="n">
        <x:f>E26</x:f>
        <x:v>50</x:v>
      </x:c>
      <x:c r="E48" s="185" t="n">
        <x:f>F26</x:f>
        <x:v>20</x:v>
      </x:c>
      <x:c r="F48" s="185" t="n">
        <x:f>G26</x:f>
        <x:v>0</x:v>
      </x:c>
    </x:row>
  </x:sheetData>
  <x:mergeCells>
    <x:mergeCell ref="A1:R1"/>
    <x:mergeCell ref="A2:R2"/>
    <x:mergeCell ref="D4:J4"/>
    <x:mergeCell ref="D5:J12"/>
    <x:mergeCell ref="A30:J30"/>
    <x:mergeCell ref="E31:J31"/>
  </x:mergeCells>
  <x:pageMargins left="0.7" right="0.7" top="0.75" bottom="0.75" header="0.3" footer="0.3"/>
  <x:drawing xmlns:r="http://schemas.openxmlformats.org/officeDocument/2006/relationships" r:id="Re5705014c3ce4afc"/>
</x:worksheet>
</file>

<file path=xl/worksheets/sheet2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28" hidden="0" customWidth="1"/>
    <x:col min="5" max="5" width="20" hidden="0" customWidth="1"/>
    <x:col min="6" max="6" width="18" hidden="0" customWidth="1"/>
    <x:col min="7" max="7" width="34" hidden="0" customWidth="1"/>
    <x:col min="8" max="8" width="24" hidden="0" customWidth="1"/>
    <x:col min="9" max="9" width="24" hidden="0" customWidth="1"/>
    <x:col min="10" max="10" width="14" hidden="0" customWidth="1"/>
    <x:col min="11" max="11" width="16" hidden="0" customWidth="1"/>
    <x:col min="12" max="12" width="17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20" hidden="0" customWidth="1"/>
    <x:col min="18" max="18" width="18" hidden="0" customWidth="1"/>
    <x:col min="19" max="19" width="18" hidden="0" customWidth="1"/>
    <x:col min="20" max="20" width="12" hidden="0" customWidth="1"/>
    <x:col min="21" max="21" width="44" hidden="0" customWidth="1"/>
    <x:col min="22" max="22" width="12" hidden="0" customWidth="1"/>
    <x:col min="23" max="23" width="16" hidden="0" customWidth="1"/>
    <x:col min="24" max="24" width="24" hidden="0" customWidth="1"/>
    <x:col min="25" max="25" width="30" hidden="0" customWidth="1"/>
    <x:col min="26" max="26" width="34" hidden="0" customWidth="1"/>
    <x:col min="27" max="27" width="20" hidden="0" customWidth="1"/>
    <x:col min="28" max="28" width="50" hidden="0" customWidth="1"/>
    <x:col min="29" max="29" width="54" hidden="0" customWidth="1"/>
  </x:cols>
  <x:sheetData>
    <x:row r="1" ht="34" customHeight="1">
      <x:c r="A1" s="188" t="str">
        <x:v>Accumuli — capacità, potenza e status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  <x:c r="V1" s="188"/>
      <x:c r="W1" s="188"/>
      <x:c r="X1" s="188"/>
      <x:c r="Y1" s="188"/>
      <x:c r="Z1" s="188"/>
      <x:c r="AA1" s="188"/>
      <x:c r="AB1" s="188"/>
      <x:c r="AC1" s="188"/>
    </x:row>
    <x:row r="2" ht="30" customHeight="1">
      <x:c r="A2" s="192" t="str">
        <x:v>58 record nazionali, storici, contrattuali e di scenario; pipeline tenuta separata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  <x:c r="V2" s="192"/>
      <x:c r="W2" s="192"/>
      <x:c r="X2" s="192"/>
      <x:c r="Y2" s="192"/>
      <x:c r="Z2" s="192"/>
      <x:c r="AA2" s="192"/>
      <x:c r="AB2" s="192"/>
      <x:c r="AC2" s="192"/>
    </x:row>
    <x:row r="4" ht="42" customHeight="1">
      <x:c r="A4" s="196" t="str">
        <x:v>Record ID</x:v>
      </x:c>
      <x:c r="B4" s="196" t="str">
        <x:v>Scenario ID</x:v>
      </x:c>
      <x:c r="C4" s="196" t="str">
        <x:v>Anno</x:v>
      </x:c>
      <x:c r="D4" s="196" t="str">
        <x:v>Scenario</x:v>
      </x:c>
      <x:c r="E4" s="196" t="str">
        <x:v>Geografia</x:v>
      </x:c>
      <x:c r="F4" s="196" t="str">
        <x:v>Zona</x:v>
      </x:c>
      <x:c r="G4" s="196" t="str">
        <x:v>Classe storage</x:v>
      </x:c>
      <x:c r="H4" s="196" t="str">
        <x:v>Tecnologia</x:v>
      </x:c>
      <x:c r="I4" s="196" t="str">
        <x:v>Status</x:v>
      </x:c>
      <x:c r="J4" s="196" t="str">
        <x:v>Energia GWh</x:v>
      </x:c>
      <x:c r="K4" s="196" t="str">
        <x:v>Potenza carica GW</x:v>
      </x:c>
      <x:c r="L4" s="196" t="str">
        <x:v>Potenza scarica GW</x:v>
      </x:c>
      <x:c r="M4" s="196" t="str">
        <x:v>Durata min h</x:v>
      </x:c>
      <x:c r="N4" s="196" t="str">
        <x:v>Durata base h</x:v>
      </x:c>
      <x:c r="O4" s="196" t="str">
        <x:v>Durata max h</x:v>
      </x:c>
      <x:c r="P4" s="196" t="str">
        <x:v>Potenza derivata min GW</x:v>
      </x:c>
      <x:c r="Q4" s="196" t="str">
        <x:v>Potenza derivata base GW</x:v>
      </x:c>
      <x:c r="R4" s="196" t="str">
        <x:v>Potenza derivata max GW</x:v>
      </x:c>
      <x:c r="S4" s="196" t="str">
        <x:v>Durata implicita E/P h</x:v>
      </x:c>
      <x:c r="T4" s="196" t="str">
        <x:v>Fonte</x:v>
      </x:c>
      <x:c r="U4" s="196" t="str">
        <x:v>File fonte</x:v>
      </x:c>
      <x:c r="V4" s="196" t="str">
        <x:v>Pagina PDF</x:v>
      </x:c>
      <x:c r="W4" s="196" t="str">
        <x:v>Pagina stampata</x:v>
      </x:c>
      <x:c r="X4" s="196" t="str">
        <x:v>Tabella/Figura</x:v>
      </x:c>
      <x:c r="Y4" s="196" t="str">
        <x:v>Tipo evidenza</x:v>
      </x:c>
      <x:c r="Z4" s="196" t="str">
        <x:v>Metodo</x:v>
      </x:c>
      <x:c r="AA4" s="196" t="str">
        <x:v>Affidabilità</x:v>
      </x:c>
      <x:c r="AB4" s="196" t="str">
        <x:v>Trattamento modello</x:v>
      </x:c>
      <x:c r="AC4" s="196" t="str">
        <x:v>Note</x:v>
      </x:c>
    </x:row>
    <x:row r="5">
      <x:c r="A5" s="83" t="str">
        <x:v>ST-001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Italia</x:v>
      </x:c>
      <x:c r="F5" s="83" t="str"/>
      <x:c r="G5" s="83" t="str">
        <x:v>Electrochemical total</x:v>
      </x:c>
      <x:c r="H5" s="83" t="str">
        <x:v>BESS</x:v>
      </x:c>
      <x:c r="I5" s="83" t="str">
        <x:v>Observed installed</x:v>
      </x:c>
      <x:c r="J5" s="197" t="n">
        <x:v>7.02047</x:v>
      </x:c>
      <x:c r="K5" s="197" t="n">
        <x:v>3.45193</x:v>
      </x:c>
      <x:c r="L5" s="197" t="n">
        <x:v>3.45193</x:v>
      </x:c>
      <x:c r="M5" s="197"/>
      <x:c r="N5" s="197" t="n">
        <x:v>2.033781102166035</x:v>
      </x:c>
      <x:c r="O5" s="197"/>
      <x:c r="P5" s="197" t="str">
        <x:f>IF(AND(J5&lt;&gt;"",O5&lt;&gt;""),J5/O5,"")</x:f>
      </x:c>
      <x:c r="Q5" s="197" t="n">
        <x:f>IF(AND(J5&lt;&gt;"",N5&lt;&gt;""),J5/N5,"")</x:f>
        <x:v>3.4519299999999995</x:v>
      </x:c>
      <x:c r="R5" s="197" t="str">
        <x:f>IF(AND(J5&lt;&gt;"",M5&lt;&gt;""),J5/M5,"")</x:f>
      </x:c>
      <x:c r="S5" s="197" t="n">
        <x:f>IF(AND(J5&lt;&gt;"",L5&lt;&gt;""),J5/L5,"")</x:f>
        <x:v>2.033781102166035</x:v>
      </x:c>
      <x:c r="T5" s="83" t="str">
        <x:v>S01</x:v>
      </x:c>
      <x:c r="U5" s="83" t="str">
        <x:v>Stato del sistema elettrico e scenari energetici 2025</x:v>
      </x:c>
      <x:c r="V5" s="83" t="n">
        <x:v>27</x:v>
      </x:c>
      <x:c r="W5" s="83" t="n">
        <x:v>25</x:v>
      </x:c>
      <x:c r="X5" s="83" t="str">
        <x:v>Narrative + Figures 12-13</x:v>
      </x:c>
      <x:c r="Y5" s="83" t="str">
        <x:v>Dato osservato storico</x:v>
      </x:c>
      <x:c r="Z5" s="83" t="str">
        <x:v>Direct; duration = energy/power</x:v>
      </x:c>
      <x:c r="AA5" s="83" t="str">
        <x:v>A direct / B derived duration</x:v>
      </x:c>
      <x:c r="AB5" s="83" t="str">
        <x:v>Historical calibration only; not a future scenario class.</x:v>
      </x:c>
      <x:c r="AC5" s="83" t="str">
        <x:v>About 524,000 systems.</x:v>
      </x:c>
    </x:row>
    <x:row r="6">
      <x:c r="A6" s="83" t="str">
        <x:v>ST-002</x:v>
      </x:c>
      <x:c r="B6" s="83" t="str">
        <x:v>HIST_2023</x:v>
      </x:c>
      <x:c r="C6" s="83" t="n">
        <x:v>2023</x:v>
      </x:c>
      <x:c r="D6" s="83" t="str">
        <x:v>Storico 2023</x:v>
      </x:c>
      <x:c r="E6" s="83" t="str">
        <x:v>Italia</x:v>
      </x:c>
      <x:c r="F6" s="83" t="str"/>
      <x:c r="G6" s="83" t="str">
        <x:v>Electrochemical integrated with FER</x:v>
      </x:c>
      <x:c r="H6" s="83" t="str">
        <x:v>BESS</x:v>
      </x:c>
      <x:c r="I6" s="83" t="str">
        <x:v>Observed installed</x:v>
      </x:c>
      <x:c r="J6" s="197" t="n">
        <x:v>6.47535</x:v>
      </x:c>
      <x:c r="K6" s="197" t="n">
        <x:v>3.19489</x:v>
      </x:c>
      <x:c r="L6" s="197" t="n">
        <x:v>3.19489</x:v>
      </x:c>
      <x:c r="M6" s="197"/>
      <x:c r="N6" s="197" t="n">
        <x:v>2.026783394733465</x:v>
      </x:c>
      <x:c r="O6" s="197"/>
      <x:c r="P6" s="197" t="str">
        <x:f>IF(AND(J6&lt;&gt;"",O6&lt;&gt;""),J6/O6,"")</x:f>
      </x:c>
      <x:c r="Q6" s="197" t="n">
        <x:f>IF(AND(J6&lt;&gt;"",N6&lt;&gt;""),J6/N6,"")</x:f>
        <x:v>3.19489</x:v>
      </x:c>
      <x:c r="R6" s="197" t="str">
        <x:f>IF(AND(J6&lt;&gt;"",M6&lt;&gt;""),J6/M6,"")</x:f>
      </x:c>
      <x:c r="S6" s="197" t="n">
        <x:f>IF(AND(J6&lt;&gt;"",L6&lt;&gt;""),J6/L6,"")</x:f>
        <x:v>2.026783394733465</x:v>
      </x:c>
      <x:c r="T6" s="83" t="str">
        <x:v>S01</x:v>
      </x:c>
      <x:c r="U6" s="83" t="str">
        <x:v>Stato del sistema elettrico e scenari energetici 2025</x:v>
      </x:c>
      <x:c r="V6" s="83" t="n">
        <x:v>28</x:v>
      </x:c>
      <x:c r="W6" s="83" t="n">
        <x:v>26</x:v>
      </x:c>
      <x:c r="X6" s="83" t="str">
        <x:v>Figures 12-13</x:v>
      </x:c>
      <x:c r="Y6" s="83" t="str">
        <x:v>Dato osservato storico</x:v>
      </x:c>
      <x:c r="Z6" s="83" t="str">
        <x:v>Direct; duration derived</x:v>
      </x:c>
      <x:c r="AA6" s="83" t="str">
        <x:v>A direct / B derived duration</x:v>
      </x:c>
      <x:c r="AB6" s="83" t="str">
        <x:v>Historical context.</x:v>
      </x:c>
      <x:c r="AC6" s="83" t="str">
        <x:v>92.22% of energy and 92.54% of power.</x:v>
      </x:c>
    </x:row>
    <x:row r="7">
      <x:c r="A7" s="83" t="str">
        <x:v>ST-003</x:v>
      </x:c>
      <x:c r="B7" s="83" t="str">
        <x:v>HIST_2023</x:v>
      </x:c>
      <x:c r="C7" s="83" t="n">
        <x:v>2023</x:v>
      </x:c>
      <x:c r="D7" s="83" t="str">
        <x:v>Storico 2023</x:v>
      </x:c>
      <x:c r="E7" s="83" t="str">
        <x:v>Italia</x:v>
      </x:c>
      <x:c r="F7" s="83" t="str"/>
      <x:c r="G7" s="83" t="str">
        <x:v>Electrochemical not integrated with FER</x:v>
      </x:c>
      <x:c r="H7" s="83" t="str">
        <x:v>BESS</x:v>
      </x:c>
      <x:c r="I7" s="83" t="str">
        <x:v>Observed installed</x:v>
      </x:c>
      <x:c r="J7" s="197" t="n">
        <x:v>0.54512</x:v>
      </x:c>
      <x:c r="K7" s="197" t="n">
        <x:v>0.25704</x:v>
      </x:c>
      <x:c r="L7" s="197" t="n">
        <x:v>0.25704</x:v>
      </x:c>
      <x:c r="M7" s="197"/>
      <x:c r="N7" s="197" t="n">
        <x:v>2.120759414877062</x:v>
      </x:c>
      <x:c r="O7" s="197"/>
      <x:c r="P7" s="197" t="str">
        <x:f>IF(AND(J7&lt;&gt;"",O7&lt;&gt;""),J7/O7,"")</x:f>
      </x:c>
      <x:c r="Q7" s="197" t="n">
        <x:f>IF(AND(J7&lt;&gt;"",N7&lt;&gt;""),J7/N7,"")</x:f>
        <x:v>0.25704</x:v>
      </x:c>
      <x:c r="R7" s="197" t="str">
        <x:f>IF(AND(J7&lt;&gt;"",M7&lt;&gt;""),J7/M7,"")</x:f>
      </x:c>
      <x:c r="S7" s="197" t="n">
        <x:f>IF(AND(J7&lt;&gt;"",L7&lt;&gt;""),J7/L7,"")</x:f>
        <x:v>2.120759414877062</x:v>
      </x:c>
      <x:c r="T7" s="83" t="str">
        <x:v>S01</x:v>
      </x:c>
      <x:c r="U7" s="83" t="str">
        <x:v>Stato del sistema elettrico e scenari energetici 2025</x:v>
      </x:c>
      <x:c r="V7" s="83" t="n">
        <x:v>28</x:v>
      </x:c>
      <x:c r="W7" s="83" t="n">
        <x:v>26</x:v>
      </x:c>
      <x:c r="X7" s="83" t="str">
        <x:v>Figures 12-13</x:v>
      </x:c>
      <x:c r="Y7" s="83" t="str">
        <x:v>Dato osservato storico</x:v>
      </x:c>
      <x:c r="Z7" s="83" t="str">
        <x:v>Direct; duration derived</x:v>
      </x:c>
      <x:c r="AA7" s="83" t="str">
        <x:v>A direct / B derived duration</x:v>
      </x:c>
      <x:c r="AB7" s="83" t="str">
        <x:v>Historical context.</x:v>
      </x:c>
      <x:c r="AC7" s="83" t="str">
        <x:v>7.78% of energy and 7.46% of power.</x:v>
      </x:c>
    </x:row>
    <x:row r="8">
      <x:c r="A8" s="83" t="str">
        <x:v>ST-004</x:v>
      </x:c>
      <x:c r="B8" s="83" t="str"/>
      <x:c r="C8" s="83" t="n">
        <x:v>2024</x:v>
      </x:c>
      <x:c r="D8" s="83" t="str">
        <x:v>Storico 2024</x:v>
      </x:c>
      <x:c r="E8" s="83" t="str">
        <x:v>Italia</x:v>
      </x:c>
      <x:c r="F8" s="83" t="str"/>
      <x:c r="G8" s="83" t="str">
        <x:v>Electrochemical total</x:v>
      </x:c>
      <x:c r="H8" s="83" t="str">
        <x:v>BESS</x:v>
      </x:c>
      <x:c r="I8" s="83" t="str">
        <x:v>Observed installed</x:v>
      </x:c>
      <x:c r="J8" s="197" t="n">
        <x:v>12.94</x:v>
      </x:c>
      <x:c r="K8" s="197" t="n">
        <x:v>5.56541</x:v>
      </x:c>
      <x:c r="L8" s="197" t="n">
        <x:v>5.56541</x:v>
      </x:c>
      <x:c r="M8" s="197"/>
      <x:c r="N8" s="197" t="n">
        <x:v>2.3250757805804065</x:v>
      </x:c>
      <x:c r="O8" s="197"/>
      <x:c r="P8" s="197" t="str">
        <x:f>IF(AND(J8&lt;&gt;"",O8&lt;&gt;""),J8/O8,"")</x:f>
      </x:c>
      <x:c r="Q8" s="197" t="n">
        <x:f>IF(AND(J8&lt;&gt;"",N8&lt;&gt;""),J8/N8,"")</x:f>
        <x:v>5.56541</x:v>
      </x:c>
      <x:c r="R8" s="197" t="str">
        <x:f>IF(AND(J8&lt;&gt;"",M8&lt;&gt;""),J8/M8,"")</x:f>
      </x:c>
      <x:c r="S8" s="197" t="n">
        <x:f>IF(AND(J8&lt;&gt;"",L8&lt;&gt;""),J8/L8,"")</x:f>
        <x:v>2.3250757805804065</x:v>
      </x:c>
      <x:c r="T8" s="83" t="str">
        <x:v>S01</x:v>
      </x:c>
      <x:c r="U8" s="83" t="str">
        <x:v>Stato del sistema elettrico e scenari energetici 2025</x:v>
      </x:c>
      <x:c r="V8" s="83" t="n">
        <x:v>27</x:v>
      </x:c>
      <x:c r="W8" s="83" t="n">
        <x:v>25</x:v>
      </x:c>
      <x:c r="X8" s="83" t="str">
        <x:v>Narrative + Figure 14</x:v>
      </x:c>
      <x:c r="Y8" s="83" t="str">
        <x:v>Dato osservato storico</x:v>
      </x:c>
      <x:c r="Z8" s="83" t="str">
        <x:v>Direct; duration derived</x:v>
      </x:c>
      <x:c r="AA8" s="83" t="str">
        <x:v>A direct / B derived duration</x:v>
      </x:c>
      <x:c r="AB8" s="83" t="str">
        <x:v>Historical calibration.</x:v>
      </x:c>
      <x:c r="AC8" s="83" t="str">
        <x:v>About 733,000 systems; power increased by 2.11 GW in 2024.</x:v>
      </x:c>
    </x:row>
    <x:row r="9">
      <x:c r="A9" s="83" t="str">
        <x:v>ST-005</x:v>
      </x:c>
      <x:c r="B9" s="83" t="str"/>
      <x:c r="C9" s="83" t="n">
        <x:v>2024</x:v>
      </x:c>
      <x:c r="D9" s="83" t="str">
        <x:v>Storico 2024</x:v>
      </x:c>
      <x:c r="E9" s="83" t="str">
        <x:v>Italia</x:v>
      </x:c>
      <x:c r="F9" s="83" t="str"/>
      <x:c r="G9" s="83" t="str">
        <x:v>Electrochemical integrated with FER</x:v>
      </x:c>
      <x:c r="H9" s="83" t="str">
        <x:v>BESS</x:v>
      </x:c>
      <x:c r="I9" s="83" t="str">
        <x:v>Observed installed</x:v>
      </x:c>
      <x:c r="J9" s="197"/>
      <x:c r="K9" s="197" t="n">
        <x:v>4.46565</x:v>
      </x:c>
      <x:c r="L9" s="197" t="n">
        <x:v>4.46565</x:v>
      </x:c>
      <x:c r="M9" s="197"/>
      <x:c r="N9" s="197"/>
      <x:c r="O9" s="197"/>
      <x:c r="P9" s="197" t="str">
        <x:f>IF(AND(J9&lt;&gt;"",O9&lt;&gt;""),J9/O9,"")</x:f>
      </x:c>
      <x:c r="Q9" s="197" t="str">
        <x:f>IF(AND(J9&lt;&gt;"",N9&lt;&gt;""),J9/N9,"")</x:f>
      </x:c>
      <x:c r="R9" s="197" t="str">
        <x:f>IF(AND(J9&lt;&gt;"",M9&lt;&gt;""),J9/M9,"")</x:f>
      </x:c>
      <x:c r="S9" s="197" t="str">
        <x:f>IF(AND(J9&lt;&gt;"",L9&lt;&gt;""),J9/L9,"")</x:f>
      </x:c>
      <x:c r="T9" s="83" t="str">
        <x:v>S01</x:v>
      </x:c>
      <x:c r="U9" s="83" t="str">
        <x:v>Stato del sistema elettrico e scenari energetici 2025</x:v>
      </x:c>
      <x:c r="V9" s="83" t="n">
        <x:v>28</x:v>
      </x:c>
      <x:c r="W9" s="83" t="n">
        <x:v>26</x:v>
      </x:c>
      <x:c r="X9" s="83" t="str">
        <x:v>Figure 14</x:v>
      </x:c>
      <x:c r="Y9" s="83" t="str">
        <x:v>Dato osservato storico</x:v>
      </x:c>
      <x:c r="Z9" s="83" t="str">
        <x:v>Direct</x:v>
      </x:c>
      <x:c r="AA9" s="83" t="str">
        <x:v>A — Direct</x:v>
      </x:c>
      <x:c r="AB9" s="83" t="str">
        <x:v>Historical context; energy split not provided.</x:v>
      </x:c>
      <x:c r="AC9" s="83" t="str">
        <x:v>82.73% of total power.</x:v>
      </x:c>
    </x:row>
    <x:row r="10">
      <x:c r="A10" s="83" t="str">
        <x:v>ST-006</x:v>
      </x:c>
      <x:c r="B10" s="83" t="str"/>
      <x:c r="C10" s="83" t="n">
        <x:v>2024</x:v>
      </x:c>
      <x:c r="D10" s="83" t="str">
        <x:v>Storico 2024</x:v>
      </x:c>
      <x:c r="E10" s="83" t="str">
        <x:v>Italia</x:v>
      </x:c>
      <x:c r="F10" s="83" t="str"/>
      <x:c r="G10" s="83" t="str">
        <x:v>Electrochemical not integrated with FER</x:v>
      </x:c>
      <x:c r="H10" s="83" t="str">
        <x:v>BESS</x:v>
      </x:c>
      <x:c r="I10" s="83" t="str">
        <x:v>Observed installed</x:v>
      </x:c>
      <x:c r="J10" s="197"/>
      <x:c r="K10" s="197" t="n">
        <x:v>1.09976</x:v>
      </x:c>
      <x:c r="L10" s="197" t="n">
        <x:v>1.09976</x:v>
      </x:c>
      <x:c r="M10" s="197"/>
      <x:c r="N10" s="197"/>
      <x:c r="O10" s="197"/>
      <x:c r="P10" s="197" t="str">
        <x:f>IF(AND(J10&lt;&gt;"",O10&lt;&gt;""),J10/O10,"")</x:f>
      </x:c>
      <x:c r="Q10" s="197" t="str">
        <x:f>IF(AND(J10&lt;&gt;"",N10&lt;&gt;""),J10/N10,"")</x:f>
      </x:c>
      <x:c r="R10" s="197" t="str">
        <x:f>IF(AND(J10&lt;&gt;"",M10&lt;&gt;""),J10/M10,"")</x:f>
      </x:c>
      <x:c r="S10" s="197" t="str">
        <x:f>IF(AND(J10&lt;&gt;"",L10&lt;&gt;""),J10/L10,"")</x:f>
      </x:c>
      <x:c r="T10" s="83" t="str">
        <x:v>S01</x:v>
      </x:c>
      <x:c r="U10" s="83" t="str">
        <x:v>Stato del sistema elettrico e scenari energetici 2025</x:v>
      </x:c>
      <x:c r="V10" s="83" t="n">
        <x:v>28</x:v>
      </x:c>
      <x:c r="W10" s="83" t="n">
        <x:v>26</x:v>
      </x:c>
      <x:c r="X10" s="83" t="str">
        <x:v>Figure 14</x:v>
      </x:c>
      <x:c r="Y10" s="83" t="str">
        <x:v>Dato osservato storico</x:v>
      </x:c>
      <x:c r="Z10" s="83" t="str">
        <x:v>Direct</x:v>
      </x:c>
      <x:c r="AA10" s="83" t="str">
        <x:v>A — Direct</x:v>
      </x:c>
      <x:c r="AB10" s="83" t="str">
        <x:v>Historical context; energy split not provided.</x:v>
      </x:c>
      <x:c r="AC10" s="83" t="str">
        <x:v>17.27% of total power.</x:v>
      </x:c>
    </x:row>
    <x:row r="11">
      <x:c r="A11" s="83" t="str">
        <x:v>ST-007</x:v>
      </x:c>
      <x:c r="B11" s="83" t="str"/>
      <x:c r="C11" s="83" t="n">
        <x:v>2025</x:v>
      </x:c>
      <x:c r="D11" s="83" t="str">
        <x:v>Giugno 2025</x:v>
      </x:c>
      <x:c r="E11" s="83" t="str">
        <x:v>Italia</x:v>
      </x:c>
      <x:c r="F11" s="83" t="str"/>
      <x:c r="G11" s="83" t="str">
        <x:v>Electrochemical total</x:v>
      </x:c>
      <x:c r="H11" s="83" t="str">
        <x:v>BESS</x:v>
      </x:c>
      <x:c r="I11" s="83" t="str">
        <x:v>Observed installed</x:v>
      </x:c>
      <x:c r="J11" s="197" t="n">
        <x:v>16.4</x:v>
      </x:c>
      <x:c r="K11" s="197" t="n">
        <x:v>6.8</x:v>
      </x:c>
      <x:c r="L11" s="197" t="n">
        <x:v>6.8</x:v>
      </x:c>
      <x:c r="M11" s="197"/>
      <x:c r="N11" s="197" t="n">
        <x:v>2.411764705882353</x:v>
      </x:c>
      <x:c r="O11" s="197"/>
      <x:c r="P11" s="197" t="str">
        <x:f>IF(AND(J11&lt;&gt;"",O11&lt;&gt;""),J11/O11,"")</x:f>
      </x:c>
      <x:c r="Q11" s="197" t="n">
        <x:f>IF(AND(J11&lt;&gt;"",N11&lt;&gt;""),J11/N11,"")</x:f>
        <x:v>6.8</x:v>
      </x:c>
      <x:c r="R11" s="197" t="str">
        <x:f>IF(AND(J11&lt;&gt;"",M11&lt;&gt;""),J11/M11,"")</x:f>
      </x:c>
      <x:c r="S11" s="197" t="n">
        <x:f>IF(AND(J11&lt;&gt;"",L11&lt;&gt;""),J11/L11,"")</x:f>
        <x:v>2.411764705882353</x:v>
      </x:c>
      <x:c r="T11" s="83" t="str">
        <x:v>S07</x:v>
      </x:c>
      <x:c r="U11" s="83" t="str">
        <x:v>Prospettive di Sviluppo del Sistema Energetico 2050</x:v>
      </x:c>
      <x:c r="V11" s="83" t="n">
        <x:v>14</x:v>
      </x:c>
      <x:c r="W11" s="83" t="n">
        <x:v>12</x:v>
      </x:c>
      <x:c r="X11" s="83" t="str">
        <x:v>Narrative</x:v>
      </x:c>
      <x:c r="Y11" s="83" t="str">
        <x:v>Dato osservato storico</x:v>
      </x:c>
      <x:c r="Z11" s="83" t="str">
        <x:v>Direct; duration derived</x:v>
      </x:c>
      <x:c r="AA11" s="83" t="str">
        <x:v>A direct / B derived duration</x:v>
      </x:c>
      <x:c r="AB11" s="83" t="str">
        <x:v>Latest corpus baseline.</x:v>
      </x:c>
      <x:c r="AC11" s="83" t="str">
        <x:v>4.8 GW refers to systems below 20 kW; most large projects entered in 2024-2025 following Capacity Market awards.</x:v>
      </x:c>
    </x:row>
    <x:row r="12">
      <x:c r="A12" s="83" t="str">
        <x:v>ST-008</x:v>
      </x:c>
      <x:c r="B12" s="83" t="str"/>
      <x:c r="C12" s="83" t="n">
        <x:v>2025</x:v>
      </x:c>
      <x:c r="D12" s="83" t="str">
        <x:v>Giugno 2025</x:v>
      </x:c>
      <x:c r="E12" s="83" t="str">
        <x:v>Italia</x:v>
      </x:c>
      <x:c r="F12" s="83" t="str"/>
      <x:c r="G12" s="83" t="str">
        <x:v>Electrochemical below 20 kW</x:v>
      </x:c>
      <x:c r="H12" s="83" t="str">
        <x:v>Distributed BESS</x:v>
      </x:c>
      <x:c r="I12" s="83" t="str">
        <x:v>Observed installed</x:v>
      </x:c>
      <x:c r="J12" s="197"/>
      <x:c r="K12" s="197" t="n">
        <x:v>4.8</x:v>
      </x:c>
      <x:c r="L12" s="197" t="n">
        <x:v>4.8</x:v>
      </x:c>
      <x:c r="M12" s="197"/>
      <x:c r="N12" s="197"/>
      <x:c r="O12" s="197"/>
      <x:c r="P12" s="197" t="str">
        <x:f>IF(AND(J12&lt;&gt;"",O12&lt;&gt;""),J12/O12,"")</x:f>
      </x:c>
      <x:c r="Q12" s="197" t="str">
        <x:f>IF(AND(J12&lt;&gt;"",N12&lt;&gt;""),J12/N12,"")</x:f>
      </x:c>
      <x:c r="R12" s="197" t="str">
        <x:f>IF(AND(J12&lt;&gt;"",M12&lt;&gt;""),J12/M12,"")</x:f>
      </x:c>
      <x:c r="S12" s="197" t="str">
        <x:f>IF(AND(J12&lt;&gt;"",L12&lt;&gt;""),J12/L12,"")</x:f>
      </x:c>
      <x:c r="T12" s="83" t="str">
        <x:v>S07</x:v>
      </x:c>
      <x:c r="U12" s="83" t="str">
        <x:v>Prospettive di Sviluppo del Sistema Energetico 2050</x:v>
      </x:c>
      <x:c r="V12" s="83" t="n">
        <x:v>14</x:v>
      </x:c>
      <x:c r="W12" s="83" t="n">
        <x:v>12</x:v>
      </x:c>
      <x:c r="X12" s="83" t="str">
        <x:v>Narrative</x:v>
      </x:c>
      <x:c r="Y12" s="83" t="str">
        <x:v>Dato osservato storico</x:v>
      </x:c>
      <x:c r="Z12" s="83" t="str">
        <x:v>Direct</x:v>
      </x:c>
      <x:c r="AA12" s="83" t="str">
        <x:v>A — Direct</x:v>
      </x:c>
      <x:c r="AB12" s="83" t="str">
        <x:v>Context for distributed class; energy not reported.</x:v>
      </x:c>
      <x:c r="AC12" s="83" t="str">
        <x:v>Power only.</x:v>
      </x:c>
    </x:row>
    <x:row r="13">
      <x:c r="A13" s="83" t="str">
        <x:v>ST-009</x:v>
      </x:c>
      <x:c r="B13" s="83" t="str">
        <x:v>HIST_2023</x:v>
      </x:c>
      <x:c r="C13" s="83" t="n">
        <x:v>2023</x:v>
      </x:c>
      <x:c r="D13" s="83" t="str">
        <x:v>Storico 2023</x:v>
      </x:c>
      <x:c r="E13" s="83" t="str">
        <x:v>Italia</x:v>
      </x:c>
      <x:c r="F13" s="83" t="str"/>
      <x:c r="G13" s="83" t="str">
        <x:v>Small Scale</x:v>
      </x:c>
      <x:c r="H13" s="83" t="str">
        <x:v>BESS / generic storage</x:v>
      </x:c>
      <x:c r="I13" s="83" t="str">
        <x:v>Observed in DDS</x:v>
      </x:c>
      <x:c r="J13" s="197" t="n">
        <x:v>6.6</x:v>
      </x:c>
      <x:c r="K13" s="197"/>
      <x:c r="L13" s="197"/>
      <x:c r="M13" s="197" t="n">
        <x:v>2</x:v>
      </x:c>
      <x:c r="N13" s="197"/>
      <x:c r="O13" s="197" t="n">
        <x:v>4</x:v>
      </x:c>
      <x:c r="P13" s="197" t="n">
        <x:f>IF(AND(J13&lt;&gt;"",O13&lt;&gt;""),J13/O13,"")</x:f>
        <x:v>1.65</x:v>
      </x:c>
      <x:c r="Q13" s="197" t="str">
        <x:f>IF(AND(J13&lt;&gt;"",N13&lt;&gt;""),J13/N13,"")</x:f>
      </x:c>
      <x:c r="R13" s="197" t="n">
        <x:f>IF(AND(J13&lt;&gt;"",M13&lt;&gt;""),J13/M13,"")</x:f>
        <x:v>3.3</x:v>
      </x:c>
      <x:c r="S13" s="197" t="str">
        <x:f>IF(AND(J13&lt;&gt;"",L13&lt;&gt;""),J13/L13,"")</x:f>
      </x:c>
      <x:c r="T13" s="83" t="str">
        <x:v>S09</x:v>
      </x:c>
      <x:c r="U13" s="83" t="str">
        <x:v>Documento di Descrizione degli Scenari 2024</x:v>
      </x:c>
      <x:c r="V13" s="83" t="n">
        <x:v>63</x:v>
      </x:c>
      <x:c r="W13" s="83" t="str">
        <x:v>60-61</x:v>
      </x:c>
      <x:c r="X13" s="83" t="str">
        <x:v>Table 16</x:v>
      </x:c>
      <x:c r="Y13" s="83" t="str">
        <x:v>Dato osservato DDS</x:v>
      </x:c>
      <x:c r="Z13" s="83" t="str">
        <x:v>Direct table extraction</x:v>
      </x:c>
      <x:c r="AA13" s="83" t="str">
        <x:v>A — Direct</x:v>
      </x:c>
      <x:c r="AB13" s="83" t="str">
        <x:v>Prefer two 2h/4h classes if shares become available; otherwise retain power interval.</x:v>
      </x:c>
      <x:c r="AC13" s="83" t="str">
        <x:v>Excludes existing pumped hydro.</x:v>
      </x:c>
    </x:row>
    <x:row r="14">
      <x:c r="A14" s="83" t="str">
        <x:v>ST-010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Italia</x:v>
      </x:c>
      <x:c r="F14" s="83" t="str"/>
      <x:c r="G14" s="83" t="str">
        <x:v>Utility Scale</x:v>
      </x:c>
      <x:c r="H14" s="83" t="str">
        <x:v>BESS / generic storage</x:v>
      </x:c>
      <x:c r="I14" s="83" t="str">
        <x:v>Observed in DDS</x:v>
      </x:c>
      <x:c r="J14" s="197" t="n">
        <x:v>0</x:v>
      </x:c>
      <x:c r="K14" s="197"/>
      <x:c r="L14" s="197"/>
      <x:c r="M14" s="197" t="n">
        <x:v>8</x:v>
      </x:c>
      <x:c r="N14" s="197" t="n">
        <x:v>8</x:v>
      </x:c>
      <x:c r="O14" s="197" t="n">
        <x:v>8</x:v>
      </x:c>
      <x:c r="P14" s="197" t="str">
        <x:f>IF(AND(J14&lt;&gt;"",O14&lt;&gt;""),J14/O14,"")</x:f>
      </x:c>
      <x:c r="Q14" s="197" t="str">
        <x:f>IF(AND(J14&lt;&gt;"",N14&lt;&gt;""),J14/N14,"")</x:f>
      </x:c>
      <x:c r="R14" s="197" t="str">
        <x:f>IF(AND(J14&lt;&gt;"",M14&lt;&gt;""),J14/M14,"")</x:f>
      </x:c>
      <x:c r="S14" s="197" t="str">
        <x:f>IF(AND(J14&lt;&gt;"",L14&lt;&gt;""),J14/L14,"")</x:f>
      </x:c>
      <x:c r="T14" s="83" t="str">
        <x:v>S09</x:v>
      </x:c>
      <x:c r="U14" s="83" t="str">
        <x:v>Documento di Descrizione degli Scenari 2024</x:v>
      </x:c>
      <x:c r="V14" s="83" t="n">
        <x:v>63</x:v>
      </x:c>
      <x:c r="W14" s="83" t="str">
        <x:v>60-61</x:v>
      </x:c>
      <x:c r="X14" s="83" t="str">
        <x:v>Table 16</x:v>
      </x:c>
      <x:c r="Y14" s="83" t="str">
        <x:v>Dato osservato DDS</x:v>
      </x:c>
      <x:c r="Z14" s="83" t="str">
        <x:v>Direct table extraction</x:v>
      </x:c>
      <x:c r="AA14" s="83" t="str">
        <x:v>A — Direct</x:v>
      </x:c>
      <x:c r="AB14" s="83" t="str">
        <x:v>Store+Links; e_nom direct, p_nom = e_nom/8.</x:v>
      </x:c>
      <x:c r="AC14" s="83" t="str">
        <x:v>Excludes existing pumped hydro.</x:v>
      </x:c>
    </x:row>
    <x:row r="15">
      <x:c r="A15" s="83" t="str">
        <x:v>ST-011</x:v>
      </x:c>
      <x:c r="B15" s="83" t="str">
        <x:v>HIST_2023</x:v>
      </x:c>
      <x:c r="C15" s="83" t="n">
        <x:v>2023</x:v>
      </x:c>
      <x:c r="D15" s="83" t="str">
        <x:v>Storico 2023</x:v>
      </x:c>
      <x:c r="E15" s="83" t="str">
        <x:v>Italia</x:v>
      </x:c>
      <x:c r="F15" s="83" t="str"/>
      <x:c r="G15" s="83" t="str">
        <x:v>CM</x:v>
      </x:c>
      <x:c r="H15" s="83" t="str">
        <x:v>Capacity Market storage</x:v>
      </x:c>
      <x:c r="I15" s="83" t="str">
        <x:v>Observed in DDS</x:v>
      </x:c>
      <x:c r="J15" s="197" t="n">
        <x:v>0</x:v>
      </x:c>
      <x:c r="K15" s="197"/>
      <x:c r="L15" s="197"/>
      <x:c r="M15" s="197"/>
      <x:c r="N15" s="197"/>
      <x:c r="O15" s="197"/>
      <x:c r="P15" s="197" t="str">
        <x:f>IF(AND(J15&lt;&gt;"",O15&lt;&gt;""),J15/O15,"")</x:f>
      </x:c>
      <x:c r="Q15" s="197" t="str">
        <x:f>IF(AND(J15&lt;&gt;"",N15&lt;&gt;""),J15/N15,"")</x:f>
      </x:c>
      <x:c r="R15" s="197" t="str">
        <x:f>IF(AND(J15&lt;&gt;"",M15&lt;&gt;""),J15/M15,"")</x:f>
      </x:c>
      <x:c r="S15" s="197" t="str">
        <x:f>IF(AND(J15&lt;&gt;"",L15&lt;&gt;""),J15/L15,"")</x:f>
      </x:c>
      <x:c r="T15" s="83" t="str">
        <x:v>S09</x:v>
      </x:c>
      <x:c r="U15" s="83" t="str">
        <x:v>Documento di Descrizione degli Scenari 2024</x:v>
      </x:c>
      <x:c r="V15" s="83" t="n">
        <x:v>63</x:v>
      </x:c>
      <x:c r="W15" s="83" t="str">
        <x:v>60-61</x:v>
      </x:c>
      <x:c r="X15" s="83" t="str">
        <x:v>Table 16</x:v>
      </x:c>
      <x:c r="Y15" s="83" t="str">
        <x:v>Dato osservato DDS</x:v>
      </x:c>
      <x:c r="Z15" s="83" t="str">
        <x:v>Direct table extraction</x:v>
      </x:c>
      <x:c r="AA15" s="83" t="str">
        <x:v>A — Direct</x:v>
      </x:c>
      <x:c r="AB15" s="83" t="str">
        <x:v>Energy direct; power unresolved until asset/auction duration data are acquired.</x:v>
      </x:c>
      <x:c r="AC15" s="83" t="str">
        <x:v>Excludes existing pumped hydro.</x:v>
      </x:c>
    </x:row>
    <x:row r="16">
      <x:c r="A16" s="83" t="str">
        <x:v>ST-012</x:v>
      </x:c>
      <x:c r="B16" s="83" t="str">
        <x:v>HIST_2023</x:v>
      </x:c>
      <x:c r="C16" s="83" t="n">
        <x:v>2023</x:v>
      </x:c>
      <x:c r="D16" s="83" t="str">
        <x:v>Storico 2023</x:v>
      </x:c>
      <x:c r="E16" s="83" t="str">
        <x:v>Italia</x:v>
      </x:c>
      <x:c r="F16" s="83" t="str"/>
      <x:c r="G16" s="83" t="str">
        <x:v>Totale</x:v>
      </x:c>
      <x:c r="H16" s="83" t="str">
        <x:v>BESS / generic storage</x:v>
      </x:c>
      <x:c r="I16" s="83" t="str">
        <x:v>Observed in DDS</x:v>
      </x:c>
      <x:c r="J16" s="197" t="n">
        <x:v>6.6</x:v>
      </x:c>
      <x:c r="K16" s="197"/>
      <x:c r="L16" s="197"/>
      <x:c r="M16" s="197"/>
      <x:c r="N16" s="197"/>
      <x:c r="O16" s="197"/>
      <x:c r="P16" s="197" t="str">
        <x:f>IF(AND(J16&lt;&gt;"",O16&lt;&gt;""),J16/O16,"")</x:f>
      </x:c>
      <x:c r="Q16" s="197" t="str">
        <x:f>IF(AND(J16&lt;&gt;"",N16&lt;&gt;""),J16/N16,"")</x:f>
      </x:c>
      <x:c r="R16" s="197" t="str">
        <x:f>IF(AND(J16&lt;&gt;"",M16&lt;&gt;""),J16/M16,"")</x:f>
      </x:c>
      <x:c r="S16" s="197" t="str">
        <x:f>IF(AND(J16&lt;&gt;"",L16&lt;&gt;""),J16/L16,"")</x:f>
      </x:c>
      <x:c r="T16" s="83" t="str">
        <x:v>S09</x:v>
      </x:c>
      <x:c r="U16" s="83" t="str">
        <x:v>Documento di Descrizione degli Scenari 2024</x:v>
      </x:c>
      <x:c r="V16" s="83" t="n">
        <x:v>63</x:v>
      </x:c>
      <x:c r="W16" s="83" t="str">
        <x:v>60-61</x:v>
      </x:c>
      <x:c r="X16" s="83" t="str">
        <x:v>Table 16</x:v>
      </x:c>
      <x:c r="Y16" s="83" t="str">
        <x:v>Dato osservato DDS</x:v>
      </x:c>
      <x:c r="Z16" s="83" t="str">
        <x:v>Direct table extraction</x:v>
      </x:c>
      <x:c r="AA16" s="83" t="str">
        <x:v>A — Direct</x:v>
      </x:c>
      <x:c r="AB16" s="83" t="str">
        <x:v>QA total only, not a standalone PyPSA component.</x:v>
      </x:c>
      <x:c r="AC16" s="83" t="str">
        <x:v>Excludes existing pumped hydro.</x:v>
      </x:c>
    </x:row>
    <x:row r="17">
      <x:c r="A17" s="83" t="str">
        <x:v>ST-013</x:v>
      </x:c>
      <x:c r="B17" s="83" t="str">
        <x:v>PNIEC_POLICY_2030</x:v>
      </x:c>
      <x:c r="C17" s="83" t="n">
        <x:v>2030</x:v>
      </x:c>
      <x:c r="D17" s="83" t="str">
        <x:v>PNIEC Policy 2030</x:v>
      </x:c>
      <x:c r="E17" s="83" t="str">
        <x:v>Italia</x:v>
      </x:c>
      <x:c r="F17" s="83" t="str"/>
      <x:c r="G17" s="83" t="str">
        <x:v>Small Scale</x:v>
      </x:c>
      <x:c r="H17" s="83" t="str">
        <x:v>BESS / generic storage</x:v>
      </x:c>
      <x:c r="I17" s="83" t="str">
        <x:v>Scenario configuration</x:v>
      </x:c>
      <x:c r="J17" s="197" t="n">
        <x:v>14</x:v>
      </x:c>
      <x:c r="K17" s="197"/>
      <x:c r="L17" s="197"/>
      <x:c r="M17" s="197" t="n">
        <x:v>2</x:v>
      </x:c>
      <x:c r="N17" s="197"/>
      <x:c r="O17" s="197" t="n">
        <x:v>4</x:v>
      </x:c>
      <x:c r="P17" s="197" t="n">
        <x:f>IF(AND(J17&lt;&gt;"",O17&lt;&gt;""),J17/O17,"")</x:f>
        <x:v>3.5</x:v>
      </x:c>
      <x:c r="Q17" s="197" t="str">
        <x:f>IF(AND(J17&lt;&gt;"",N17&lt;&gt;""),J17/N17,"")</x:f>
      </x:c>
      <x:c r="R17" s="197" t="n">
        <x:f>IF(AND(J17&lt;&gt;"",M17&lt;&gt;""),J17/M17,"")</x:f>
        <x:v>7</x:v>
      </x:c>
      <x:c r="S17" s="197" t="str">
        <x:f>IF(AND(J17&lt;&gt;"",L17&lt;&gt;""),J17/L17,"")</x:f>
      </x:c>
      <x:c r="T17" s="83" t="str">
        <x:v>S09</x:v>
      </x:c>
      <x:c r="U17" s="83" t="str">
        <x:v>Documento di Descrizione degli Scenari 2024</x:v>
      </x:c>
      <x:c r="V17" s="83" t="n">
        <x:v>63</x:v>
      </x:c>
      <x:c r="W17" s="83" t="str">
        <x:v>60-61</x:v>
      </x:c>
      <x:c r="X17" s="83" t="str">
        <x:v>Table 16</x:v>
      </x:c>
      <x:c r="Y17" s="83" t="str">
        <x:v>Assunzione di scenario</x:v>
      </x:c>
      <x:c r="Z17" s="83" t="str">
        <x:v>Direct table extraction</x:v>
      </x:c>
      <x:c r="AA17" s="83" t="str">
        <x:v>A — Direct</x:v>
      </x:c>
      <x:c r="AB17" s="83" t="str">
        <x:v>Prefer two 2h/4h classes if shares become available; otherwise retain power interval.</x:v>
      </x:c>
      <x:c r="AC17" s="83" t="str">
        <x:v>Excludes existing pumped hydro.</x:v>
      </x:c>
    </x:row>
    <x:row r="18">
      <x:c r="A18" s="83" t="str">
        <x:v>ST-014</x:v>
      </x:c>
      <x:c r="B18" s="83" t="str">
        <x:v>PNIEC_POLICY_2030</x:v>
      </x:c>
      <x:c r="C18" s="83" t="n">
        <x:v>2030</x:v>
      </x:c>
      <x:c r="D18" s="83" t="str">
        <x:v>PNIEC Policy 2030</x:v>
      </x:c>
      <x:c r="E18" s="83" t="str">
        <x:v>Italia</x:v>
      </x:c>
      <x:c r="F18" s="83" t="str"/>
      <x:c r="G18" s="83" t="str">
        <x:v>Utility Scale</x:v>
      </x:c>
      <x:c r="H18" s="83" t="str">
        <x:v>BESS / generic storage</x:v>
      </x:c>
      <x:c r="I18" s="83" t="str">
        <x:v>Scenario configuration</x:v>
      </x:c>
      <x:c r="J18" s="197" t="n">
        <x:v>50</x:v>
      </x:c>
      <x:c r="K18" s="197"/>
      <x:c r="L18" s="197"/>
      <x:c r="M18" s="197" t="n">
        <x:v>8</x:v>
      </x:c>
      <x:c r="N18" s="197" t="n">
        <x:v>8</x:v>
      </x:c>
      <x:c r="O18" s="197" t="n">
        <x:v>8</x:v>
      </x:c>
      <x:c r="P18" s="197" t="n">
        <x:f>IF(AND(J18&lt;&gt;"",O18&lt;&gt;""),J18/O18,"")</x:f>
        <x:v>6.25</x:v>
      </x:c>
      <x:c r="Q18" s="197" t="n">
        <x:f>IF(AND(J18&lt;&gt;"",N18&lt;&gt;""),J18/N18,"")</x:f>
        <x:v>6.25</x:v>
      </x:c>
      <x:c r="R18" s="197" t="n">
        <x:f>IF(AND(J18&lt;&gt;"",M18&lt;&gt;""),J18/M18,"")</x:f>
        <x:v>6.25</x:v>
      </x:c>
      <x:c r="S18" s="197" t="str">
        <x:f>IF(AND(J18&lt;&gt;"",L18&lt;&gt;""),J18/L18,"")</x:f>
      </x:c>
      <x:c r="T18" s="83" t="str">
        <x:v>S09</x:v>
      </x:c>
      <x:c r="U18" s="83" t="str">
        <x:v>Documento di Descrizione degli Scenari 2024</x:v>
      </x:c>
      <x:c r="V18" s="83" t="n">
        <x:v>63</x:v>
      </x:c>
      <x:c r="W18" s="83" t="str">
        <x:v>60-61</x:v>
      </x:c>
      <x:c r="X18" s="83" t="str">
        <x:v>Table 16</x:v>
      </x:c>
      <x:c r="Y18" s="83" t="str">
        <x:v>Assunzione di scenario</x:v>
      </x:c>
      <x:c r="Z18" s="83" t="str">
        <x:v>Direct table extraction</x:v>
      </x:c>
      <x:c r="AA18" s="83" t="str">
        <x:v>A — Direct</x:v>
      </x:c>
      <x:c r="AB18" s="83" t="str">
        <x:v>Store+Links; e_nom direct, p_nom = e_nom/8.</x:v>
      </x:c>
      <x:c r="AC18" s="83" t="str">
        <x:v>Excludes existing pumped hydro.</x:v>
      </x:c>
    </x:row>
    <x:row r="19">
      <x:c r="A19" s="83" t="str">
        <x:v>ST-015</x:v>
      </x:c>
      <x:c r="B19" s="83" t="str">
        <x:v>PNIEC_POLICY_2030</x:v>
      </x:c>
      <x:c r="C19" s="83" t="n">
        <x:v>2030</x:v>
      </x:c>
      <x:c r="D19" s="83" t="str">
        <x:v>PNIEC Policy 2030</x:v>
      </x:c>
      <x:c r="E19" s="83" t="str">
        <x:v>Italia</x:v>
      </x:c>
      <x:c r="F19" s="83" t="str"/>
      <x:c r="G19" s="83" t="str">
        <x:v>CM</x:v>
      </x:c>
      <x:c r="H19" s="83" t="str">
        <x:v>Capacity Market storage</x:v>
      </x:c>
      <x:c r="I19" s="83" t="str">
        <x:v>Scenario configuration</x:v>
      </x:c>
      <x:c r="J19" s="197" t="n">
        <x:v>7.5</x:v>
      </x:c>
      <x:c r="K19" s="197"/>
      <x:c r="L19" s="197"/>
      <x:c r="M19" s="197"/>
      <x:c r="N19" s="197"/>
      <x:c r="O19" s="197"/>
      <x:c r="P19" s="197" t="str">
        <x:f>IF(AND(J19&lt;&gt;"",O19&lt;&gt;""),J19/O19,"")</x:f>
      </x:c>
      <x:c r="Q19" s="197" t="str">
        <x:f>IF(AND(J19&lt;&gt;"",N19&lt;&gt;""),J19/N19,"")</x:f>
      </x:c>
      <x:c r="R19" s="197" t="str">
        <x:f>IF(AND(J19&lt;&gt;"",M19&lt;&gt;""),J19/M19,"")</x:f>
      </x:c>
      <x:c r="S19" s="197" t="str">
        <x:f>IF(AND(J19&lt;&gt;"",L19&lt;&gt;""),J19/L19,"")</x:f>
      </x:c>
      <x:c r="T19" s="83" t="str">
        <x:v>S09</x:v>
      </x:c>
      <x:c r="U19" s="83" t="str">
        <x:v>Documento di Descrizione degli Scenari 2024</x:v>
      </x:c>
      <x:c r="V19" s="83" t="n">
        <x:v>63</x:v>
      </x:c>
      <x:c r="W19" s="83" t="str">
        <x:v>60-61</x:v>
      </x:c>
      <x:c r="X19" s="83" t="str">
        <x:v>Table 16</x:v>
      </x:c>
      <x:c r="Y19" s="83" t="str">
        <x:v>Assunzione di scenario</x:v>
      </x:c>
      <x:c r="Z19" s="83" t="str">
        <x:v>Direct table extraction</x:v>
      </x:c>
      <x:c r="AA19" s="83" t="str">
        <x:v>A — Direct</x:v>
      </x:c>
      <x:c r="AB19" s="83" t="str">
        <x:v>Energy direct; power unresolved until asset/auction duration data are acquired.</x:v>
      </x:c>
      <x:c r="AC19" s="83" t="str">
        <x:v>Excludes existing pumped hydro.</x:v>
      </x:c>
    </x:row>
    <x:row r="20">
      <x:c r="A20" s="83" t="str">
        <x:v>ST-016</x:v>
      </x:c>
      <x:c r="B20" s="83" t="str">
        <x:v>PNIEC_POLICY_2030</x:v>
      </x:c>
      <x:c r="C20" s="83" t="n">
        <x:v>2030</x:v>
      </x:c>
      <x:c r="D20" s="83" t="str">
        <x:v>PNIEC Policy 2030</x:v>
      </x:c>
      <x:c r="E20" s="83" t="str">
        <x:v>Italia</x:v>
      </x:c>
      <x:c r="F20" s="83" t="str"/>
      <x:c r="G20" s="83" t="str">
        <x:v>Totale</x:v>
      </x:c>
      <x:c r="H20" s="83" t="str">
        <x:v>BESS / generic storage</x:v>
      </x:c>
      <x:c r="I20" s="83" t="str">
        <x:v>Scenario configuration</x:v>
      </x:c>
      <x:c r="J20" s="197" t="n">
        <x:v>71.5</x:v>
      </x:c>
      <x:c r="K20" s="197"/>
      <x:c r="L20" s="197"/>
      <x:c r="M20" s="197"/>
      <x:c r="N20" s="197"/>
      <x:c r="O20" s="197"/>
      <x:c r="P20" s="197" t="str">
        <x:f>IF(AND(J20&lt;&gt;"",O20&lt;&gt;""),J20/O20,"")</x:f>
      </x:c>
      <x:c r="Q20" s="197" t="str">
        <x:f>IF(AND(J20&lt;&gt;"",N20&lt;&gt;""),J20/N20,"")</x:f>
      </x:c>
      <x:c r="R20" s="197" t="str">
        <x:f>IF(AND(J20&lt;&gt;"",M20&lt;&gt;""),J20/M20,"")</x:f>
      </x:c>
      <x:c r="S20" s="197" t="str">
        <x:f>IF(AND(J20&lt;&gt;"",L20&lt;&gt;""),J20/L20,"")</x:f>
      </x:c>
      <x:c r="T20" s="83" t="str">
        <x:v>S09</x:v>
      </x:c>
      <x:c r="U20" s="83" t="str">
        <x:v>Documento di Descrizione degli Scenari 2024</x:v>
      </x:c>
      <x:c r="V20" s="83" t="n">
        <x:v>63</x:v>
      </x:c>
      <x:c r="W20" s="83" t="str">
        <x:v>60-61</x:v>
      </x:c>
      <x:c r="X20" s="83" t="str">
        <x:v>Table 16</x:v>
      </x:c>
      <x:c r="Y20" s="83" t="str">
        <x:v>Assunzione di scenario</x:v>
      </x:c>
      <x:c r="Z20" s="83" t="str">
        <x:v>Direct table extraction</x:v>
      </x:c>
      <x:c r="AA20" s="83" t="str">
        <x:v>A — Direct</x:v>
      </x:c>
      <x:c r="AB20" s="83" t="str">
        <x:v>QA total only, not a standalone PyPSA component.</x:v>
      </x:c>
      <x:c r="AC20" s="83" t="str">
        <x:v>Excludes existing pumped hydro.</x:v>
      </x:c>
    </x:row>
    <x:row r="21">
      <x:c r="A21" s="83" t="str">
        <x:v>ST-017</x:v>
      </x:c>
      <x:c r="B21" s="83" t="str">
        <x:v>PNIEC_POLICY_2030</x:v>
      </x:c>
      <x:c r="C21" s="83" t="n">
        <x:v>2030</x:v>
      </x:c>
      <x:c r="D21" s="83" t="str">
        <x:v>PNIEC Policy 2030</x:v>
      </x:c>
      <x:c r="E21" s="83" t="str">
        <x:v>Italia</x:v>
      </x:c>
      <x:c r="F21" s="83" t="str"/>
      <x:c r="G21" s="83" t="str">
        <x:v>Total including existing pumping convention</x:v>
      </x:c>
      <x:c r="H21" s="83" t="str">
        <x:v>All storage</x:v>
      </x:c>
      <x:c r="I21" s="83" t="str">
        <x:v>Scenario configuration</x:v>
      </x:c>
      <x:c r="J21" s="197" t="n">
        <x:v>121.5</x:v>
      </x:c>
      <x:c r="K21" s="197"/>
      <x:c r="L21" s="197"/>
      <x:c r="M21" s="197"/>
      <x:c r="N21" s="197"/>
      <x:c r="O21" s="197"/>
      <x:c r="P21" s="197" t="str">
        <x:f>IF(AND(J21&lt;&gt;"",O21&lt;&gt;""),J21/O21,"")</x:f>
      </x:c>
      <x:c r="Q21" s="197" t="str">
        <x:f>IF(AND(J21&lt;&gt;"",N21&lt;&gt;""),J21/N21,"")</x:f>
      </x:c>
      <x:c r="R21" s="197" t="str">
        <x:f>IF(AND(J21&lt;&gt;"",M21&lt;&gt;""),J21/M21,"")</x:f>
      </x:c>
      <x:c r="S21" s="197" t="str">
        <x:f>IF(AND(J21&lt;&gt;"",L21&lt;&gt;""),J21/L21,"")</x:f>
      </x:c>
      <x:c r="T21" s="83" t="str">
        <x:v>S09</x:v>
      </x:c>
      <x:c r="U21" s="83" t="str">
        <x:v>Documento di Descrizione degli Scenari 2024</x:v>
      </x:c>
      <x:c r="V21" s="83" t="n">
        <x:v>49</x:v>
      </x:c>
      <x:c r="W21" s="83" t="str">
        <x:v>47 / 60-61</x:v>
      </x:c>
      <x:c r="X21" s="83" t="str">
        <x:v>Figure 19 / Table 16</x:v>
      </x:c>
      <x:c r="Y21" s="83" t="str">
        <x:v>B — Derived from source values</x:v>
      </x:c>
      <x:c r="Z21" s="83" t="str">
        <x:v>Total ex pumping + 50 GWh existing pumping convention</x:v>
      </x:c>
      <x:c r="AA21" s="83" t="str">
        <x:v>B — Derived</x:v>
      </x:c>
      <x:c r="AB21" s="83" t="str">
        <x:v>System-level QA; physical pumping stock is 53 GWh in S01.</x:v>
      </x:c>
      <x:c r="AC21" s="83" t="str">
        <x:v>Preserves the 50 GWh DDS convention; do not conflate with the 53 GWh physical estimate.</x:v>
      </x:c>
    </x:row>
    <x:row r="22">
      <x:c r="A22" s="83" t="str">
        <x:v>ST-018</x:v>
      </x:c>
      <x:c r="B22" s="83" t="str">
        <x:v>PNIEC_SLOW_2030</x:v>
      </x:c>
      <x:c r="C22" s="83" t="n">
        <x:v>2030</x:v>
      </x:c>
      <x:c r="D22" s="83" t="str">
        <x:v>PNIEC Slow 2030</x:v>
      </x:c>
      <x:c r="E22" s="83" t="str">
        <x:v>Italia</x:v>
      </x:c>
      <x:c r="F22" s="83" t="str"/>
      <x:c r="G22" s="83" t="str">
        <x:v>Small Scale</x:v>
      </x:c>
      <x:c r="H22" s="83" t="str">
        <x:v>BESS / generic storage</x:v>
      </x:c>
      <x:c r="I22" s="83" t="str">
        <x:v>Scenario configuration</x:v>
      </x:c>
      <x:c r="J22" s="197" t="n">
        <x:v>13.3</x:v>
      </x:c>
      <x:c r="K22" s="197"/>
      <x:c r="L22" s="197"/>
      <x:c r="M22" s="197" t="n">
        <x:v>2</x:v>
      </x:c>
      <x:c r="N22" s="197"/>
      <x:c r="O22" s="197" t="n">
        <x:v>4</x:v>
      </x:c>
      <x:c r="P22" s="197" t="n">
        <x:f>IF(AND(J22&lt;&gt;"",O22&lt;&gt;""),J22/O22,"")</x:f>
        <x:v>3.325</x:v>
      </x:c>
      <x:c r="Q22" s="197" t="str">
        <x:f>IF(AND(J22&lt;&gt;"",N22&lt;&gt;""),J22/N22,"")</x:f>
      </x:c>
      <x:c r="R22" s="197" t="n">
        <x:f>IF(AND(J22&lt;&gt;"",M22&lt;&gt;""),J22/M22,"")</x:f>
        <x:v>6.65</x:v>
      </x:c>
      <x:c r="S22" s="197" t="str">
        <x:f>IF(AND(J22&lt;&gt;"",L22&lt;&gt;""),J22/L22,"")</x:f>
      </x:c>
      <x:c r="T22" s="83" t="str">
        <x:v>S09</x:v>
      </x:c>
      <x:c r="U22" s="83" t="str">
        <x:v>Documento di Descrizione degli Scenari 2024</x:v>
      </x:c>
      <x:c r="V22" s="83" t="n">
        <x:v>63</x:v>
      </x:c>
      <x:c r="W22" s="83" t="str">
        <x:v>60-61</x:v>
      </x:c>
      <x:c r="X22" s="83" t="str">
        <x:v>Table 16</x:v>
      </x:c>
      <x:c r="Y22" s="83" t="str">
        <x:v>Assunzione di scenario</x:v>
      </x:c>
      <x:c r="Z22" s="83" t="str">
        <x:v>Direct table extraction</x:v>
      </x:c>
      <x:c r="AA22" s="83" t="str">
        <x:v>A — Direct</x:v>
      </x:c>
      <x:c r="AB22" s="83" t="str">
        <x:v>Prefer two 2h/4h classes if shares become available; otherwise retain power interval.</x:v>
      </x:c>
      <x:c r="AC22" s="83" t="str">
        <x:v>Excludes existing pumped hydro.</x:v>
      </x:c>
    </x:row>
    <x:row r="23">
      <x:c r="A23" s="83" t="str">
        <x:v>ST-019</x:v>
      </x:c>
      <x:c r="B23" s="83" t="str">
        <x:v>PNIEC_SLOW_2030</x:v>
      </x:c>
      <x:c r="C23" s="83" t="n">
        <x:v>2030</x:v>
      </x:c>
      <x:c r="D23" s="83" t="str">
        <x:v>PNIEC Slow 2030</x:v>
      </x:c>
      <x:c r="E23" s="83" t="str">
        <x:v>Italia</x:v>
      </x:c>
      <x:c r="F23" s="83" t="str"/>
      <x:c r="G23" s="83" t="str">
        <x:v>Utility Scale</x:v>
      </x:c>
      <x:c r="H23" s="83" t="str">
        <x:v>BESS / generic storage</x:v>
      </x:c>
      <x:c r="I23" s="83" t="str">
        <x:v>Scenario configuration</x:v>
      </x:c>
      <x:c r="J23" s="197" t="n">
        <x:v>24</x:v>
      </x:c>
      <x:c r="K23" s="197"/>
      <x:c r="L23" s="197"/>
      <x:c r="M23" s="197" t="n">
        <x:v>8</x:v>
      </x:c>
      <x:c r="N23" s="197" t="n">
        <x:v>8</x:v>
      </x:c>
      <x:c r="O23" s="197" t="n">
        <x:v>8</x:v>
      </x:c>
      <x:c r="P23" s="197" t="n">
        <x:f>IF(AND(J23&lt;&gt;"",O23&lt;&gt;""),J23/O23,"")</x:f>
        <x:v>3</x:v>
      </x:c>
      <x:c r="Q23" s="197" t="n">
        <x:f>IF(AND(J23&lt;&gt;"",N23&lt;&gt;""),J23/N23,"")</x:f>
        <x:v>3</x:v>
      </x:c>
      <x:c r="R23" s="197" t="n">
        <x:f>IF(AND(J23&lt;&gt;"",M23&lt;&gt;""),J23/M23,"")</x:f>
        <x:v>3</x:v>
      </x:c>
      <x:c r="S23" s="197" t="str">
        <x:f>IF(AND(J23&lt;&gt;"",L23&lt;&gt;""),J23/L23,"")</x:f>
      </x:c>
      <x:c r="T23" s="83" t="str">
        <x:v>S09</x:v>
      </x:c>
      <x:c r="U23" s="83" t="str">
        <x:v>Documento di Descrizione degli Scenari 2024</x:v>
      </x:c>
      <x:c r="V23" s="83" t="n">
        <x:v>63</x:v>
      </x:c>
      <x:c r="W23" s="83" t="str">
        <x:v>60-61</x:v>
      </x:c>
      <x:c r="X23" s="83" t="str">
        <x:v>Table 16</x:v>
      </x:c>
      <x:c r="Y23" s="83" t="str">
        <x:v>Assunzione di scenario</x:v>
      </x:c>
      <x:c r="Z23" s="83" t="str">
        <x:v>Direct table extraction</x:v>
      </x:c>
      <x:c r="AA23" s="83" t="str">
        <x:v>A — Direct</x:v>
      </x:c>
      <x:c r="AB23" s="83" t="str">
        <x:v>Store+Links; e_nom direct, p_nom = e_nom/8.</x:v>
      </x:c>
      <x:c r="AC23" s="83" t="str">
        <x:v>Excludes existing pumped hydro.</x:v>
      </x:c>
    </x:row>
    <x:row r="24">
      <x:c r="A24" s="83" t="str">
        <x:v>ST-020</x:v>
      </x:c>
      <x:c r="B24" s="83" t="str">
        <x:v>PNIEC_SLOW_2030</x:v>
      </x:c>
      <x:c r="C24" s="83" t="n">
        <x:v>2030</x:v>
      </x:c>
      <x:c r="D24" s="83" t="str">
        <x:v>PNIEC Slow 2030</x:v>
      </x:c>
      <x:c r="E24" s="83" t="str">
        <x:v>Italia</x:v>
      </x:c>
      <x:c r="F24" s="83" t="str"/>
      <x:c r="G24" s="83" t="str">
        <x:v>CM</x:v>
      </x:c>
      <x:c r="H24" s="83" t="str">
        <x:v>Capacity Market storage</x:v>
      </x:c>
      <x:c r="I24" s="83" t="str">
        <x:v>Scenario configuration</x:v>
      </x:c>
      <x:c r="J24" s="197" t="n">
        <x:v>7.5</x:v>
      </x:c>
      <x:c r="K24" s="197"/>
      <x:c r="L24" s="197"/>
      <x:c r="M24" s="197"/>
      <x:c r="N24" s="197"/>
      <x:c r="O24" s="197"/>
      <x:c r="P24" s="197" t="str">
        <x:f>IF(AND(J24&lt;&gt;"",O24&lt;&gt;""),J24/O24,"")</x:f>
      </x:c>
      <x:c r="Q24" s="197" t="str">
        <x:f>IF(AND(J24&lt;&gt;"",N24&lt;&gt;""),J24/N24,"")</x:f>
      </x:c>
      <x:c r="R24" s="197" t="str">
        <x:f>IF(AND(J24&lt;&gt;"",M24&lt;&gt;""),J24/M24,"")</x:f>
      </x:c>
      <x:c r="S24" s="197" t="str">
        <x:f>IF(AND(J24&lt;&gt;"",L24&lt;&gt;""),J24/L24,"")</x:f>
      </x:c>
      <x:c r="T24" s="83" t="str">
        <x:v>S09</x:v>
      </x:c>
      <x:c r="U24" s="83" t="str">
        <x:v>Documento di Descrizione degli Scenari 2024</x:v>
      </x:c>
      <x:c r="V24" s="83" t="n">
        <x:v>63</x:v>
      </x:c>
      <x:c r="W24" s="83" t="str">
        <x:v>60-61</x:v>
      </x:c>
      <x:c r="X24" s="83" t="str">
        <x:v>Table 16</x:v>
      </x:c>
      <x:c r="Y24" s="83" t="str">
        <x:v>Assunzione di scenario</x:v>
      </x:c>
      <x:c r="Z24" s="83" t="str">
        <x:v>Direct table extraction</x:v>
      </x:c>
      <x:c r="AA24" s="83" t="str">
        <x:v>A — Direct</x:v>
      </x:c>
      <x:c r="AB24" s="83" t="str">
        <x:v>Energy direct; power unresolved until asset/auction duration data are acquired.</x:v>
      </x:c>
      <x:c r="AC24" s="83" t="str">
        <x:v>Excludes existing pumped hydro.</x:v>
      </x:c>
    </x:row>
    <x:row r="25">
      <x:c r="A25" s="83" t="str">
        <x:v>ST-021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Italia</x:v>
      </x:c>
      <x:c r="F25" s="83" t="str"/>
      <x:c r="G25" s="83" t="str">
        <x:v>Totale</x:v>
      </x:c>
      <x:c r="H25" s="83" t="str">
        <x:v>BESS / generic storage</x:v>
      </x:c>
      <x:c r="I25" s="83" t="str">
        <x:v>Scenario configuration</x:v>
      </x:c>
      <x:c r="J25" s="197" t="n">
        <x:v>44.7</x:v>
      </x:c>
      <x:c r="K25" s="197"/>
      <x:c r="L25" s="197"/>
      <x:c r="M25" s="197"/>
      <x:c r="N25" s="197"/>
      <x:c r="O25" s="197"/>
      <x:c r="P25" s="197" t="str">
        <x:f>IF(AND(J25&lt;&gt;"",O25&lt;&gt;""),J25/O25,"")</x:f>
      </x:c>
      <x:c r="Q25" s="197" t="str">
        <x:f>IF(AND(J25&lt;&gt;"",N25&lt;&gt;""),J25/N25,"")</x:f>
      </x:c>
      <x:c r="R25" s="197" t="str">
        <x:f>IF(AND(J25&lt;&gt;"",M25&lt;&gt;""),J25/M25,"")</x:f>
      </x:c>
      <x:c r="S25" s="197" t="str">
        <x:f>IF(AND(J25&lt;&gt;"",L25&lt;&gt;""),J25/L25,"")</x:f>
      </x:c>
      <x:c r="T25" s="83" t="str">
        <x:v>S09</x:v>
      </x:c>
      <x:c r="U25" s="83" t="str">
        <x:v>Documento di Descrizione degli Scenari 2024</x:v>
      </x:c>
      <x:c r="V25" s="83" t="n">
        <x:v>63</x:v>
      </x:c>
      <x:c r="W25" s="83" t="str">
        <x:v>60-61</x:v>
      </x:c>
      <x:c r="X25" s="83" t="str">
        <x:v>Table 16</x:v>
      </x:c>
      <x:c r="Y25" s="83" t="str">
        <x:v>Assunzione di scenario</x:v>
      </x:c>
      <x:c r="Z25" s="83" t="str">
        <x:v>Direct table extraction</x:v>
      </x:c>
      <x:c r="AA25" s="83" t="str">
        <x:v>A — Direct</x:v>
      </x:c>
      <x:c r="AB25" s="83" t="str">
        <x:v>QA total only, not a standalone PyPSA component.</x:v>
      </x:c>
      <x:c r="AC25" s="83" t="str">
        <x:v>Excludes existing pumped hydro.</x:v>
      </x:c>
    </x:row>
    <x:row r="26">
      <x:c r="A26" s="83" t="str">
        <x:v>ST-022</x:v>
      </x:c>
      <x:c r="B26" s="83" t="str">
        <x:v>PNIEC_SLOW_2030</x:v>
      </x:c>
      <x:c r="C26" s="83" t="n">
        <x:v>2030</x:v>
      </x:c>
      <x:c r="D26" s="83" t="str">
        <x:v>PNIEC Slow 2030</x:v>
      </x:c>
      <x:c r="E26" s="83" t="str">
        <x:v>Italia</x:v>
      </x:c>
      <x:c r="F26" s="83" t="str"/>
      <x:c r="G26" s="83" t="str">
        <x:v>Total including existing pumping convention</x:v>
      </x:c>
      <x:c r="H26" s="83" t="str">
        <x:v>All storage</x:v>
      </x:c>
      <x:c r="I26" s="83" t="str">
        <x:v>Scenario configuration</x:v>
      </x:c>
      <x:c r="J26" s="197" t="n">
        <x:v>94.7</x:v>
      </x:c>
      <x:c r="K26" s="197"/>
      <x:c r="L26" s="197"/>
      <x:c r="M26" s="197"/>
      <x:c r="N26" s="197"/>
      <x:c r="O26" s="197"/>
      <x:c r="P26" s="197" t="str">
        <x:f>IF(AND(J26&lt;&gt;"",O26&lt;&gt;""),J26/O26,"")</x:f>
      </x:c>
      <x:c r="Q26" s="197" t="str">
        <x:f>IF(AND(J26&lt;&gt;"",N26&lt;&gt;""),J26/N26,"")</x:f>
      </x:c>
      <x:c r="R26" s="197" t="str">
        <x:f>IF(AND(J26&lt;&gt;"",M26&lt;&gt;""),J26/M26,"")</x:f>
      </x:c>
      <x:c r="S26" s="197" t="str">
        <x:f>IF(AND(J26&lt;&gt;"",L26&lt;&gt;""),J26/L26,"")</x:f>
      </x:c>
      <x:c r="T26" s="83" t="str">
        <x:v>S09</x:v>
      </x:c>
      <x:c r="U26" s="83" t="str">
        <x:v>Documento di Descrizione degli Scenari 2024</x:v>
      </x:c>
      <x:c r="V26" s="83" t="n">
        <x:v>49</x:v>
      </x:c>
      <x:c r="W26" s="83" t="str">
        <x:v>47 / 60-61</x:v>
      </x:c>
      <x:c r="X26" s="83" t="str">
        <x:v>Figure 19 / Table 16</x:v>
      </x:c>
      <x:c r="Y26" s="83" t="str">
        <x:v>B — Derived from source values</x:v>
      </x:c>
      <x:c r="Z26" s="83" t="str">
        <x:v>Total ex pumping + 50 GWh existing pumping convention</x:v>
      </x:c>
      <x:c r="AA26" s="83" t="str">
        <x:v>B — Derived</x:v>
      </x:c>
      <x:c r="AB26" s="83" t="str">
        <x:v>System-level QA; physical pumping stock is 53 GWh in S01.</x:v>
      </x:c>
      <x:c r="AC26" s="83" t="str">
        <x:v>Preserves the 50 GWh DDS convention; do not conflate with the 53 GWh physical estimate.</x:v>
      </x:c>
    </x:row>
    <x:row r="27">
      <x:c r="A27" s="83" t="str">
        <x:v>ST-023</x:v>
      </x:c>
      <x:c r="B27" s="83" t="str">
        <x:v>DE_IT_2035</x:v>
      </x:c>
      <x:c r="C27" s="83" t="n">
        <x:v>2035</x:v>
      </x:c>
      <x:c r="D27" s="83" t="str">
        <x:v>DE-IT 2035</x:v>
      </x:c>
      <x:c r="E27" s="83" t="str">
        <x:v>Italia</x:v>
      </x:c>
      <x:c r="F27" s="83" t="str"/>
      <x:c r="G27" s="83" t="str">
        <x:v>Small Scale</x:v>
      </x:c>
      <x:c r="H27" s="83" t="str">
        <x:v>BESS / generic storage</x:v>
      </x:c>
      <x:c r="I27" s="83" t="str">
        <x:v>Scenario configuration</x:v>
      </x:c>
      <x:c r="J27" s="197" t="n">
        <x:v>16.2</x:v>
      </x:c>
      <x:c r="K27" s="197"/>
      <x:c r="L27" s="197"/>
      <x:c r="M27" s="197" t="n">
        <x:v>2</x:v>
      </x:c>
      <x:c r="N27" s="197"/>
      <x:c r="O27" s="197" t="n">
        <x:v>4</x:v>
      </x:c>
      <x:c r="P27" s="197" t="n">
        <x:f>IF(AND(J27&lt;&gt;"",O27&lt;&gt;""),J27/O27,"")</x:f>
        <x:v>4.05</x:v>
      </x:c>
      <x:c r="Q27" s="197" t="str">
        <x:f>IF(AND(J27&lt;&gt;"",N27&lt;&gt;""),J27/N27,"")</x:f>
      </x:c>
      <x:c r="R27" s="197" t="n">
        <x:f>IF(AND(J27&lt;&gt;"",M27&lt;&gt;""),J27/M27,"")</x:f>
        <x:v>8.1</x:v>
      </x:c>
      <x:c r="S27" s="197" t="str">
        <x:f>IF(AND(J27&lt;&gt;"",L27&lt;&gt;""),J27/L27,"")</x:f>
      </x:c>
      <x:c r="T27" s="83" t="str">
        <x:v>S09</x:v>
      </x:c>
      <x:c r="U27" s="83" t="str">
        <x:v>Documento di Descrizione degli Scenari 2024</x:v>
      </x:c>
      <x:c r="V27" s="83" t="n">
        <x:v>63</x:v>
      </x:c>
      <x:c r="W27" s="83" t="str">
        <x:v>60-61</x:v>
      </x:c>
      <x:c r="X27" s="83" t="str">
        <x:v>Table 16</x:v>
      </x:c>
      <x:c r="Y27" s="83" t="str">
        <x:v>Assunzione di scenario</x:v>
      </x:c>
      <x:c r="Z27" s="83" t="str">
        <x:v>Direct table extraction</x:v>
      </x:c>
      <x:c r="AA27" s="83" t="str">
        <x:v>A — Direct</x:v>
      </x:c>
      <x:c r="AB27" s="83" t="str">
        <x:v>Prefer two 2h/4h classes if shares become available; otherwise retain power interval.</x:v>
      </x:c>
      <x:c r="AC27" s="83" t="str">
        <x:v>Excludes existing pumped hydro.</x:v>
      </x:c>
    </x:row>
    <x:row r="28">
      <x:c r="A28" s="83" t="str">
        <x:v>ST-024</x:v>
      </x:c>
      <x:c r="B28" s="83" t="str">
        <x:v>DE_IT_2035</x:v>
      </x:c>
      <x:c r="C28" s="83" t="n">
        <x:v>2035</x:v>
      </x:c>
      <x:c r="D28" s="83" t="str">
        <x:v>DE-IT 2035</x:v>
      </x:c>
      <x:c r="E28" s="83" t="str">
        <x:v>Italia</x:v>
      </x:c>
      <x:c r="F28" s="83" t="str"/>
      <x:c r="G28" s="83" t="str">
        <x:v>Utility Scale</x:v>
      </x:c>
      <x:c r="H28" s="83" t="str">
        <x:v>BESS / generic storage</x:v>
      </x:c>
      <x:c r="I28" s="83" t="str">
        <x:v>Scenario configuration</x:v>
      </x:c>
      <x:c r="J28" s="197" t="n">
        <x:v>100</x:v>
      </x:c>
      <x:c r="K28" s="197"/>
      <x:c r="L28" s="197"/>
      <x:c r="M28" s="197" t="n">
        <x:v>8</x:v>
      </x:c>
      <x:c r="N28" s="197" t="n">
        <x:v>8</x:v>
      </x:c>
      <x:c r="O28" s="197" t="n">
        <x:v>8</x:v>
      </x:c>
      <x:c r="P28" s="197" t="n">
        <x:f>IF(AND(J28&lt;&gt;"",O28&lt;&gt;""),J28/O28,"")</x:f>
        <x:v>12.5</x:v>
      </x:c>
      <x:c r="Q28" s="197" t="n">
        <x:f>IF(AND(J28&lt;&gt;"",N28&lt;&gt;""),J28/N28,"")</x:f>
        <x:v>12.5</x:v>
      </x:c>
      <x:c r="R28" s="197" t="n">
        <x:f>IF(AND(J28&lt;&gt;"",M28&lt;&gt;""),J28/M28,"")</x:f>
        <x:v>12.5</x:v>
      </x:c>
      <x:c r="S28" s="197" t="str">
        <x:f>IF(AND(J28&lt;&gt;"",L28&lt;&gt;""),J28/L28,"")</x:f>
      </x:c>
      <x:c r="T28" s="83" t="str">
        <x:v>S09</x:v>
      </x:c>
      <x:c r="U28" s="83" t="str">
        <x:v>Documento di Descrizione degli Scenari 2024</x:v>
      </x:c>
      <x:c r="V28" s="83" t="n">
        <x:v>63</x:v>
      </x:c>
      <x:c r="W28" s="83" t="str">
        <x:v>60-61</x:v>
      </x:c>
      <x:c r="X28" s="83" t="str">
        <x:v>Table 16</x:v>
      </x:c>
      <x:c r="Y28" s="83" t="str">
        <x:v>Assunzione di scenario</x:v>
      </x:c>
      <x:c r="Z28" s="83" t="str">
        <x:v>Direct table extraction</x:v>
      </x:c>
      <x:c r="AA28" s="83" t="str">
        <x:v>A — Direct</x:v>
      </x:c>
      <x:c r="AB28" s="83" t="str">
        <x:v>Store+Links; e_nom direct, p_nom = e_nom/8.</x:v>
      </x:c>
      <x:c r="AC28" s="83" t="str">
        <x:v>Excludes existing pumped hydro.</x:v>
      </x:c>
    </x:row>
    <x:row r="29">
      <x:c r="A29" s="83" t="str">
        <x:v>ST-025</x:v>
      </x:c>
      <x:c r="B29" s="83" t="str">
        <x:v>DE_IT_2035</x:v>
      </x:c>
      <x:c r="C29" s="83" t="n">
        <x:v>2035</x:v>
      </x:c>
      <x:c r="D29" s="83" t="str">
        <x:v>DE-IT 2035</x:v>
      </x:c>
      <x:c r="E29" s="83" t="str">
        <x:v>Italia</x:v>
      </x:c>
      <x:c r="F29" s="83" t="str"/>
      <x:c r="G29" s="83" t="str">
        <x:v>CM</x:v>
      </x:c>
      <x:c r="H29" s="83" t="str">
        <x:v>Capacity Market storage</x:v>
      </x:c>
      <x:c r="I29" s="83" t="str">
        <x:v>Scenario configuration</x:v>
      </x:c>
      <x:c r="J29" s="197" t="n">
        <x:v>7.5</x:v>
      </x:c>
      <x:c r="K29" s="197"/>
      <x:c r="L29" s="197"/>
      <x:c r="M29" s="197"/>
      <x:c r="N29" s="197"/>
      <x:c r="O29" s="197"/>
      <x:c r="P29" s="197" t="str">
        <x:f>IF(AND(J29&lt;&gt;"",O29&lt;&gt;""),J29/O29,"")</x:f>
      </x:c>
      <x:c r="Q29" s="197" t="str">
        <x:f>IF(AND(J29&lt;&gt;"",N29&lt;&gt;""),J29/N29,"")</x:f>
      </x:c>
      <x:c r="R29" s="197" t="str">
        <x:f>IF(AND(J29&lt;&gt;"",M29&lt;&gt;""),J29/M29,"")</x:f>
      </x:c>
      <x:c r="S29" s="197" t="str">
        <x:f>IF(AND(J29&lt;&gt;"",L29&lt;&gt;""),J29/L29,"")</x:f>
      </x:c>
      <x:c r="T29" s="83" t="str">
        <x:v>S09</x:v>
      </x:c>
      <x:c r="U29" s="83" t="str">
        <x:v>Documento di Descrizione degli Scenari 2024</x:v>
      </x:c>
      <x:c r="V29" s="83" t="n">
        <x:v>63</x:v>
      </x:c>
      <x:c r="W29" s="83" t="str">
        <x:v>60-61</x:v>
      </x:c>
      <x:c r="X29" s="83" t="str">
        <x:v>Table 16</x:v>
      </x:c>
      <x:c r="Y29" s="83" t="str">
        <x:v>Assunzione di scenario</x:v>
      </x:c>
      <x:c r="Z29" s="83" t="str">
        <x:v>Direct table extraction</x:v>
      </x:c>
      <x:c r="AA29" s="83" t="str">
        <x:v>A — Direct</x:v>
      </x:c>
      <x:c r="AB29" s="83" t="str">
        <x:v>Energy direct; power unresolved until asset/auction duration data are acquired.</x:v>
      </x:c>
      <x:c r="AC29" s="83" t="str">
        <x:v>Excludes existing pumped hydro.</x:v>
      </x:c>
    </x:row>
    <x:row r="30">
      <x:c r="A30" s="83" t="str">
        <x:v>ST-026</x:v>
      </x:c>
      <x:c r="B30" s="83" t="str">
        <x:v>DE_IT_2035</x:v>
      </x:c>
      <x:c r="C30" s="83" t="n">
        <x:v>2035</x:v>
      </x:c>
      <x:c r="D30" s="83" t="str">
        <x:v>DE-IT 2035</x:v>
      </x:c>
      <x:c r="E30" s="83" t="str">
        <x:v>Italia</x:v>
      </x:c>
      <x:c r="F30" s="83" t="str"/>
      <x:c r="G30" s="83" t="str">
        <x:v>Totale</x:v>
      </x:c>
      <x:c r="H30" s="83" t="str">
        <x:v>BESS / generic storage</x:v>
      </x:c>
      <x:c r="I30" s="83" t="str">
        <x:v>Scenario configuration</x:v>
      </x:c>
      <x:c r="J30" s="197" t="n">
        <x:v>123.7</x:v>
      </x:c>
      <x:c r="K30" s="197"/>
      <x:c r="L30" s="197"/>
      <x:c r="M30" s="197"/>
      <x:c r="N30" s="197"/>
      <x:c r="O30" s="197"/>
      <x:c r="P30" s="197" t="str">
        <x:f>IF(AND(J30&lt;&gt;"",O30&lt;&gt;""),J30/O30,"")</x:f>
      </x:c>
      <x:c r="Q30" s="197" t="str">
        <x:f>IF(AND(J30&lt;&gt;"",N30&lt;&gt;""),J30/N30,"")</x:f>
      </x:c>
      <x:c r="R30" s="197" t="str">
        <x:f>IF(AND(J30&lt;&gt;"",M30&lt;&gt;""),J30/M30,"")</x:f>
      </x:c>
      <x:c r="S30" s="197" t="str">
        <x:f>IF(AND(J30&lt;&gt;"",L30&lt;&gt;""),J30/L30,"")</x:f>
      </x:c>
      <x:c r="T30" s="83" t="str">
        <x:v>S09</x:v>
      </x:c>
      <x:c r="U30" s="83" t="str">
        <x:v>Documento di Descrizione degli Scenari 2024</x:v>
      </x:c>
      <x:c r="V30" s="83" t="n">
        <x:v>63</x:v>
      </x:c>
      <x:c r="W30" s="83" t="str">
        <x:v>60-61</x:v>
      </x:c>
      <x:c r="X30" s="83" t="str">
        <x:v>Table 16</x:v>
      </x:c>
      <x:c r="Y30" s="83" t="str">
        <x:v>Assunzione di scenario</x:v>
      </x:c>
      <x:c r="Z30" s="83" t="str">
        <x:v>Direct table extraction</x:v>
      </x:c>
      <x:c r="AA30" s="83" t="str">
        <x:v>A — Direct</x:v>
      </x:c>
      <x:c r="AB30" s="83" t="str">
        <x:v>QA total only, not a standalone PyPSA component.</x:v>
      </x:c>
      <x:c r="AC30" s="83" t="str">
        <x:v>Excludes existing pumped hydro.</x:v>
      </x:c>
    </x:row>
    <x:row r="31">
      <x:c r="A31" s="83" t="str">
        <x:v>ST-027</x:v>
      </x:c>
      <x:c r="B31" s="83" t="str">
        <x:v>DE_IT_2035</x:v>
      </x:c>
      <x:c r="C31" s="83" t="n">
        <x:v>2035</x:v>
      </x:c>
      <x:c r="D31" s="83" t="str">
        <x:v>DE-IT 2035</x:v>
      </x:c>
      <x:c r="E31" s="83" t="str">
        <x:v>Italia</x:v>
      </x:c>
      <x:c r="F31" s="83" t="str"/>
      <x:c r="G31" s="83" t="str">
        <x:v>Total including existing pumping convention</x:v>
      </x:c>
      <x:c r="H31" s="83" t="str">
        <x:v>All storage</x:v>
      </x:c>
      <x:c r="I31" s="83" t="str">
        <x:v>Scenario configuration</x:v>
      </x:c>
      <x:c r="J31" s="197" t="n">
        <x:v>173.7</x:v>
      </x:c>
      <x:c r="K31" s="197"/>
      <x:c r="L31" s="197"/>
      <x:c r="M31" s="197"/>
      <x:c r="N31" s="197"/>
      <x:c r="O31" s="197"/>
      <x:c r="P31" s="197" t="str">
        <x:f>IF(AND(J31&lt;&gt;"",O31&lt;&gt;""),J31/O31,"")</x:f>
      </x:c>
      <x:c r="Q31" s="197" t="str">
        <x:f>IF(AND(J31&lt;&gt;"",N31&lt;&gt;""),J31/N31,"")</x:f>
      </x:c>
      <x:c r="R31" s="197" t="str">
        <x:f>IF(AND(J31&lt;&gt;"",M31&lt;&gt;""),J31/M31,"")</x:f>
      </x:c>
      <x:c r="S31" s="197" t="str">
        <x:f>IF(AND(J31&lt;&gt;"",L31&lt;&gt;""),J31/L31,"")</x:f>
      </x:c>
      <x:c r="T31" s="83" t="str">
        <x:v>S09</x:v>
      </x:c>
      <x:c r="U31" s="83" t="str">
        <x:v>Documento di Descrizione degli Scenari 2024</x:v>
      </x:c>
      <x:c r="V31" s="83" t="n">
        <x:v>63</x:v>
      </x:c>
      <x:c r="W31" s="83" t="str">
        <x:v>47 / 60-61</x:v>
      </x:c>
      <x:c r="X31" s="83" t="str">
        <x:v>Figure 19 / Table 16</x:v>
      </x:c>
      <x:c r="Y31" s="83" t="str">
        <x:v>B — Derived from source values</x:v>
      </x:c>
      <x:c r="Z31" s="83" t="str">
        <x:v>Total ex pumping + 50 GWh existing pumping convention</x:v>
      </x:c>
      <x:c r="AA31" s="83" t="str">
        <x:v>B — Derived</x:v>
      </x:c>
      <x:c r="AB31" s="83" t="str">
        <x:v>System-level QA; physical pumping stock is 53 GWh in S01.</x:v>
      </x:c>
      <x:c r="AC31" s="83" t="str">
        <x:v>Preserves the 50 GWh DDS convention; do not conflate with the 53 GWh physical estimate.</x:v>
      </x:c>
    </x:row>
    <x:row r="32">
      <x:c r="A32" s="83" t="str">
        <x:v>ST-028</x:v>
      </x:c>
      <x:c r="B32" s="83" t="str">
        <x:v>GA_IT_2035</x:v>
      </x:c>
      <x:c r="C32" s="83" t="n">
        <x:v>2035</x:v>
      </x:c>
      <x:c r="D32" s="83" t="str">
        <x:v>GA-IT 2035</x:v>
      </x:c>
      <x:c r="E32" s="83" t="str">
        <x:v>Italia</x:v>
      </x:c>
      <x:c r="F32" s="83" t="str"/>
      <x:c r="G32" s="83" t="str">
        <x:v>Small Scale</x:v>
      </x:c>
      <x:c r="H32" s="83" t="str">
        <x:v>BESS / generic storage</x:v>
      </x:c>
      <x:c r="I32" s="83" t="str">
        <x:v>Scenario configuration</x:v>
      </x:c>
      <x:c r="J32" s="197" t="n">
        <x:v>15.6</x:v>
      </x:c>
      <x:c r="K32" s="197"/>
      <x:c r="L32" s="197"/>
      <x:c r="M32" s="197" t="n">
        <x:v>2</x:v>
      </x:c>
      <x:c r="N32" s="197"/>
      <x:c r="O32" s="197" t="n">
        <x:v>4</x:v>
      </x:c>
      <x:c r="P32" s="197" t="n">
        <x:f>IF(AND(J32&lt;&gt;"",O32&lt;&gt;""),J32/O32,"")</x:f>
        <x:v>3.9</x:v>
      </x:c>
      <x:c r="Q32" s="197" t="str">
        <x:f>IF(AND(J32&lt;&gt;"",N32&lt;&gt;""),J32/N32,"")</x:f>
      </x:c>
      <x:c r="R32" s="197" t="n">
        <x:f>IF(AND(J32&lt;&gt;"",M32&lt;&gt;""),J32/M32,"")</x:f>
        <x:v>7.8</x:v>
      </x:c>
      <x:c r="S32" s="197" t="str">
        <x:f>IF(AND(J32&lt;&gt;"",L32&lt;&gt;""),J32/L32,"")</x:f>
      </x:c>
      <x:c r="T32" s="83" t="str">
        <x:v>S09</x:v>
      </x:c>
      <x:c r="U32" s="83" t="str">
        <x:v>Documento di Descrizione degli Scenari 2024</x:v>
      </x:c>
      <x:c r="V32" s="83" t="n">
        <x:v>63</x:v>
      </x:c>
      <x:c r="W32" s="83" t="str">
        <x:v>60-61</x:v>
      </x:c>
      <x:c r="X32" s="83" t="str">
        <x:v>Table 16</x:v>
      </x:c>
      <x:c r="Y32" s="83" t="str">
        <x:v>Assunzione di scenario</x:v>
      </x:c>
      <x:c r="Z32" s="83" t="str">
        <x:v>Direct table extraction</x:v>
      </x:c>
      <x:c r="AA32" s="83" t="str">
        <x:v>A — Direct</x:v>
      </x:c>
      <x:c r="AB32" s="83" t="str">
        <x:v>Prefer two 2h/4h classes if shares become available; otherwise retain power interval.</x:v>
      </x:c>
      <x:c r="AC32" s="83" t="str">
        <x:v>Excludes existing pumped hydro.</x:v>
      </x:c>
    </x:row>
    <x:row r="33">
      <x:c r="A33" s="83" t="str">
        <x:v>ST-029</x:v>
      </x:c>
      <x:c r="B33" s="83" t="str">
        <x:v>GA_IT_2035</x:v>
      </x:c>
      <x:c r="C33" s="83" t="n">
        <x:v>2035</x:v>
      </x:c>
      <x:c r="D33" s="83" t="str">
        <x:v>GA-IT 2035</x:v>
      </x:c>
      <x:c r="E33" s="83" t="str">
        <x:v>Italia</x:v>
      </x:c>
      <x:c r="F33" s="83" t="str"/>
      <x:c r="G33" s="83" t="str">
        <x:v>Utility Scale</x:v>
      </x:c>
      <x:c r="H33" s="83" t="str">
        <x:v>BESS / generic storage</x:v>
      </x:c>
      <x:c r="I33" s="83" t="str">
        <x:v>Scenario configuration</x:v>
      </x:c>
      <x:c r="J33" s="197" t="n">
        <x:v>64</x:v>
      </x:c>
      <x:c r="K33" s="197"/>
      <x:c r="L33" s="197"/>
      <x:c r="M33" s="197" t="n">
        <x:v>8</x:v>
      </x:c>
      <x:c r="N33" s="197" t="n">
        <x:v>8</x:v>
      </x:c>
      <x:c r="O33" s="197" t="n">
        <x:v>8</x:v>
      </x:c>
      <x:c r="P33" s="197" t="n">
        <x:f>IF(AND(J33&lt;&gt;"",O33&lt;&gt;""),J33/O33,"")</x:f>
        <x:v>8</x:v>
      </x:c>
      <x:c r="Q33" s="197" t="n">
        <x:f>IF(AND(J33&lt;&gt;"",N33&lt;&gt;""),J33/N33,"")</x:f>
        <x:v>8</x:v>
      </x:c>
      <x:c r="R33" s="197" t="n">
        <x:f>IF(AND(J33&lt;&gt;"",M33&lt;&gt;""),J33/M33,"")</x:f>
        <x:v>8</x:v>
      </x:c>
      <x:c r="S33" s="197" t="str">
        <x:f>IF(AND(J33&lt;&gt;"",L33&lt;&gt;""),J33/L33,"")</x:f>
      </x:c>
      <x:c r="T33" s="83" t="str">
        <x:v>S09</x:v>
      </x:c>
      <x:c r="U33" s="83" t="str">
        <x:v>Documento di Descrizione degli Scenari 2024</x:v>
      </x:c>
      <x:c r="V33" s="83" t="n">
        <x:v>63</x:v>
      </x:c>
      <x:c r="W33" s="83" t="str">
        <x:v>60-61</x:v>
      </x:c>
      <x:c r="X33" s="83" t="str">
        <x:v>Table 16</x:v>
      </x:c>
      <x:c r="Y33" s="83" t="str">
        <x:v>Assunzione di scenario</x:v>
      </x:c>
      <x:c r="Z33" s="83" t="str">
        <x:v>Direct table extraction</x:v>
      </x:c>
      <x:c r="AA33" s="83" t="str">
        <x:v>A — Direct</x:v>
      </x:c>
      <x:c r="AB33" s="83" t="str">
        <x:v>Store+Links; e_nom direct, p_nom = e_nom/8.</x:v>
      </x:c>
      <x:c r="AC33" s="83" t="str">
        <x:v>Excludes existing pumped hydro.</x:v>
      </x:c>
    </x:row>
    <x:row r="34">
      <x:c r="A34" s="83" t="str">
        <x:v>ST-030</x:v>
      </x:c>
      <x:c r="B34" s="83" t="str">
        <x:v>GA_IT_2035</x:v>
      </x:c>
      <x:c r="C34" s="83" t="n">
        <x:v>2035</x:v>
      </x:c>
      <x:c r="D34" s="83" t="str">
        <x:v>GA-IT 2035</x:v>
      </x:c>
      <x:c r="E34" s="83" t="str">
        <x:v>Italia</x:v>
      </x:c>
      <x:c r="F34" s="83" t="str"/>
      <x:c r="G34" s="83" t="str">
        <x:v>CM</x:v>
      </x:c>
      <x:c r="H34" s="83" t="str">
        <x:v>Capacity Market storage</x:v>
      </x:c>
      <x:c r="I34" s="83" t="str">
        <x:v>Scenario configuration</x:v>
      </x:c>
      <x:c r="J34" s="197" t="n">
        <x:v>7.5</x:v>
      </x:c>
      <x:c r="K34" s="197"/>
      <x:c r="L34" s="197"/>
      <x:c r="M34" s="197"/>
      <x:c r="N34" s="197"/>
      <x:c r="O34" s="197"/>
      <x:c r="P34" s="197" t="str">
        <x:f>IF(AND(J34&lt;&gt;"",O34&lt;&gt;""),J34/O34,"")</x:f>
      </x:c>
      <x:c r="Q34" s="197" t="str">
        <x:f>IF(AND(J34&lt;&gt;"",N34&lt;&gt;""),J34/N34,"")</x:f>
      </x:c>
      <x:c r="R34" s="197" t="str">
        <x:f>IF(AND(J34&lt;&gt;"",M34&lt;&gt;""),J34/M34,"")</x:f>
      </x:c>
      <x:c r="S34" s="197" t="str">
        <x:f>IF(AND(J34&lt;&gt;"",L34&lt;&gt;""),J34/L34,"")</x:f>
      </x:c>
      <x:c r="T34" s="83" t="str">
        <x:v>S09</x:v>
      </x:c>
      <x:c r="U34" s="83" t="str">
        <x:v>Documento di Descrizione degli Scenari 2024</x:v>
      </x:c>
      <x:c r="V34" s="83" t="n">
        <x:v>63</x:v>
      </x:c>
      <x:c r="W34" s="83" t="str">
        <x:v>60-61</x:v>
      </x:c>
      <x:c r="X34" s="83" t="str">
        <x:v>Table 16</x:v>
      </x:c>
      <x:c r="Y34" s="83" t="str">
        <x:v>Assunzione di scenario</x:v>
      </x:c>
      <x:c r="Z34" s="83" t="str">
        <x:v>Direct table extraction</x:v>
      </x:c>
      <x:c r="AA34" s="83" t="str">
        <x:v>A — Direct</x:v>
      </x:c>
      <x:c r="AB34" s="83" t="str">
        <x:v>Energy direct; power unresolved until asset/auction duration data are acquired.</x:v>
      </x:c>
      <x:c r="AC34" s="83" t="str">
        <x:v>Excludes existing pumped hydro.</x:v>
      </x:c>
    </x:row>
    <x:row r="35">
      <x:c r="A35" s="83" t="str">
        <x:v>ST-031</x:v>
      </x:c>
      <x:c r="B35" s="83" t="str">
        <x:v>GA_IT_2035</x:v>
      </x:c>
      <x:c r="C35" s="83" t="n">
        <x:v>2035</x:v>
      </x:c>
      <x:c r="D35" s="83" t="str">
        <x:v>GA-IT 2035</x:v>
      </x:c>
      <x:c r="E35" s="83" t="str">
        <x:v>Italia</x:v>
      </x:c>
      <x:c r="F35" s="83" t="str"/>
      <x:c r="G35" s="83" t="str">
        <x:v>Totale</x:v>
      </x:c>
      <x:c r="H35" s="83" t="str">
        <x:v>BESS / generic storage</x:v>
      </x:c>
      <x:c r="I35" s="83" t="str">
        <x:v>Scenario configuration</x:v>
      </x:c>
      <x:c r="J35" s="197" t="n">
        <x:v>87</x:v>
      </x:c>
      <x:c r="K35" s="197"/>
      <x:c r="L35" s="197"/>
      <x:c r="M35" s="197"/>
      <x:c r="N35" s="197"/>
      <x:c r="O35" s="197"/>
      <x:c r="P35" s="197" t="str">
        <x:f>IF(AND(J35&lt;&gt;"",O35&lt;&gt;""),J35/O35,"")</x:f>
      </x:c>
      <x:c r="Q35" s="197" t="str">
        <x:f>IF(AND(J35&lt;&gt;"",N35&lt;&gt;""),J35/N35,"")</x:f>
      </x:c>
      <x:c r="R35" s="197" t="str">
        <x:f>IF(AND(J35&lt;&gt;"",M35&lt;&gt;""),J35/M35,"")</x:f>
      </x:c>
      <x:c r="S35" s="197" t="str">
        <x:f>IF(AND(J35&lt;&gt;"",L35&lt;&gt;""),J35/L35,"")</x:f>
      </x:c>
      <x:c r="T35" s="83" t="str">
        <x:v>S09</x:v>
      </x:c>
      <x:c r="U35" s="83" t="str">
        <x:v>Documento di Descrizione degli Scenari 2024</x:v>
      </x:c>
      <x:c r="V35" s="83" t="n">
        <x:v>63</x:v>
      </x:c>
      <x:c r="W35" s="83" t="str">
        <x:v>60-61</x:v>
      </x:c>
      <x:c r="X35" s="83" t="str">
        <x:v>Table 16</x:v>
      </x:c>
      <x:c r="Y35" s="83" t="str">
        <x:v>Assunzione di scenario</x:v>
      </x:c>
      <x:c r="Z35" s="83" t="str">
        <x:v>Direct table extraction</x:v>
      </x:c>
      <x:c r="AA35" s="83" t="str">
        <x:v>A — Direct</x:v>
      </x:c>
      <x:c r="AB35" s="83" t="str">
        <x:v>QA total only, not a standalone PyPSA component.</x:v>
      </x:c>
      <x:c r="AC35" s="83" t="str">
        <x:v>Excludes existing pumped hydro.</x:v>
      </x:c>
    </x:row>
    <x:row r="36">
      <x:c r="A36" s="83" t="str">
        <x:v>ST-032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Italia</x:v>
      </x:c>
      <x:c r="F36" s="83" t="str"/>
      <x:c r="G36" s="83" t="str">
        <x:v>Total including existing pumping convention</x:v>
      </x:c>
      <x:c r="H36" s="83" t="str">
        <x:v>All storage</x:v>
      </x:c>
      <x:c r="I36" s="83" t="str">
        <x:v>Scenario configuration</x:v>
      </x:c>
      <x:c r="J36" s="197" t="n">
        <x:v>137</x:v>
      </x:c>
      <x:c r="K36" s="197"/>
      <x:c r="L36" s="197"/>
      <x:c r="M36" s="197"/>
      <x:c r="N36" s="197"/>
      <x:c r="O36" s="197"/>
      <x:c r="P36" s="197" t="str">
        <x:f>IF(AND(J36&lt;&gt;"",O36&lt;&gt;""),J36/O36,"")</x:f>
      </x:c>
      <x:c r="Q36" s="197" t="str">
        <x:f>IF(AND(J36&lt;&gt;"",N36&lt;&gt;""),J36/N36,"")</x:f>
      </x:c>
      <x:c r="R36" s="197" t="str">
        <x:f>IF(AND(J36&lt;&gt;"",M36&lt;&gt;""),J36/M36,"")</x:f>
      </x:c>
      <x:c r="S36" s="197" t="str">
        <x:f>IF(AND(J36&lt;&gt;"",L36&lt;&gt;""),J36/L36,"")</x:f>
      </x:c>
      <x:c r="T36" s="83" t="str">
        <x:v>S09</x:v>
      </x:c>
      <x:c r="U36" s="83" t="str">
        <x:v>Documento di Descrizione degli Scenari 2024</x:v>
      </x:c>
      <x:c r="V36" s="83" t="n">
        <x:v>63</x:v>
      </x:c>
      <x:c r="W36" s="83" t="str">
        <x:v>47 / 60-61</x:v>
      </x:c>
      <x:c r="X36" s="83" t="str">
        <x:v>Figure 19 / Table 16</x:v>
      </x:c>
      <x:c r="Y36" s="83" t="str">
        <x:v>B — Derived from source values</x:v>
      </x:c>
      <x:c r="Z36" s="83" t="str">
        <x:v>Total ex pumping + 50 GWh existing pumping convention</x:v>
      </x:c>
      <x:c r="AA36" s="83" t="str">
        <x:v>B — Derived</x:v>
      </x:c>
      <x:c r="AB36" s="83" t="str">
        <x:v>System-level QA; physical pumping stock is 53 GWh in S01.</x:v>
      </x:c>
      <x:c r="AC36" s="83" t="str">
        <x:v>Preserves the 50 GWh DDS convention; do not conflate with the 53 GWh physical estimate.</x:v>
      </x:c>
    </x:row>
    <x:row r="37">
      <x:c r="A37" s="83" t="str">
        <x:v>ST-033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Italia</x:v>
      </x:c>
      <x:c r="F37" s="83" t="str"/>
      <x:c r="G37" s="83" t="str">
        <x:v>Small Scale</x:v>
      </x:c>
      <x:c r="H37" s="83" t="str">
        <x:v>BESS / generic storage</x:v>
      </x:c>
      <x:c r="I37" s="83" t="str">
        <x:v>Scenario configuration</x:v>
      </x:c>
      <x:c r="J37" s="197" t="n">
        <x:v>15.1</x:v>
      </x:c>
      <x:c r="K37" s="197"/>
      <x:c r="L37" s="197"/>
      <x:c r="M37" s="197" t="n">
        <x:v>2</x:v>
      </x:c>
      <x:c r="N37" s="197"/>
      <x:c r="O37" s="197" t="n">
        <x:v>4</x:v>
      </x:c>
      <x:c r="P37" s="197" t="n">
        <x:f>IF(AND(J37&lt;&gt;"",O37&lt;&gt;""),J37/O37,"")</x:f>
        <x:v>3.775</x:v>
      </x:c>
      <x:c r="Q37" s="197" t="str">
        <x:f>IF(AND(J37&lt;&gt;"",N37&lt;&gt;""),J37/N37,"")</x:f>
      </x:c>
      <x:c r="R37" s="197" t="n">
        <x:f>IF(AND(J37&lt;&gt;"",M37&lt;&gt;""),J37/M37,"")</x:f>
        <x:v>7.55</x:v>
      </x:c>
      <x:c r="S37" s="197" t="str">
        <x:f>IF(AND(J37&lt;&gt;"",L37&lt;&gt;""),J37/L37,"")</x:f>
      </x:c>
      <x:c r="T37" s="83" t="str">
        <x:v>S09</x:v>
      </x:c>
      <x:c r="U37" s="83" t="str">
        <x:v>Documento di Descrizione degli Scenari 2024</x:v>
      </x:c>
      <x:c r="V37" s="83" t="n">
        <x:v>63</x:v>
      </x:c>
      <x:c r="W37" s="83" t="str">
        <x:v>60-61</x:v>
      </x:c>
      <x:c r="X37" s="83" t="str">
        <x:v>Table 16</x:v>
      </x:c>
      <x:c r="Y37" s="83" t="str">
        <x:v>Assunzione di scenario</x:v>
      </x:c>
      <x:c r="Z37" s="83" t="str">
        <x:v>Direct table extraction</x:v>
      </x:c>
      <x:c r="AA37" s="83" t="str">
        <x:v>A — Direct</x:v>
      </x:c>
      <x:c r="AB37" s="83" t="str">
        <x:v>Prefer two 2h/4h classes if shares become available; otherwise retain power interval.</x:v>
      </x:c>
      <x:c r="AC37" s="83" t="str">
        <x:v>Excludes existing pumped hydro.</x:v>
      </x:c>
    </x:row>
    <x:row r="38">
      <x:c r="A38" s="83" t="str">
        <x:v>ST-034</x:v>
      </x:c>
      <x:c r="B38" s="83" t="str">
        <x:v>PNIEC_SLOW_2035</x:v>
      </x:c>
      <x:c r="C38" s="83" t="n">
        <x:v>2035</x:v>
      </x:c>
      <x:c r="D38" s="83" t="str">
        <x:v>PNIEC Slow 2035</x:v>
      </x:c>
      <x:c r="E38" s="83" t="str">
        <x:v>Italia</x:v>
      </x:c>
      <x:c r="F38" s="83" t="str"/>
      <x:c r="G38" s="83" t="str">
        <x:v>Utility Scale</x:v>
      </x:c>
      <x:c r="H38" s="83" t="str">
        <x:v>BESS / generic storage</x:v>
      </x:c>
      <x:c r="I38" s="83" t="str">
        <x:v>Scenario configuration</x:v>
      </x:c>
      <x:c r="J38" s="197" t="n">
        <x:v>56</x:v>
      </x:c>
      <x:c r="K38" s="197"/>
      <x:c r="L38" s="197"/>
      <x:c r="M38" s="197" t="n">
        <x:v>8</x:v>
      </x:c>
      <x:c r="N38" s="197" t="n">
        <x:v>8</x:v>
      </x:c>
      <x:c r="O38" s="197" t="n">
        <x:v>8</x:v>
      </x:c>
      <x:c r="P38" s="197" t="n">
        <x:f>IF(AND(J38&lt;&gt;"",O38&lt;&gt;""),J38/O38,"")</x:f>
        <x:v>7</x:v>
      </x:c>
      <x:c r="Q38" s="197" t="n">
        <x:f>IF(AND(J38&lt;&gt;"",N38&lt;&gt;""),J38/N38,"")</x:f>
        <x:v>7</x:v>
      </x:c>
      <x:c r="R38" s="197" t="n">
        <x:f>IF(AND(J38&lt;&gt;"",M38&lt;&gt;""),J38/M38,"")</x:f>
        <x:v>7</x:v>
      </x:c>
      <x:c r="S38" s="197" t="str">
        <x:f>IF(AND(J38&lt;&gt;"",L38&lt;&gt;""),J38/L38,"")</x:f>
      </x:c>
      <x:c r="T38" s="83" t="str">
        <x:v>S09</x:v>
      </x:c>
      <x:c r="U38" s="83" t="str">
        <x:v>Documento di Descrizione degli Scenari 2024</x:v>
      </x:c>
      <x:c r="V38" s="83" t="n">
        <x:v>63</x:v>
      </x:c>
      <x:c r="W38" s="83" t="str">
        <x:v>60-61</x:v>
      </x:c>
      <x:c r="X38" s="83" t="str">
        <x:v>Table 16</x:v>
      </x:c>
      <x:c r="Y38" s="83" t="str">
        <x:v>Assunzione di scenario</x:v>
      </x:c>
      <x:c r="Z38" s="83" t="str">
        <x:v>Direct table extraction</x:v>
      </x:c>
      <x:c r="AA38" s="83" t="str">
        <x:v>A — Direct</x:v>
      </x:c>
      <x:c r="AB38" s="83" t="str">
        <x:v>Store+Links; e_nom direct, p_nom = e_nom/8.</x:v>
      </x:c>
      <x:c r="AC38" s="83" t="str">
        <x:v>Excludes existing pumped hydro.</x:v>
      </x:c>
    </x:row>
    <x:row r="39">
      <x:c r="A39" s="83" t="str">
        <x:v>ST-035</x:v>
      </x:c>
      <x:c r="B39" s="83" t="str">
        <x:v>PNIEC_SLOW_2035</x:v>
      </x:c>
      <x:c r="C39" s="83" t="n">
        <x:v>2035</x:v>
      </x:c>
      <x:c r="D39" s="83" t="str">
        <x:v>PNIEC Slow 2035</x:v>
      </x:c>
      <x:c r="E39" s="83" t="str">
        <x:v>Italia</x:v>
      </x:c>
      <x:c r="F39" s="83" t="str"/>
      <x:c r="G39" s="83" t="str">
        <x:v>CM</x:v>
      </x:c>
      <x:c r="H39" s="83" t="str">
        <x:v>Capacity Market storage</x:v>
      </x:c>
      <x:c r="I39" s="83" t="str">
        <x:v>Scenario configuration</x:v>
      </x:c>
      <x:c r="J39" s="197" t="n">
        <x:v>7.5</x:v>
      </x:c>
      <x:c r="K39" s="197"/>
      <x:c r="L39" s="197"/>
      <x:c r="M39" s="197"/>
      <x:c r="N39" s="197"/>
      <x:c r="O39" s="197"/>
      <x:c r="P39" s="197" t="str">
        <x:f>IF(AND(J39&lt;&gt;"",O39&lt;&gt;""),J39/O39,"")</x:f>
      </x:c>
      <x:c r="Q39" s="197" t="str">
        <x:f>IF(AND(J39&lt;&gt;"",N39&lt;&gt;""),J39/N39,"")</x:f>
      </x:c>
      <x:c r="R39" s="197" t="str">
        <x:f>IF(AND(J39&lt;&gt;"",M39&lt;&gt;""),J39/M39,"")</x:f>
      </x:c>
      <x:c r="S39" s="197" t="str">
        <x:f>IF(AND(J39&lt;&gt;"",L39&lt;&gt;""),J39/L39,"")</x:f>
      </x:c>
      <x:c r="T39" s="83" t="str">
        <x:v>S09</x:v>
      </x:c>
      <x:c r="U39" s="83" t="str">
        <x:v>Documento di Descrizione degli Scenari 2024</x:v>
      </x:c>
      <x:c r="V39" s="83" t="n">
        <x:v>63</x:v>
      </x:c>
      <x:c r="W39" s="83" t="str">
        <x:v>60-61</x:v>
      </x:c>
      <x:c r="X39" s="83" t="str">
        <x:v>Table 16</x:v>
      </x:c>
      <x:c r="Y39" s="83" t="str">
        <x:v>Assunzione di scenario</x:v>
      </x:c>
      <x:c r="Z39" s="83" t="str">
        <x:v>Direct table extraction</x:v>
      </x:c>
      <x:c r="AA39" s="83" t="str">
        <x:v>A — Direct</x:v>
      </x:c>
      <x:c r="AB39" s="83" t="str">
        <x:v>Energy direct; power unresolved until asset/auction duration data are acquired.</x:v>
      </x:c>
      <x:c r="AC39" s="83" t="str">
        <x:v>Excludes existing pumped hydro.</x:v>
      </x:c>
    </x:row>
    <x:row r="40">
      <x:c r="A40" s="83" t="str">
        <x:v>ST-036</x:v>
      </x:c>
      <x:c r="B40" s="83" t="str">
        <x:v>PNIEC_SLOW_2035</x:v>
      </x:c>
      <x:c r="C40" s="83" t="n">
        <x:v>2035</x:v>
      </x:c>
      <x:c r="D40" s="83" t="str">
        <x:v>PNIEC Slow 2035</x:v>
      </x:c>
      <x:c r="E40" s="83" t="str">
        <x:v>Italia</x:v>
      </x:c>
      <x:c r="F40" s="83" t="str"/>
      <x:c r="G40" s="83" t="str">
        <x:v>Totale</x:v>
      </x:c>
      <x:c r="H40" s="83" t="str">
        <x:v>BESS / generic storage</x:v>
      </x:c>
      <x:c r="I40" s="83" t="str">
        <x:v>Scenario configuration</x:v>
      </x:c>
      <x:c r="J40" s="197" t="n">
        <x:v>78.6</x:v>
      </x:c>
      <x:c r="K40" s="197"/>
      <x:c r="L40" s="197"/>
      <x:c r="M40" s="197"/>
      <x:c r="N40" s="197"/>
      <x:c r="O40" s="197"/>
      <x:c r="P40" s="197" t="str">
        <x:f>IF(AND(J40&lt;&gt;"",O40&lt;&gt;""),J40/O40,"")</x:f>
      </x:c>
      <x:c r="Q40" s="197" t="str">
        <x:f>IF(AND(J40&lt;&gt;"",N40&lt;&gt;""),J40/N40,"")</x:f>
      </x:c>
      <x:c r="R40" s="197" t="str">
        <x:f>IF(AND(J40&lt;&gt;"",M40&lt;&gt;""),J40/M40,"")</x:f>
      </x:c>
      <x:c r="S40" s="197" t="str">
        <x:f>IF(AND(J40&lt;&gt;"",L40&lt;&gt;""),J40/L40,"")</x:f>
      </x:c>
      <x:c r="T40" s="83" t="str">
        <x:v>S09</x:v>
      </x:c>
      <x:c r="U40" s="83" t="str">
        <x:v>Documento di Descrizione degli Scenari 2024</x:v>
      </x:c>
      <x:c r="V40" s="83" t="n">
        <x:v>63</x:v>
      </x:c>
      <x:c r="W40" s="83" t="str">
        <x:v>60-61</x:v>
      </x:c>
      <x:c r="X40" s="83" t="str">
        <x:v>Table 16</x:v>
      </x:c>
      <x:c r="Y40" s="83" t="str">
        <x:v>Assunzione di scenario</x:v>
      </x:c>
      <x:c r="Z40" s="83" t="str">
        <x:v>Direct table extraction</x:v>
      </x:c>
      <x:c r="AA40" s="83" t="str">
        <x:v>A — Direct</x:v>
      </x:c>
      <x:c r="AB40" s="83" t="str">
        <x:v>QA total only, not a standalone PyPSA component.</x:v>
      </x:c>
      <x:c r="AC40" s="83" t="str">
        <x:v>Excludes existing pumped hydro.</x:v>
      </x:c>
    </x:row>
    <x:row r="41">
      <x:c r="A41" s="83" t="str">
        <x:v>ST-037</x:v>
      </x:c>
      <x:c r="B41" s="83" t="str">
        <x:v>PNIEC_SLOW_2035</x:v>
      </x:c>
      <x:c r="C41" s="83" t="n">
        <x:v>2035</x:v>
      </x:c>
      <x:c r="D41" s="83" t="str">
        <x:v>PNIEC Slow 2035</x:v>
      </x:c>
      <x:c r="E41" s="83" t="str">
        <x:v>Italia</x:v>
      </x:c>
      <x:c r="F41" s="83" t="str"/>
      <x:c r="G41" s="83" t="str">
        <x:v>Total including existing pumping convention</x:v>
      </x:c>
      <x:c r="H41" s="83" t="str">
        <x:v>All storage</x:v>
      </x:c>
      <x:c r="I41" s="83" t="str">
        <x:v>Scenario configuration</x:v>
      </x:c>
      <x:c r="J41" s="197" t="n">
        <x:v>128.6</x:v>
      </x:c>
      <x:c r="K41" s="197"/>
      <x:c r="L41" s="197"/>
      <x:c r="M41" s="197"/>
      <x:c r="N41" s="197"/>
      <x:c r="O41" s="197"/>
      <x:c r="P41" s="197" t="str">
        <x:f>IF(AND(J41&lt;&gt;"",O41&lt;&gt;""),J41/O41,"")</x:f>
      </x:c>
      <x:c r="Q41" s="197" t="str">
        <x:f>IF(AND(J41&lt;&gt;"",N41&lt;&gt;""),J41/N41,"")</x:f>
      </x:c>
      <x:c r="R41" s="197" t="str">
        <x:f>IF(AND(J41&lt;&gt;"",M41&lt;&gt;""),J41/M41,"")</x:f>
      </x:c>
      <x:c r="S41" s="197" t="str">
        <x:f>IF(AND(J41&lt;&gt;"",L41&lt;&gt;""),J41/L41,"")</x:f>
      </x:c>
      <x:c r="T41" s="83" t="str">
        <x:v>S09</x:v>
      </x:c>
      <x:c r="U41" s="83" t="str">
        <x:v>Documento di Descrizione degli Scenari 2024</x:v>
      </x:c>
      <x:c r="V41" s="83" t="n">
        <x:v>63</x:v>
      </x:c>
      <x:c r="W41" s="83" t="str">
        <x:v>47 / 60-61</x:v>
      </x:c>
      <x:c r="X41" s="83" t="str">
        <x:v>Figure 19 / Table 16</x:v>
      </x:c>
      <x:c r="Y41" s="83" t="str">
        <x:v>B — Derived from source values</x:v>
      </x:c>
      <x:c r="Z41" s="83" t="str">
        <x:v>Total ex pumping + 50 GWh existing pumping convention</x:v>
      </x:c>
      <x:c r="AA41" s="83" t="str">
        <x:v>B — Derived</x:v>
      </x:c>
      <x:c r="AB41" s="83" t="str">
        <x:v>System-level QA; physical pumping stock is 53 GWh in S01.</x:v>
      </x:c>
      <x:c r="AC41" s="83" t="str">
        <x:v>Preserves the 50 GWh DDS convention; do not conflate with the 53 GWh physical estimate.</x:v>
      </x:c>
    </x:row>
    <x:row r="42">
      <x:c r="A42" s="83" t="str">
        <x:v>ST-038</x:v>
      </x:c>
      <x:c r="B42" s="83" t="str">
        <x:v>DE_IT_2040</x:v>
      </x:c>
      <x:c r="C42" s="83" t="n">
        <x:v>2040</x:v>
      </x:c>
      <x:c r="D42" s="83" t="str">
        <x:v>DE-IT 2040</x:v>
      </x:c>
      <x:c r="E42" s="83" t="str">
        <x:v>Italia</x:v>
      </x:c>
      <x:c r="F42" s="83" t="str"/>
      <x:c r="G42" s="83" t="str">
        <x:v>Small Scale</x:v>
      </x:c>
      <x:c r="H42" s="83" t="str">
        <x:v>BESS / generic storage</x:v>
      </x:c>
      <x:c r="I42" s="83" t="str">
        <x:v>Scenario configuration</x:v>
      </x:c>
      <x:c r="J42" s="197" t="n">
        <x:v>19.1</x:v>
      </x:c>
      <x:c r="K42" s="197"/>
      <x:c r="L42" s="197"/>
      <x:c r="M42" s="197" t="n">
        <x:v>2</x:v>
      </x:c>
      <x:c r="N42" s="197"/>
      <x:c r="O42" s="197" t="n">
        <x:v>4</x:v>
      </x:c>
      <x:c r="P42" s="197" t="n">
        <x:f>IF(AND(J42&lt;&gt;"",O42&lt;&gt;""),J42/O42,"")</x:f>
        <x:v>4.775</x:v>
      </x:c>
      <x:c r="Q42" s="197" t="str">
        <x:f>IF(AND(J42&lt;&gt;"",N42&lt;&gt;""),J42/N42,"")</x:f>
      </x:c>
      <x:c r="R42" s="197" t="n">
        <x:f>IF(AND(J42&lt;&gt;"",M42&lt;&gt;""),J42/M42,"")</x:f>
        <x:v>9.55</x:v>
      </x:c>
      <x:c r="S42" s="197" t="str">
        <x:f>IF(AND(J42&lt;&gt;"",L42&lt;&gt;""),J42/L42,"")</x:f>
      </x:c>
      <x:c r="T42" s="83" t="str">
        <x:v>S09</x:v>
      </x:c>
      <x:c r="U42" s="83" t="str">
        <x:v>Documento di Descrizione degli Scenari 2024</x:v>
      </x:c>
      <x:c r="V42" s="83" t="n">
        <x:v>63</x:v>
      </x:c>
      <x:c r="W42" s="83" t="str">
        <x:v>60-61</x:v>
      </x:c>
      <x:c r="X42" s="83" t="str">
        <x:v>Table 16</x:v>
      </x:c>
      <x:c r="Y42" s="83" t="str">
        <x:v>Assunzione di scenario</x:v>
      </x:c>
      <x:c r="Z42" s="83" t="str">
        <x:v>Direct table extraction</x:v>
      </x:c>
      <x:c r="AA42" s="83" t="str">
        <x:v>A — Direct</x:v>
      </x:c>
      <x:c r="AB42" s="83" t="str">
        <x:v>Prefer two 2h/4h classes if shares become available; otherwise retain power interval.</x:v>
      </x:c>
      <x:c r="AC42" s="83" t="str">
        <x:v>Excludes existing pumped hydro.</x:v>
      </x:c>
    </x:row>
    <x:row r="43">
      <x:c r="A43" s="83" t="str">
        <x:v>ST-039</x:v>
      </x:c>
      <x:c r="B43" s="83" t="str">
        <x:v>DE_IT_2040</x:v>
      </x:c>
      <x:c r="C43" s="83" t="n">
        <x:v>2040</x:v>
      </x:c>
      <x:c r="D43" s="83" t="str">
        <x:v>DE-IT 2040</x:v>
      </x:c>
      <x:c r="E43" s="83" t="str">
        <x:v>Italia</x:v>
      </x:c>
      <x:c r="F43" s="83" t="str"/>
      <x:c r="G43" s="83" t="str">
        <x:v>Utility Scale</x:v>
      </x:c>
      <x:c r="H43" s="83" t="str">
        <x:v>BESS / generic storage</x:v>
      </x:c>
      <x:c r="I43" s="83" t="str">
        <x:v>Scenario configuration</x:v>
      </x:c>
      <x:c r="J43" s="197" t="n">
        <x:v>140</x:v>
      </x:c>
      <x:c r="K43" s="197"/>
      <x:c r="L43" s="197"/>
      <x:c r="M43" s="197" t="n">
        <x:v>8</x:v>
      </x:c>
      <x:c r="N43" s="197" t="n">
        <x:v>8</x:v>
      </x:c>
      <x:c r="O43" s="197" t="n">
        <x:v>8</x:v>
      </x:c>
      <x:c r="P43" s="197" t="n">
        <x:f>IF(AND(J43&lt;&gt;"",O43&lt;&gt;""),J43/O43,"")</x:f>
        <x:v>17.5</x:v>
      </x:c>
      <x:c r="Q43" s="197" t="n">
        <x:f>IF(AND(J43&lt;&gt;"",N43&lt;&gt;""),J43/N43,"")</x:f>
        <x:v>17.5</x:v>
      </x:c>
      <x:c r="R43" s="197" t="n">
        <x:f>IF(AND(J43&lt;&gt;"",M43&lt;&gt;""),J43/M43,"")</x:f>
        <x:v>17.5</x:v>
      </x:c>
      <x:c r="S43" s="197" t="str">
        <x:f>IF(AND(J43&lt;&gt;"",L43&lt;&gt;""),J43/L43,"")</x:f>
      </x:c>
      <x:c r="T43" s="83" t="str">
        <x:v>S09</x:v>
      </x:c>
      <x:c r="U43" s="83" t="str">
        <x:v>Documento di Descrizione degli Scenari 2024</x:v>
      </x:c>
      <x:c r="V43" s="83" t="n">
        <x:v>63</x:v>
      </x:c>
      <x:c r="W43" s="83" t="str">
        <x:v>60-61</x:v>
      </x:c>
      <x:c r="X43" s="83" t="str">
        <x:v>Table 16</x:v>
      </x:c>
      <x:c r="Y43" s="83" t="str">
        <x:v>Assunzione di scenario</x:v>
      </x:c>
      <x:c r="Z43" s="83" t="str">
        <x:v>Direct table extraction</x:v>
      </x:c>
      <x:c r="AA43" s="83" t="str">
        <x:v>A — Direct</x:v>
      </x:c>
      <x:c r="AB43" s="83" t="str">
        <x:v>Store+Links; e_nom direct, p_nom = e_nom/8.</x:v>
      </x:c>
      <x:c r="AC43" s="83" t="str">
        <x:v>Excludes existing pumped hydro.</x:v>
      </x:c>
    </x:row>
    <x:row r="44">
      <x:c r="A44" s="83" t="str">
        <x:v>ST-040</x:v>
      </x:c>
      <x:c r="B44" s="83" t="str">
        <x:v>DE_IT_2040</x:v>
      </x:c>
      <x:c r="C44" s="83" t="n">
        <x:v>2040</x:v>
      </x:c>
      <x:c r="D44" s="83" t="str">
        <x:v>DE-IT 2040</x:v>
      </x:c>
      <x:c r="E44" s="83" t="str">
        <x:v>Italia</x:v>
      </x:c>
      <x:c r="F44" s="83" t="str"/>
      <x:c r="G44" s="83" t="str">
        <x:v>CM</x:v>
      </x:c>
      <x:c r="H44" s="83" t="str">
        <x:v>Capacity Market storage</x:v>
      </x:c>
      <x:c r="I44" s="83" t="str">
        <x:v>Scenario configuration</x:v>
      </x:c>
      <x:c r="J44" s="197" t="n">
        <x:v>7.5</x:v>
      </x:c>
      <x:c r="K44" s="197"/>
      <x:c r="L44" s="197"/>
      <x:c r="M44" s="197"/>
      <x:c r="N44" s="197"/>
      <x:c r="O44" s="197"/>
      <x:c r="P44" s="197" t="str">
        <x:f>IF(AND(J44&lt;&gt;"",O44&lt;&gt;""),J44/O44,"")</x:f>
      </x:c>
      <x:c r="Q44" s="197" t="str">
        <x:f>IF(AND(J44&lt;&gt;"",N44&lt;&gt;""),J44/N44,"")</x:f>
      </x:c>
      <x:c r="R44" s="197" t="str">
        <x:f>IF(AND(J44&lt;&gt;"",M44&lt;&gt;""),J44/M44,"")</x:f>
      </x:c>
      <x:c r="S44" s="197" t="str">
        <x:f>IF(AND(J44&lt;&gt;"",L44&lt;&gt;""),J44/L44,"")</x:f>
      </x:c>
      <x:c r="T44" s="83" t="str">
        <x:v>S09</x:v>
      </x:c>
      <x:c r="U44" s="83" t="str">
        <x:v>Documento di Descrizione degli Scenari 2024</x:v>
      </x:c>
      <x:c r="V44" s="83" t="n">
        <x:v>63</x:v>
      </x:c>
      <x:c r="W44" s="83" t="str">
        <x:v>60-61</x:v>
      </x:c>
      <x:c r="X44" s="83" t="str">
        <x:v>Table 16</x:v>
      </x:c>
      <x:c r="Y44" s="83" t="str">
        <x:v>Assunzione di scenario</x:v>
      </x:c>
      <x:c r="Z44" s="83" t="str">
        <x:v>Direct table extraction</x:v>
      </x:c>
      <x:c r="AA44" s="83" t="str">
        <x:v>A — Direct</x:v>
      </x:c>
      <x:c r="AB44" s="83" t="str">
        <x:v>Energy direct; power unresolved until asset/auction duration data are acquired.</x:v>
      </x:c>
      <x:c r="AC44" s="83" t="str">
        <x:v>Excludes existing pumped hydro.</x:v>
      </x:c>
    </x:row>
    <x:row r="45">
      <x:c r="A45" s="83" t="str">
        <x:v>ST-041</x:v>
      </x:c>
      <x:c r="B45" s="83" t="str">
        <x:v>DE_IT_2040</x:v>
      </x:c>
      <x:c r="C45" s="83" t="n">
        <x:v>2040</x:v>
      </x:c>
      <x:c r="D45" s="83" t="str">
        <x:v>DE-IT 2040</x:v>
      </x:c>
      <x:c r="E45" s="83" t="str">
        <x:v>Italia</x:v>
      </x:c>
      <x:c r="F45" s="83" t="str"/>
      <x:c r="G45" s="83" t="str">
        <x:v>Totale</x:v>
      </x:c>
      <x:c r="H45" s="83" t="str">
        <x:v>BESS / generic storage</x:v>
      </x:c>
      <x:c r="I45" s="83" t="str">
        <x:v>Scenario configuration</x:v>
      </x:c>
      <x:c r="J45" s="197" t="n">
        <x:v>166.5</x:v>
      </x:c>
      <x:c r="K45" s="197"/>
      <x:c r="L45" s="197"/>
      <x:c r="M45" s="197"/>
      <x:c r="N45" s="197"/>
      <x:c r="O45" s="197"/>
      <x:c r="P45" s="197" t="str">
        <x:f>IF(AND(J45&lt;&gt;"",O45&lt;&gt;""),J45/O45,"")</x:f>
      </x:c>
      <x:c r="Q45" s="197" t="str">
        <x:f>IF(AND(J45&lt;&gt;"",N45&lt;&gt;""),J45/N45,"")</x:f>
      </x:c>
      <x:c r="R45" s="197" t="str">
        <x:f>IF(AND(J45&lt;&gt;"",M45&lt;&gt;""),J45/M45,"")</x:f>
      </x:c>
      <x:c r="S45" s="197" t="str">
        <x:f>IF(AND(J45&lt;&gt;"",L45&lt;&gt;""),J45/L45,"")</x:f>
      </x:c>
      <x:c r="T45" s="83" t="str">
        <x:v>S09</x:v>
      </x:c>
      <x:c r="U45" s="83" t="str">
        <x:v>Documento di Descrizione degli Scenari 2024</x:v>
      </x:c>
      <x:c r="V45" s="83" t="n">
        <x:v>63</x:v>
      </x:c>
      <x:c r="W45" s="83" t="str">
        <x:v>60-61</x:v>
      </x:c>
      <x:c r="X45" s="83" t="str">
        <x:v>Table 16</x:v>
      </x:c>
      <x:c r="Y45" s="83" t="str">
        <x:v>Assunzione di scenario</x:v>
      </x:c>
      <x:c r="Z45" s="83" t="str">
        <x:v>Direct table extraction</x:v>
      </x:c>
      <x:c r="AA45" s="83" t="str">
        <x:v>A — Direct</x:v>
      </x:c>
      <x:c r="AB45" s="83" t="str">
        <x:v>QA total only, not a standalone PyPSA component.</x:v>
      </x:c>
      <x:c r="AC45" s="83" t="str">
        <x:v>Excludes existing pumped hydro.</x:v>
      </x:c>
    </x:row>
    <x:row r="46">
      <x:c r="A46" s="83" t="str">
        <x:v>ST-042</x:v>
      </x:c>
      <x:c r="B46" s="83" t="str">
        <x:v>DE_IT_2040</x:v>
      </x:c>
      <x:c r="C46" s="83" t="n">
        <x:v>2040</x:v>
      </x:c>
      <x:c r="D46" s="83" t="str">
        <x:v>DE-IT 2040</x:v>
      </x:c>
      <x:c r="E46" s="83" t="str">
        <x:v>Italia</x:v>
      </x:c>
      <x:c r="F46" s="83" t="str"/>
      <x:c r="G46" s="83" t="str">
        <x:v>Total including existing pumping convention</x:v>
      </x:c>
      <x:c r="H46" s="83" t="str">
        <x:v>All storage</x:v>
      </x:c>
      <x:c r="I46" s="83" t="str">
        <x:v>Scenario configuration</x:v>
      </x:c>
      <x:c r="J46" s="197" t="n">
        <x:v>216.5</x:v>
      </x:c>
      <x:c r="K46" s="197"/>
      <x:c r="L46" s="197"/>
      <x:c r="M46" s="197"/>
      <x:c r="N46" s="197"/>
      <x:c r="O46" s="197"/>
      <x:c r="P46" s="197" t="str">
        <x:f>IF(AND(J46&lt;&gt;"",O46&lt;&gt;""),J46/O46,"")</x:f>
      </x:c>
      <x:c r="Q46" s="197" t="str">
        <x:f>IF(AND(J46&lt;&gt;"",N46&lt;&gt;""),J46/N46,"")</x:f>
      </x:c>
      <x:c r="R46" s="197" t="str">
        <x:f>IF(AND(J46&lt;&gt;"",M46&lt;&gt;""),J46/M46,"")</x:f>
      </x:c>
      <x:c r="S46" s="197" t="str">
        <x:f>IF(AND(J46&lt;&gt;"",L46&lt;&gt;""),J46/L46,"")</x:f>
      </x:c>
      <x:c r="T46" s="83" t="str">
        <x:v>S09</x:v>
      </x:c>
      <x:c r="U46" s="83" t="str">
        <x:v>Documento di Descrizione degli Scenari 2024</x:v>
      </x:c>
      <x:c r="V46" s="83" t="n">
        <x:v>63</x:v>
      </x:c>
      <x:c r="W46" s="83" t="str">
        <x:v>47 / 60-61</x:v>
      </x:c>
      <x:c r="X46" s="83" t="str">
        <x:v>Figure 19 / Table 16</x:v>
      </x:c>
      <x:c r="Y46" s="83" t="str">
        <x:v>B — Derived from source values</x:v>
      </x:c>
      <x:c r="Z46" s="83" t="str">
        <x:v>Total ex pumping + 50 GWh existing pumping convention</x:v>
      </x:c>
      <x:c r="AA46" s="83" t="str">
        <x:v>B — Derived</x:v>
      </x:c>
      <x:c r="AB46" s="83" t="str">
        <x:v>System-level QA; physical pumping stock is 53 GWh in S01.</x:v>
      </x:c>
      <x:c r="AC46" s="83" t="str">
        <x:v>Preserves the 50 GWh DDS convention; do not conflate with the 53 GWh physical estimate.</x:v>
      </x:c>
    </x:row>
    <x:row r="47">
      <x:c r="A47" s="83" t="str">
        <x:v>ST-043</x:v>
      </x:c>
      <x:c r="B47" s="83" t="str">
        <x:v>GA_IT_2040</x:v>
      </x:c>
      <x:c r="C47" s="83" t="n">
        <x:v>2040</x:v>
      </x:c>
      <x:c r="D47" s="83" t="str">
        <x:v>GA-IT 2040</x:v>
      </x:c>
      <x:c r="E47" s="83" t="str">
        <x:v>Italia</x:v>
      </x:c>
      <x:c r="F47" s="83" t="str"/>
      <x:c r="G47" s="83" t="str">
        <x:v>Small Scale</x:v>
      </x:c>
      <x:c r="H47" s="83" t="str">
        <x:v>BESS / generic storage</x:v>
      </x:c>
      <x:c r="I47" s="83" t="str">
        <x:v>Scenario configuration</x:v>
      </x:c>
      <x:c r="J47" s="197" t="n">
        <x:v>18.2</x:v>
      </x:c>
      <x:c r="K47" s="197"/>
      <x:c r="L47" s="197"/>
      <x:c r="M47" s="197" t="n">
        <x:v>2</x:v>
      </x:c>
      <x:c r="N47" s="197"/>
      <x:c r="O47" s="197" t="n">
        <x:v>4</x:v>
      </x:c>
      <x:c r="P47" s="197" t="n">
        <x:f>IF(AND(J47&lt;&gt;"",O47&lt;&gt;""),J47/O47,"")</x:f>
        <x:v>4.55</x:v>
      </x:c>
      <x:c r="Q47" s="197" t="str">
        <x:f>IF(AND(J47&lt;&gt;"",N47&lt;&gt;""),J47/N47,"")</x:f>
      </x:c>
      <x:c r="R47" s="197" t="n">
        <x:f>IF(AND(J47&lt;&gt;"",M47&lt;&gt;""),J47/M47,"")</x:f>
        <x:v>9.1</x:v>
      </x:c>
      <x:c r="S47" s="197" t="str">
        <x:f>IF(AND(J47&lt;&gt;"",L47&lt;&gt;""),J47/L47,"")</x:f>
      </x:c>
      <x:c r="T47" s="83" t="str">
        <x:v>S09</x:v>
      </x:c>
      <x:c r="U47" s="83" t="str">
        <x:v>Documento di Descrizione degli Scenari 2024</x:v>
      </x:c>
      <x:c r="V47" s="83" t="n">
        <x:v>63</x:v>
      </x:c>
      <x:c r="W47" s="83" t="str">
        <x:v>60-61</x:v>
      </x:c>
      <x:c r="X47" s="83" t="str">
        <x:v>Table 16</x:v>
      </x:c>
      <x:c r="Y47" s="83" t="str">
        <x:v>Assunzione di scenario</x:v>
      </x:c>
      <x:c r="Z47" s="83" t="str">
        <x:v>Direct table extraction</x:v>
      </x:c>
      <x:c r="AA47" s="83" t="str">
        <x:v>A — Direct</x:v>
      </x:c>
      <x:c r="AB47" s="83" t="str">
        <x:v>Prefer two 2h/4h classes if shares become available; otherwise retain power interval.</x:v>
      </x:c>
      <x:c r="AC47" s="83" t="str">
        <x:v>Excludes existing pumped hydro.</x:v>
      </x:c>
    </x:row>
    <x:row r="48">
      <x:c r="A48" s="83" t="str">
        <x:v>ST-044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Italia</x:v>
      </x:c>
      <x:c r="F48" s="83" t="str"/>
      <x:c r="G48" s="83" t="str">
        <x:v>Utility Scale</x:v>
      </x:c>
      <x:c r="H48" s="83" t="str">
        <x:v>BESS / generic storage</x:v>
      </x:c>
      <x:c r="I48" s="83" t="str">
        <x:v>Scenario configuration</x:v>
      </x:c>
      <x:c r="J48" s="197" t="n">
        <x:v>108</x:v>
      </x:c>
      <x:c r="K48" s="197"/>
      <x:c r="L48" s="197"/>
      <x:c r="M48" s="197" t="n">
        <x:v>8</x:v>
      </x:c>
      <x:c r="N48" s="197" t="n">
        <x:v>8</x:v>
      </x:c>
      <x:c r="O48" s="197" t="n">
        <x:v>8</x:v>
      </x:c>
      <x:c r="P48" s="197" t="n">
        <x:f>IF(AND(J48&lt;&gt;"",O48&lt;&gt;""),J48/O48,"")</x:f>
        <x:v>13.5</x:v>
      </x:c>
      <x:c r="Q48" s="197" t="n">
        <x:f>IF(AND(J48&lt;&gt;"",N48&lt;&gt;""),J48/N48,"")</x:f>
        <x:v>13.5</x:v>
      </x:c>
      <x:c r="R48" s="197" t="n">
        <x:f>IF(AND(J48&lt;&gt;"",M48&lt;&gt;""),J48/M48,"")</x:f>
        <x:v>13.5</x:v>
      </x:c>
      <x:c r="S48" s="197" t="str">
        <x:f>IF(AND(J48&lt;&gt;"",L48&lt;&gt;""),J48/L48,"")</x:f>
      </x:c>
      <x:c r="T48" s="83" t="str">
        <x:v>S09</x:v>
      </x:c>
      <x:c r="U48" s="83" t="str">
        <x:v>Documento di Descrizione degli Scenari 2024</x:v>
      </x:c>
      <x:c r="V48" s="83" t="n">
        <x:v>63</x:v>
      </x:c>
      <x:c r="W48" s="83" t="str">
        <x:v>60-61</x:v>
      </x:c>
      <x:c r="X48" s="83" t="str">
        <x:v>Table 16</x:v>
      </x:c>
      <x:c r="Y48" s="83" t="str">
        <x:v>Assunzione di scenario</x:v>
      </x:c>
      <x:c r="Z48" s="83" t="str">
        <x:v>Direct table extraction</x:v>
      </x:c>
      <x:c r="AA48" s="83" t="str">
        <x:v>A — Direct</x:v>
      </x:c>
      <x:c r="AB48" s="83" t="str">
        <x:v>Store+Links; e_nom direct, p_nom = e_nom/8.</x:v>
      </x:c>
      <x:c r="AC48" s="83" t="str">
        <x:v>Excludes existing pumped hydro.</x:v>
      </x:c>
    </x:row>
    <x:row r="49">
      <x:c r="A49" s="83" t="str">
        <x:v>ST-045</x:v>
      </x:c>
      <x:c r="B49" s="83" t="str">
        <x:v>GA_IT_2040</x:v>
      </x:c>
      <x:c r="C49" s="83" t="n">
        <x:v>2040</x:v>
      </x:c>
      <x:c r="D49" s="83" t="str">
        <x:v>GA-IT 2040</x:v>
      </x:c>
      <x:c r="E49" s="83" t="str">
        <x:v>Italia</x:v>
      </x:c>
      <x:c r="F49" s="83" t="str"/>
      <x:c r="G49" s="83" t="str">
        <x:v>CM</x:v>
      </x:c>
      <x:c r="H49" s="83" t="str">
        <x:v>Capacity Market storage</x:v>
      </x:c>
      <x:c r="I49" s="83" t="str">
        <x:v>Scenario configuration</x:v>
      </x:c>
      <x:c r="J49" s="197" t="n">
        <x:v>7.5</x:v>
      </x:c>
      <x:c r="K49" s="197"/>
      <x:c r="L49" s="197"/>
      <x:c r="M49" s="197"/>
      <x:c r="N49" s="197"/>
      <x:c r="O49" s="197"/>
      <x:c r="P49" s="197" t="str">
        <x:f>IF(AND(J49&lt;&gt;"",O49&lt;&gt;""),J49/O49,"")</x:f>
      </x:c>
      <x:c r="Q49" s="197" t="str">
        <x:f>IF(AND(J49&lt;&gt;"",N49&lt;&gt;""),J49/N49,"")</x:f>
      </x:c>
      <x:c r="R49" s="197" t="str">
        <x:f>IF(AND(J49&lt;&gt;"",M49&lt;&gt;""),J49/M49,"")</x:f>
      </x:c>
      <x:c r="S49" s="197" t="str">
        <x:f>IF(AND(J49&lt;&gt;"",L49&lt;&gt;""),J49/L49,"")</x:f>
      </x:c>
      <x:c r="T49" s="83" t="str">
        <x:v>S09</x:v>
      </x:c>
      <x:c r="U49" s="83" t="str">
        <x:v>Documento di Descrizione degli Scenari 2024</x:v>
      </x:c>
      <x:c r="V49" s="83" t="n">
        <x:v>63</x:v>
      </x:c>
      <x:c r="W49" s="83" t="str">
        <x:v>60-61</x:v>
      </x:c>
      <x:c r="X49" s="83" t="str">
        <x:v>Table 16</x:v>
      </x:c>
      <x:c r="Y49" s="83" t="str">
        <x:v>Assunzione di scenario</x:v>
      </x:c>
      <x:c r="Z49" s="83" t="str">
        <x:v>Direct table extraction</x:v>
      </x:c>
      <x:c r="AA49" s="83" t="str">
        <x:v>A — Direct</x:v>
      </x:c>
      <x:c r="AB49" s="83" t="str">
        <x:v>Energy direct; power unresolved until asset/auction duration data are acquired.</x:v>
      </x:c>
      <x:c r="AC49" s="83" t="str">
        <x:v>Excludes existing pumped hydro.</x:v>
      </x:c>
    </x:row>
    <x:row r="50">
      <x:c r="A50" s="83" t="str">
        <x:v>ST-046</x:v>
      </x:c>
      <x:c r="B50" s="83" t="str">
        <x:v>GA_IT_2040</x:v>
      </x:c>
      <x:c r="C50" s="83" t="n">
        <x:v>2040</x:v>
      </x:c>
      <x:c r="D50" s="83" t="str">
        <x:v>GA-IT 2040</x:v>
      </x:c>
      <x:c r="E50" s="83" t="str">
        <x:v>Italia</x:v>
      </x:c>
      <x:c r="F50" s="83" t="str"/>
      <x:c r="G50" s="83" t="str">
        <x:v>Totale</x:v>
      </x:c>
      <x:c r="H50" s="83" t="str">
        <x:v>BESS / generic storage</x:v>
      </x:c>
      <x:c r="I50" s="83" t="str">
        <x:v>Scenario configuration</x:v>
      </x:c>
      <x:c r="J50" s="197" t="n">
        <x:v>133.6</x:v>
      </x:c>
      <x:c r="K50" s="197"/>
      <x:c r="L50" s="197"/>
      <x:c r="M50" s="197"/>
      <x:c r="N50" s="197"/>
      <x:c r="O50" s="197"/>
      <x:c r="P50" s="197" t="str">
        <x:f>IF(AND(J50&lt;&gt;"",O50&lt;&gt;""),J50/O50,"")</x:f>
      </x:c>
      <x:c r="Q50" s="197" t="str">
        <x:f>IF(AND(J50&lt;&gt;"",N50&lt;&gt;""),J50/N50,"")</x:f>
      </x:c>
      <x:c r="R50" s="197" t="str">
        <x:f>IF(AND(J50&lt;&gt;"",M50&lt;&gt;""),J50/M50,"")</x:f>
      </x:c>
      <x:c r="S50" s="197" t="str">
        <x:f>IF(AND(J50&lt;&gt;"",L50&lt;&gt;""),J50/L50,"")</x:f>
      </x:c>
      <x:c r="T50" s="83" t="str">
        <x:v>S09</x:v>
      </x:c>
      <x:c r="U50" s="83" t="str">
        <x:v>Documento di Descrizione degli Scenari 2024</x:v>
      </x:c>
      <x:c r="V50" s="83" t="n">
        <x:v>63</x:v>
      </x:c>
      <x:c r="W50" s="83" t="str">
        <x:v>60-61</x:v>
      </x:c>
      <x:c r="X50" s="83" t="str">
        <x:v>Table 16</x:v>
      </x:c>
      <x:c r="Y50" s="83" t="str">
        <x:v>Assunzione di scenario</x:v>
      </x:c>
      <x:c r="Z50" s="83" t="str">
        <x:v>Direct table extraction</x:v>
      </x:c>
      <x:c r="AA50" s="83" t="str">
        <x:v>A — Direct</x:v>
      </x:c>
      <x:c r="AB50" s="83" t="str">
        <x:v>QA total only, not a standalone PyPSA component.</x:v>
      </x:c>
      <x:c r="AC50" s="83" t="str">
        <x:v>Excludes existing pumped hydro.</x:v>
      </x:c>
    </x:row>
    <x:row r="51">
      <x:c r="A51" s="83" t="str">
        <x:v>ST-047</x:v>
      </x:c>
      <x:c r="B51" s="83" t="str">
        <x:v>GA_IT_2040</x:v>
      </x:c>
      <x:c r="C51" s="83" t="n">
        <x:v>2040</x:v>
      </x:c>
      <x:c r="D51" s="83" t="str">
        <x:v>GA-IT 2040</x:v>
      </x:c>
      <x:c r="E51" s="83" t="str">
        <x:v>Italia</x:v>
      </x:c>
      <x:c r="F51" s="83" t="str"/>
      <x:c r="G51" s="83" t="str">
        <x:v>Total including existing pumping convention</x:v>
      </x:c>
      <x:c r="H51" s="83" t="str">
        <x:v>All storage</x:v>
      </x:c>
      <x:c r="I51" s="83" t="str">
        <x:v>Scenario configuration</x:v>
      </x:c>
      <x:c r="J51" s="197" t="n">
        <x:v>183.6</x:v>
      </x:c>
      <x:c r="K51" s="197"/>
      <x:c r="L51" s="197"/>
      <x:c r="M51" s="197"/>
      <x:c r="N51" s="197"/>
      <x:c r="O51" s="197"/>
      <x:c r="P51" s="197" t="str">
        <x:f>IF(AND(J51&lt;&gt;"",O51&lt;&gt;""),J51/O51,"")</x:f>
      </x:c>
      <x:c r="Q51" s="197" t="str">
        <x:f>IF(AND(J51&lt;&gt;"",N51&lt;&gt;""),J51/N51,"")</x:f>
      </x:c>
      <x:c r="R51" s="197" t="str">
        <x:f>IF(AND(J51&lt;&gt;"",M51&lt;&gt;""),J51/M51,"")</x:f>
      </x:c>
      <x:c r="S51" s="197" t="str">
        <x:f>IF(AND(J51&lt;&gt;"",L51&lt;&gt;""),J51/L51,"")</x:f>
      </x:c>
      <x:c r="T51" s="83" t="str">
        <x:v>S09</x:v>
      </x:c>
      <x:c r="U51" s="83" t="str">
        <x:v>Documento di Descrizione degli Scenari 2024</x:v>
      </x:c>
      <x:c r="V51" s="83" t="n">
        <x:v>63</x:v>
      </x:c>
      <x:c r="W51" s="83" t="str">
        <x:v>47 / 60-61</x:v>
      </x:c>
      <x:c r="X51" s="83" t="str">
        <x:v>Figure 19 / Table 16</x:v>
      </x:c>
      <x:c r="Y51" s="83" t="str">
        <x:v>B — Derived from source values</x:v>
      </x:c>
      <x:c r="Z51" s="83" t="str">
        <x:v>Total ex pumping + 50 GWh existing pumping convention</x:v>
      </x:c>
      <x:c r="AA51" s="83" t="str">
        <x:v>B — Derived</x:v>
      </x:c>
      <x:c r="AB51" s="83" t="str">
        <x:v>System-level QA; physical pumping stock is 53 GWh in S01.</x:v>
      </x:c>
      <x:c r="AC51" s="83" t="str">
        <x:v>Preserves the 50 GWh DDS convention; do not conflate with the 53 GWh physical estimate.</x:v>
      </x:c>
    </x:row>
    <x:row r="52">
      <x:c r="A52" s="83" t="str">
        <x:v>ST-048</x:v>
      </x:c>
      <x:c r="B52" s="83" t="str">
        <x:v>PNIEC_SLOW_2040</x:v>
      </x:c>
      <x:c r="C52" s="83" t="n">
        <x:v>2040</x:v>
      </x:c>
      <x:c r="D52" s="83" t="str">
        <x:v>PNIEC Slow 2040</x:v>
      </x:c>
      <x:c r="E52" s="83" t="str">
        <x:v>Italia</x:v>
      </x:c>
      <x:c r="F52" s="83" t="str"/>
      <x:c r="G52" s="83" t="str">
        <x:v>Small Scale</x:v>
      </x:c>
      <x:c r="H52" s="83" t="str">
        <x:v>BESS / generic storage</x:v>
      </x:c>
      <x:c r="I52" s="83" t="str">
        <x:v>Scenario configuration</x:v>
      </x:c>
      <x:c r="J52" s="197" t="n">
        <x:v>17.5</x:v>
      </x:c>
      <x:c r="K52" s="197"/>
      <x:c r="L52" s="197"/>
      <x:c r="M52" s="197" t="n">
        <x:v>2</x:v>
      </x:c>
      <x:c r="N52" s="197"/>
      <x:c r="O52" s="197" t="n">
        <x:v>4</x:v>
      </x:c>
      <x:c r="P52" s="197" t="n">
        <x:f>IF(AND(J52&lt;&gt;"",O52&lt;&gt;""),J52/O52,"")</x:f>
        <x:v>4.375</x:v>
      </x:c>
      <x:c r="Q52" s="197" t="str">
        <x:f>IF(AND(J52&lt;&gt;"",N52&lt;&gt;""),J52/N52,"")</x:f>
      </x:c>
      <x:c r="R52" s="197" t="n">
        <x:f>IF(AND(J52&lt;&gt;"",M52&lt;&gt;""),J52/M52,"")</x:f>
        <x:v>8.75</x:v>
      </x:c>
      <x:c r="S52" s="197" t="str">
        <x:f>IF(AND(J52&lt;&gt;"",L52&lt;&gt;""),J52/L52,"")</x:f>
      </x:c>
      <x:c r="T52" s="83" t="str">
        <x:v>S09</x:v>
      </x:c>
      <x:c r="U52" s="83" t="str">
        <x:v>Documento di Descrizione degli Scenari 2024</x:v>
      </x:c>
      <x:c r="V52" s="83" t="n">
        <x:v>63</x:v>
      </x:c>
      <x:c r="W52" s="83" t="str">
        <x:v>60-61</x:v>
      </x:c>
      <x:c r="X52" s="83" t="str">
        <x:v>Table 16</x:v>
      </x:c>
      <x:c r="Y52" s="83" t="str">
        <x:v>Assunzione di scenario</x:v>
      </x:c>
      <x:c r="Z52" s="83" t="str">
        <x:v>Direct table extraction</x:v>
      </x:c>
      <x:c r="AA52" s="83" t="str">
        <x:v>A — Direct</x:v>
      </x:c>
      <x:c r="AB52" s="83" t="str">
        <x:v>Prefer two 2h/4h classes if shares become available; otherwise retain power interval.</x:v>
      </x:c>
      <x:c r="AC52" s="83" t="str">
        <x:v>Excludes existing pumped hydro.</x:v>
      </x:c>
    </x:row>
    <x:row r="53">
      <x:c r="A53" s="83" t="str">
        <x:v>ST-049</x:v>
      </x:c>
      <x:c r="B53" s="83" t="str">
        <x:v>PNIEC_SLOW_2040</x:v>
      </x:c>
      <x:c r="C53" s="83" t="n">
        <x:v>2040</x:v>
      </x:c>
      <x:c r="D53" s="83" t="str">
        <x:v>PNIEC Slow 2040</x:v>
      </x:c>
      <x:c r="E53" s="83" t="str">
        <x:v>Italia</x:v>
      </x:c>
      <x:c r="F53" s="83" t="str"/>
      <x:c r="G53" s="83" t="str">
        <x:v>Utility Scale</x:v>
      </x:c>
      <x:c r="H53" s="83" t="str">
        <x:v>BESS / generic storage</x:v>
      </x:c>
      <x:c r="I53" s="83" t="str">
        <x:v>Scenario configuration</x:v>
      </x:c>
      <x:c r="J53" s="197" t="n">
        <x:v>92</x:v>
      </x:c>
      <x:c r="K53" s="197"/>
      <x:c r="L53" s="197"/>
      <x:c r="M53" s="197" t="n">
        <x:v>8</x:v>
      </x:c>
      <x:c r="N53" s="197" t="n">
        <x:v>8</x:v>
      </x:c>
      <x:c r="O53" s="197" t="n">
        <x:v>8</x:v>
      </x:c>
      <x:c r="P53" s="197" t="n">
        <x:f>IF(AND(J53&lt;&gt;"",O53&lt;&gt;""),J53/O53,"")</x:f>
        <x:v>11.5</x:v>
      </x:c>
      <x:c r="Q53" s="197" t="n">
        <x:f>IF(AND(J53&lt;&gt;"",N53&lt;&gt;""),J53/N53,"")</x:f>
        <x:v>11.5</x:v>
      </x:c>
      <x:c r="R53" s="197" t="n">
        <x:f>IF(AND(J53&lt;&gt;"",M53&lt;&gt;""),J53/M53,"")</x:f>
        <x:v>11.5</x:v>
      </x:c>
      <x:c r="S53" s="197" t="str">
        <x:f>IF(AND(J53&lt;&gt;"",L53&lt;&gt;""),J53/L53,"")</x:f>
      </x:c>
      <x:c r="T53" s="83" t="str">
        <x:v>S09</x:v>
      </x:c>
      <x:c r="U53" s="83" t="str">
        <x:v>Documento di Descrizione degli Scenari 2024</x:v>
      </x:c>
      <x:c r="V53" s="83" t="n">
        <x:v>63</x:v>
      </x:c>
      <x:c r="W53" s="83" t="str">
        <x:v>60-61</x:v>
      </x:c>
      <x:c r="X53" s="83" t="str">
        <x:v>Table 16</x:v>
      </x:c>
      <x:c r="Y53" s="83" t="str">
        <x:v>Assunzione di scenario</x:v>
      </x:c>
      <x:c r="Z53" s="83" t="str">
        <x:v>Direct table extraction</x:v>
      </x:c>
      <x:c r="AA53" s="83" t="str">
        <x:v>A — Direct</x:v>
      </x:c>
      <x:c r="AB53" s="83" t="str">
        <x:v>Store+Links; e_nom direct, p_nom = e_nom/8.</x:v>
      </x:c>
      <x:c r="AC53" s="83" t="str">
        <x:v>Excludes existing pumped hydro.</x:v>
      </x:c>
    </x:row>
    <x:row r="54">
      <x:c r="A54" s="83" t="str">
        <x:v>ST-050</x:v>
      </x:c>
      <x:c r="B54" s="83" t="str">
        <x:v>PNIEC_SLOW_2040</x:v>
      </x:c>
      <x:c r="C54" s="83" t="n">
        <x:v>2040</x:v>
      </x:c>
      <x:c r="D54" s="83" t="str">
        <x:v>PNIEC Slow 2040</x:v>
      </x:c>
      <x:c r="E54" s="83" t="str">
        <x:v>Italia</x:v>
      </x:c>
      <x:c r="F54" s="83" t="str"/>
      <x:c r="G54" s="83" t="str">
        <x:v>CM</x:v>
      </x:c>
      <x:c r="H54" s="83" t="str">
        <x:v>Capacity Market storage</x:v>
      </x:c>
      <x:c r="I54" s="83" t="str">
        <x:v>Scenario configuration</x:v>
      </x:c>
      <x:c r="J54" s="197" t="n">
        <x:v>7.5</x:v>
      </x:c>
      <x:c r="K54" s="197"/>
      <x:c r="L54" s="197"/>
      <x:c r="M54" s="197"/>
      <x:c r="N54" s="197"/>
      <x:c r="O54" s="197"/>
      <x:c r="P54" s="197" t="str">
        <x:f>IF(AND(J54&lt;&gt;"",O54&lt;&gt;""),J54/O54,"")</x:f>
      </x:c>
      <x:c r="Q54" s="197" t="str">
        <x:f>IF(AND(J54&lt;&gt;"",N54&lt;&gt;""),J54/N54,"")</x:f>
      </x:c>
      <x:c r="R54" s="197" t="str">
        <x:f>IF(AND(J54&lt;&gt;"",M54&lt;&gt;""),J54/M54,"")</x:f>
      </x:c>
      <x:c r="S54" s="197" t="str">
        <x:f>IF(AND(J54&lt;&gt;"",L54&lt;&gt;""),J54/L54,"")</x:f>
      </x:c>
      <x:c r="T54" s="83" t="str">
        <x:v>S09</x:v>
      </x:c>
      <x:c r="U54" s="83" t="str">
        <x:v>Documento di Descrizione degli Scenari 2024</x:v>
      </x:c>
      <x:c r="V54" s="83" t="n">
        <x:v>63</x:v>
      </x:c>
      <x:c r="W54" s="83" t="str">
        <x:v>60-61</x:v>
      </x:c>
      <x:c r="X54" s="83" t="str">
        <x:v>Table 16</x:v>
      </x:c>
      <x:c r="Y54" s="83" t="str">
        <x:v>Assunzione di scenario</x:v>
      </x:c>
      <x:c r="Z54" s="83" t="str">
        <x:v>Direct table extraction</x:v>
      </x:c>
      <x:c r="AA54" s="83" t="str">
        <x:v>A — Direct</x:v>
      </x:c>
      <x:c r="AB54" s="83" t="str">
        <x:v>Energy direct; power unresolved until asset/auction duration data are acquired.</x:v>
      </x:c>
      <x:c r="AC54" s="83" t="str">
        <x:v>Excludes existing pumped hydro.</x:v>
      </x:c>
    </x:row>
    <x:row r="55">
      <x:c r="A55" s="83" t="str">
        <x:v>ST-051</x:v>
      </x:c>
      <x:c r="B55" s="83" t="str">
        <x:v>PNIEC_SLOW_2040</x:v>
      </x:c>
      <x:c r="C55" s="83" t="n">
        <x:v>2040</x:v>
      </x:c>
      <x:c r="D55" s="83" t="str">
        <x:v>PNIEC Slow 2040</x:v>
      </x:c>
      <x:c r="E55" s="83" t="str">
        <x:v>Italia</x:v>
      </x:c>
      <x:c r="F55" s="83" t="str"/>
      <x:c r="G55" s="83" t="str">
        <x:v>Totale</x:v>
      </x:c>
      <x:c r="H55" s="83" t="str">
        <x:v>BESS / generic storage</x:v>
      </x:c>
      <x:c r="I55" s="83" t="str">
        <x:v>Scenario configuration</x:v>
      </x:c>
      <x:c r="J55" s="197" t="n">
        <x:v>117</x:v>
      </x:c>
      <x:c r="K55" s="197"/>
      <x:c r="L55" s="197"/>
      <x:c r="M55" s="197"/>
      <x:c r="N55" s="197"/>
      <x:c r="O55" s="197"/>
      <x:c r="P55" s="197" t="str">
        <x:f>IF(AND(J55&lt;&gt;"",O55&lt;&gt;""),J55/O55,"")</x:f>
      </x:c>
      <x:c r="Q55" s="197" t="str">
        <x:f>IF(AND(J55&lt;&gt;"",N55&lt;&gt;""),J55/N55,"")</x:f>
      </x:c>
      <x:c r="R55" s="197" t="str">
        <x:f>IF(AND(J55&lt;&gt;"",M55&lt;&gt;""),J55/M55,"")</x:f>
      </x:c>
      <x:c r="S55" s="197" t="str">
        <x:f>IF(AND(J55&lt;&gt;"",L55&lt;&gt;""),J55/L55,"")</x:f>
      </x:c>
      <x:c r="T55" s="83" t="str">
        <x:v>S09</x:v>
      </x:c>
      <x:c r="U55" s="83" t="str">
        <x:v>Documento di Descrizione degli Scenari 2024</x:v>
      </x:c>
      <x:c r="V55" s="83" t="n">
        <x:v>63</x:v>
      </x:c>
      <x:c r="W55" s="83" t="str">
        <x:v>60-61</x:v>
      </x:c>
      <x:c r="X55" s="83" t="str">
        <x:v>Table 16</x:v>
      </x:c>
      <x:c r="Y55" s="83" t="str">
        <x:v>Assunzione di scenario</x:v>
      </x:c>
      <x:c r="Z55" s="83" t="str">
        <x:v>Direct table extraction</x:v>
      </x:c>
      <x:c r="AA55" s="83" t="str">
        <x:v>A — Direct</x:v>
      </x:c>
      <x:c r="AB55" s="83" t="str">
        <x:v>QA total only, not a standalone PyPSA component.</x:v>
      </x:c>
      <x:c r="AC55" s="83" t="str">
        <x:v>Excludes existing pumped hydro.</x:v>
      </x:c>
    </x:row>
    <x:row r="56">
      <x:c r="A56" s="83" t="str">
        <x:v>ST-052</x:v>
      </x:c>
      <x:c r="B56" s="83" t="str">
        <x:v>PNIEC_SLOW_2040</x:v>
      </x:c>
      <x:c r="C56" s="83" t="n">
        <x:v>2040</x:v>
      </x:c>
      <x:c r="D56" s="83" t="str">
        <x:v>PNIEC Slow 2040</x:v>
      </x:c>
      <x:c r="E56" s="83" t="str">
        <x:v>Italia</x:v>
      </x:c>
      <x:c r="F56" s="83" t="str"/>
      <x:c r="G56" s="83" t="str">
        <x:v>Total including existing pumping convention</x:v>
      </x:c>
      <x:c r="H56" s="83" t="str">
        <x:v>All storage</x:v>
      </x:c>
      <x:c r="I56" s="83" t="str">
        <x:v>Scenario configuration</x:v>
      </x:c>
      <x:c r="J56" s="197" t="n">
        <x:v>167</x:v>
      </x:c>
      <x:c r="K56" s="197"/>
      <x:c r="L56" s="197"/>
      <x:c r="M56" s="197"/>
      <x:c r="N56" s="197"/>
      <x:c r="O56" s="197"/>
      <x:c r="P56" s="197" t="str">
        <x:f>IF(AND(J56&lt;&gt;"",O56&lt;&gt;""),J56/O56,"")</x:f>
      </x:c>
      <x:c r="Q56" s="197" t="str">
        <x:f>IF(AND(J56&lt;&gt;"",N56&lt;&gt;""),J56/N56,"")</x:f>
      </x:c>
      <x:c r="R56" s="197" t="str">
        <x:f>IF(AND(J56&lt;&gt;"",M56&lt;&gt;""),J56/M56,"")</x:f>
      </x:c>
      <x:c r="S56" s="197" t="str">
        <x:f>IF(AND(J56&lt;&gt;"",L56&lt;&gt;""),J56/L56,"")</x:f>
      </x:c>
      <x:c r="T56" s="83" t="str">
        <x:v>S09</x:v>
      </x:c>
      <x:c r="U56" s="83" t="str">
        <x:v>Documento di Descrizione degli Scenari 2024</x:v>
      </x:c>
      <x:c r="V56" s="83" t="n">
        <x:v>63</x:v>
      </x:c>
      <x:c r="W56" s="83" t="str">
        <x:v>47 / 60-61</x:v>
      </x:c>
      <x:c r="X56" s="83" t="str">
        <x:v>Figure 19 / Table 16</x:v>
      </x:c>
      <x:c r="Y56" s="83" t="str">
        <x:v>B — Derived from source values</x:v>
      </x:c>
      <x:c r="Z56" s="83" t="str">
        <x:v>Total ex pumping + 50 GWh existing pumping convention</x:v>
      </x:c>
      <x:c r="AA56" s="83" t="str">
        <x:v>B — Derived</x:v>
      </x:c>
      <x:c r="AB56" s="83" t="str">
        <x:v>System-level QA; physical pumping stock is 53 GWh in S01.</x:v>
      </x:c>
      <x:c r="AC56" s="83" t="str">
        <x:v>Preserves the 50 GWh DDS convention; do not conflate with the 53 GWh physical estimate.</x:v>
      </x:c>
    </x:row>
    <x:row r="57">
      <x:c r="A57" s="83" t="str">
        <x:v>ST-053</x:v>
      </x:c>
      <x:c r="B57" s="83" t="str"/>
      <x:c r="C57" s="83" t="n">
        <x:v>2024</x:v>
      </x:c>
      <x:c r="D57" s="83" t="str">
        <x:v>Capacity Market deliveries 2022-2024</x:v>
      </x:c>
      <x:c r="E57" s="83" t="str">
        <x:v>Italia</x:v>
      </x:c>
      <x:c r="F57" s="83" t="str"/>
      <x:c r="G57" s="83" t="str">
        <x:v>Capacity Market contracted</x:v>
      </x:c>
      <x:c r="H57" s="83" t="str">
        <x:v>BESS / storage</x:v>
      </x:c>
      <x:c r="I57" s="83" t="str">
        <x:v>Contracted/assigned</x:v>
      </x:c>
      <x:c r="J57" s="197" t="n">
        <x:v>7.5</x:v>
      </x:c>
      <x:c r="K57" s="197"/>
      <x:c r="L57" s="197"/>
      <x:c r="M57" s="197"/>
      <x:c r="N57" s="197"/>
      <x:c r="O57" s="197"/>
      <x:c r="P57" s="197" t="str">
        <x:f>IF(AND(J57&lt;&gt;"",O57&lt;&gt;""),J57/O57,"")</x:f>
      </x:c>
      <x:c r="Q57" s="197" t="str">
        <x:f>IF(AND(J57&lt;&gt;"",N57&lt;&gt;""),J57/N57,"")</x:f>
      </x:c>
      <x:c r="R57" s="197" t="str">
        <x:f>IF(AND(J57&lt;&gt;"",M57&lt;&gt;""),J57/M57,"")</x:f>
      </x:c>
      <x:c r="S57" s="197" t="str">
        <x:f>IF(AND(J57&lt;&gt;"",L57&lt;&gt;""),J57/L57,"")</x:f>
      </x:c>
      <x:c r="T57" s="83" t="str">
        <x:v>S09</x:v>
      </x:c>
      <x:c r="U57" s="83" t="str">
        <x:v>Documento di Descrizione degli Scenari 2024</x:v>
      </x:c>
      <x:c r="V57" s="83" t="n">
        <x:v>49</x:v>
      </x:c>
      <x:c r="W57" s="83" t="n">
        <x:v>47</x:v>
      </x:c>
      <x:c r="X57" s="83" t="str">
        <x:v>Footnote 40 / Figure 19</x:v>
      </x:c>
      <x:c r="Y57" s="83" t="str">
        <x:v>Contracted capacity</x:v>
      </x:c>
      <x:c r="Z57" s="83" t="str">
        <x:v>Direct</x:v>
      </x:c>
      <x:c r="AA57" s="83" t="str">
        <x:v>A — Direct</x:v>
      </x:c>
      <x:c r="AB57" s="83" t="str">
        <x:v>Certain/contracted; duration and power require asset-level data.</x:v>
      </x:c>
      <x:c r="AC57" s="83" t="str">
        <x:v>Awards from auctions held 2019-2022 for delivery years 2022-2024.</x:v>
      </x:c>
    </x:row>
    <x:row r="58">
      <x:c r="A58" s="83" t="str">
        <x:v>ST-054</x:v>
      </x:c>
      <x:c r="B58" s="83" t="str"/>
      <x:c r="C58" s="83" t="n">
        <x:v>2025</x:v>
      </x:c>
      <x:c r="D58" s="83" t="str">
        <x:v>Capacity Market delivery 2025</x:v>
      </x:c>
      <x:c r="E58" s="83" t="str">
        <x:v>Italia</x:v>
      </x:c>
      <x:c r="F58" s="83" t="str"/>
      <x:c r="G58" s="83" t="str">
        <x:v>Capacity Market newly assigned</x:v>
      </x:c>
      <x:c r="H58" s="83" t="str">
        <x:v>BESS / storage</x:v>
      </x:c>
      <x:c r="I58" s="83" t="str">
        <x:v>Contracted/assigned</x:v>
      </x:c>
      <x:c r="J58" s="197" t="n">
        <x:v>0.4</x:v>
      </x:c>
      <x:c r="K58" s="197"/>
      <x:c r="L58" s="197"/>
      <x:c r="M58" s="197"/>
      <x:c r="N58" s="197"/>
      <x:c r="O58" s="197"/>
      <x:c r="P58" s="197" t="str">
        <x:f>IF(AND(J58&lt;&gt;"",O58&lt;&gt;""),J58/O58,"")</x:f>
      </x:c>
      <x:c r="Q58" s="197" t="str">
        <x:f>IF(AND(J58&lt;&gt;"",N58&lt;&gt;""),J58/N58,"")</x:f>
      </x:c>
      <x:c r="R58" s="197" t="str">
        <x:f>IF(AND(J58&lt;&gt;"",M58&lt;&gt;""),J58/M58,"")</x:f>
      </x:c>
      <x:c r="S58" s="197" t="str">
        <x:f>IF(AND(J58&lt;&gt;"",L58&lt;&gt;""),J58/L58,"")</x:f>
      </x:c>
      <x:c r="T58" s="83" t="str">
        <x:v>S09</x:v>
      </x:c>
      <x:c r="U58" s="83" t="str">
        <x:v>Documento di Descrizione degli Scenari 2024</x:v>
      </x:c>
      <x:c r="V58" s="83" t="n">
        <x:v>49</x:v>
      </x:c>
      <x:c r="W58" s="83" t="n">
        <x:v>47</x:v>
      </x:c>
      <x:c r="X58" s="83" t="str">
        <x:v>Footnote 40</x:v>
      </x:c>
      <x:c r="Y58" s="83" t="str">
        <x:v>Contracted capacity</x:v>
      </x:c>
      <x:c r="Z58" s="83" t="str">
        <x:v>Direct (rounded)</x:v>
      </x:c>
      <x:c r="AA58" s="83" t="str">
        <x:v>A — Direct</x:v>
      </x:c>
      <x:c r="AB58" s="83" t="str">
        <x:v>Certain/contracted; add to asset stock when COD is verified.</x:v>
      </x:c>
      <x:c r="AC58" s="83" t="str">
        <x:v>Auction held 25 July 2024; adds to 7.5 GWh from earlier auctions.</x:v>
      </x:c>
    </x:row>
    <x:row r="59">
      <x:c r="A59" s="83" t="str">
        <x:v>ST-055</x:v>
      </x:c>
      <x:c r="B59" s="83" t="str"/>
      <x:c r="C59" s="83" t="n">
        <x:v>2028</x:v>
      </x:c>
      <x:c r="D59" s="83" t="str">
        <x:v>MACSE first delivery</x:v>
      </x:c>
      <x:c r="E59" s="83" t="str">
        <x:v>Centro Sud, Calabria, Sud e Isole</x:v>
      </x:c>
      <x:c r="F59" s="83" t="str"/>
      <x:c r="G59" s="83" t="str">
        <x:v>MACSE assigned</x:v>
      </x:c>
      <x:c r="H59" s="83" t="str">
        <x:v>Storage capacity</x:v>
      </x:c>
      <x:c r="I59" s="83" t="str">
        <x:v>Contracted/assigned</x:v>
      </x:c>
      <x:c r="J59" s="197" t="n">
        <x:v>10</x:v>
      </x:c>
      <x:c r="K59" s="197"/>
      <x:c r="L59" s="197"/>
      <x:c r="M59" s="197"/>
      <x:c r="N59" s="197"/>
      <x:c r="O59" s="197"/>
      <x:c r="P59" s="197" t="str">
        <x:f>IF(AND(J59&lt;&gt;"",O59&lt;&gt;""),J59/O59,"")</x:f>
      </x:c>
      <x:c r="Q59" s="197" t="str">
        <x:f>IF(AND(J59&lt;&gt;"",N59&lt;&gt;""),J59/N59,"")</x:f>
      </x:c>
      <x:c r="R59" s="197" t="str">
        <x:f>IF(AND(J59&lt;&gt;"",M59&lt;&gt;""),J59/M59,"")</x:f>
      </x:c>
      <x:c r="S59" s="197" t="str">
        <x:f>IF(AND(J59&lt;&gt;"",L59&lt;&gt;""),J59/L59,"")</x:f>
      </x:c>
      <x:c r="T59" s="83" t="str">
        <x:v>S07</x:v>
      </x:c>
      <x:c r="U59" s="83" t="str">
        <x:v>Prospettive di Sviluppo del Sistema Energetico 2050</x:v>
      </x:c>
      <x:c r="V59" s="83" t="n">
        <x:v>40</x:v>
      </x:c>
      <x:c r="W59" s="83" t="n">
        <x:v>38</x:v>
      </x:c>
      <x:c r="X59" s="83" t="str">
        <x:v>Narrative on first MACSE auction</x:v>
      </x:c>
      <x:c r="Y59" s="83" t="str">
        <x:v>Contracted capacity</x:v>
      </x:c>
      <x:c r="Z59" s="83" t="str">
        <x:v>Direct</x:v>
      </x:c>
      <x:c r="AA59" s="83" t="str">
        <x:v>A — Direct</x:v>
      </x:c>
      <x:c r="AB59" s="83" t="str">
        <x:v>Certain scenario addition; exact zonal allocation and power/duration must be imported from auction results.</x:v>
      </x:c>
      <x:c r="AC59" s="83" t="str">
        <x:v>First auction held 30 September 2025; entire requested volume assigned. S04 previously defined the same 10 GWh need for 2028.</x:v>
      </x:c>
    </x:row>
    <x:row r="60">
      <x:c r="A60" s="83" t="str">
        <x:v>ST-056</x:v>
      </x:c>
      <x:c r="B60" s="83" t="str"/>
      <x:c r="C60" s="83" t="n">
        <x:v>2024</x:v>
      </x:c>
      <x:c r="D60" s="83" t="str">
        <x:v>Connection requests at 31 Dec 2024</x:v>
      </x:c>
      <x:c r="E60" s="83" t="str">
        <x:v>Italia</x:v>
      </x:c>
      <x:c r="F60" s="83" t="str"/>
      <x:c r="G60" s="83" t="str">
        <x:v>Standalone electrochemical connection pipeline</x:v>
      </x:c>
      <x:c r="H60" s="83" t="str">
        <x:v>BESS</x:v>
      </x:c>
      <x:c r="I60" s="83" t="str">
        <x:v>Connection pipeline</x:v>
      </x:c>
      <x:c r="J60" s="197"/>
      <x:c r="K60" s="197" t="n">
        <x:v>253</x:v>
      </x:c>
      <x:c r="L60" s="197" t="n">
        <x:v>253</x:v>
      </x:c>
      <x:c r="M60" s="197"/>
      <x:c r="N60" s="197"/>
      <x:c r="O60" s="197"/>
      <x:c r="P60" s="197" t="str">
        <x:f>IF(AND(J60&lt;&gt;"",O60&lt;&gt;""),J60/O60,"")</x:f>
      </x:c>
      <x:c r="Q60" s="197" t="str">
        <x:f>IF(AND(J60&lt;&gt;"",N60&lt;&gt;""),J60/N60,"")</x:f>
      </x:c>
      <x:c r="R60" s="197" t="str">
        <x:f>IF(AND(J60&lt;&gt;"",M60&lt;&gt;""),J60/M60,"")</x:f>
      </x:c>
      <x:c r="S60" s="197" t="str">
        <x:f>IF(AND(J60&lt;&gt;"",L60&lt;&gt;""),J60/L60,"")</x:f>
      </x:c>
      <x:c r="T60" s="83" t="str">
        <x:v>S04</x:v>
      </x:c>
      <x:c r="U60" s="83" t="str">
        <x:v>Programmazione territoriale efficiente e interventi di connessione</x:v>
      </x:c>
      <x:c r="V60" s="83" t="n">
        <x:v>4</x:v>
      </x:c>
      <x:c r="W60" s="83" t="n">
        <x:v>2</x:v>
      </x:c>
      <x:c r="X60" s="83" t="str">
        <x:v>Table 1 / Section 1.2</x:v>
      </x:c>
      <x:c r="Y60" s="83" t="str">
        <x:v>Pipeline / connection request</x:v>
      </x:c>
      <x:c r="Z60" s="83" t="str">
        <x:v>Direct rounded</x:v>
      </x:c>
      <x:c r="AA60" s="83" t="str">
        <x:v>A — Direct</x:v>
      </x:c>
      <x:c r="AB60" s="83" t="str">
        <x:v>Exclude from installed scenario; use only as pipeline/siting context.</x:v>
      </x:c>
      <x:c r="AC60" s="83" t="str">
        <x:v>Approximately 253 GW; +177 GW versus 2023.</x:v>
      </x:c>
    </x:row>
    <x:row r="61">
      <x:c r="A61" s="83" t="str">
        <x:v>ST-057</x:v>
      </x:c>
      <x:c r="B61" s="83" t="str">
        <x:v>TERNA_2050_NUCLEAR</x:v>
      </x:c>
      <x:c r="C61" s="83" t="n">
        <x:v>2050</x:v>
      </x:c>
      <x:c r="D61" s="83" t="str">
        <x:v>Terna 2050 con nucleare</x:v>
      </x:c>
      <x:c r="E61" s="83" t="str">
        <x:v>Italia</x:v>
      </x:c>
      <x:c r="F61" s="83" t="str"/>
      <x:c r="G61" s="83" t="str">
        <x:v>Efficient total electrochemical storage</x:v>
      </x:c>
      <x:c r="H61" s="83" t="str">
        <x:v>BESS</x:v>
      </x:c>
      <x:c r="I61" s="83" t="str">
        <x:v>Source model result</x:v>
      </x:c>
      <x:c r="J61" s="197" t="n">
        <x:v>196</x:v>
      </x:c>
      <x:c r="K61" s="197" t="n">
        <x:v>36</x:v>
      </x:c>
      <x:c r="L61" s="197" t="n">
        <x:v>36</x:v>
      </x:c>
      <x:c r="M61" s="197"/>
      <x:c r="N61" s="197" t="n">
        <x:v>5.444444444444445</x:v>
      </x:c>
      <x:c r="O61" s="197"/>
      <x:c r="P61" s="197" t="str">
        <x:f>IF(AND(J61&lt;&gt;"",O61&lt;&gt;""),J61/O61,"")</x:f>
      </x:c>
      <x:c r="Q61" s="197" t="n">
        <x:f>IF(AND(J61&lt;&gt;"",N61&lt;&gt;""),J61/N61,"")</x:f>
        <x:v>36</x:v>
      </x:c>
      <x:c r="R61" s="197" t="str">
        <x:f>IF(AND(J61&lt;&gt;"",M61&lt;&gt;""),J61/M61,"")</x:f>
      </x:c>
      <x:c r="S61" s="197" t="n">
        <x:f>IF(AND(J61&lt;&gt;"",L61&lt;&gt;""),J61/L61,"")</x:f>
        <x:v>5.444444444444445</x:v>
      </x:c>
      <x:c r="T61" s="83" t="str">
        <x:v>S07</x:v>
      </x:c>
      <x:c r="U61" s="83" t="str">
        <x:v>Prospettive di Sviluppo del Sistema Energetico 2050</x:v>
      </x:c>
      <x:c r="V61" s="83" t="n">
        <x:v>58</x:v>
      </x:c>
      <x:c r="W61" s="83" t="n">
        <x:v>56</x:v>
      </x:c>
      <x:c r="X61" s="83" t="str">
        <x:v>Table 4 and Figure 55 (p.65 PDF)</x:v>
      </x:c>
      <x:c r="Y61" s="83" t="str">
        <x:v>Risultato di modello della fonte</x:v>
      </x:c>
      <x:c r="Z61" s="83" t="str">
        <x:v>Energy and power direct from separate figures; aggregate duration derived</x:v>
      </x:c>
      <x:c r="AA61" s="83" t="str">
        <x:v>A direct / B derived duration</x:v>
      </x:c>
      <x:c r="AB61" s="83" t="str">
        <x:v>Candidate national e_nom/p_nom; class and zonal split still required.</x:v>
      </x:c>
      <x:c r="AC61" s="83" t="str">
        <x:v>Efficient size balances marginal avoided overgeneration and marginal storage cost.</x:v>
      </x:c>
    </x:row>
    <x:row r="62">
      <x:c r="A62" s="83" t="str">
        <x:v>ST-058</x:v>
      </x:c>
      <x:c r="B62" s="83" t="str">
        <x:v>TERNA_2050_NO_NUCLEAR</x:v>
      </x:c>
      <x:c r="C62" s="83" t="n">
        <x:v>2050</x:v>
      </x:c>
      <x:c r="D62" s="83" t="str">
        <x:v>Terna 2050 senza nucleare</x:v>
      </x:c>
      <x:c r="E62" s="83" t="str">
        <x:v>Italia</x:v>
      </x:c>
      <x:c r="F62" s="83" t="str"/>
      <x:c r="G62" s="83" t="str">
        <x:v>Efficient total electrochemical storage</x:v>
      </x:c>
      <x:c r="H62" s="83" t="str">
        <x:v>BESS</x:v>
      </x:c>
      <x:c r="I62" s="83" t="str">
        <x:v>Source model result</x:v>
      </x:c>
      <x:c r="J62" s="197" t="n">
        <x:v>216</x:v>
      </x:c>
      <x:c r="K62" s="197"/>
      <x:c r="L62" s="197"/>
      <x:c r="M62" s="197"/>
      <x:c r="N62" s="197"/>
      <x:c r="O62" s="197"/>
      <x:c r="P62" s="197" t="str">
        <x:f>IF(AND(J62&lt;&gt;"",O62&lt;&gt;""),J62/O62,"")</x:f>
      </x:c>
      <x:c r="Q62" s="197" t="str">
        <x:f>IF(AND(J62&lt;&gt;"",N62&lt;&gt;""),J62/N62,"")</x:f>
      </x:c>
      <x:c r="R62" s="197" t="str">
        <x:f>IF(AND(J62&lt;&gt;"",M62&lt;&gt;""),J62/M62,"")</x:f>
      </x:c>
      <x:c r="S62" s="197" t="str">
        <x:f>IF(AND(J62&lt;&gt;"",L62&lt;&gt;""),J62/L62,"")</x:f>
      </x:c>
      <x:c r="T62" s="83" t="str">
        <x:v>S07</x:v>
      </x:c>
      <x:c r="U62" s="83" t="str">
        <x:v>Prospettive di Sviluppo del Sistema Energetico 2050</x:v>
      </x:c>
      <x:c r="V62" s="83" t="n">
        <x:v>58</x:v>
      </x:c>
      <x:c r="W62" s="83" t="n">
        <x:v>56</x:v>
      </x:c>
      <x:c r="X62" s="83" t="str">
        <x:v>Table 4 / Figure 49</x:v>
      </x:c>
      <x:c r="Y62" s="83" t="str">
        <x:v>Risultato di modello della fonte</x:v>
      </x:c>
      <x:c r="Z62" s="83" t="str">
        <x:v>Direct</x:v>
      </x:c>
      <x:c r="AA62" s="83" t="str">
        <x:v>A — Direct</x:v>
      </x:c>
      <x:c r="AB62" s="83" t="str">
        <x:v>National e_nom candidate; p_nom not stated and must not be inferred automatically.</x:v>
      </x:c>
      <x:c r="AC62" s="83" t="str">
        <x:v>About 20 GWh more than the nuclear scenario; around 5% of renewable production curtailed.</x:v>
      </x:c>
    </x:row>
  </x:sheetData>
  <x:mergeCells>
    <x:mergeCell ref="A1:AC1"/>
    <x:mergeCell ref="A2:AC2"/>
  </x:mergeCells>
  <x:conditionalFormatting sqref="I5:I62">
    <x:cfRule type="expression" dxfId="37" priority="1">
      <x:formula>OR(I5="Observed installed",I5="Contracted/assigned")</x:formula>
    </x:cfRule>
    <x:cfRule type="expression" dxfId="38" priority="2">
      <x:formula>I5="Connection pipeline"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86a6406d564720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28" hidden="0" customWidth="1"/>
    <x:col min="5" max="5" width="18" hidden="0" customWidth="1"/>
    <x:col min="6" max="6" width="22" hidden="0" customWidth="1"/>
    <x:col min="7" max="7" width="14" hidden="0" customWidth="1"/>
    <x:col min="8" max="8" width="17" hidden="0" customWidth="1"/>
    <x:col min="9" max="9" width="13" hidden="0" customWidth="1"/>
    <x:col min="10" max="10" width="13" hidden="0" customWidth="1"/>
    <x:col min="11" max="11" width="18" hidden="0" customWidth="1"/>
    <x:col min="12" max="12" width="18" hidden="0" customWidth="1"/>
    <x:col min="13" max="13" width="12" hidden="0" customWidth="1"/>
    <x:col min="14" max="14" width="44" hidden="0" customWidth="1"/>
    <x:col min="15" max="15" width="12" hidden="0" customWidth="1"/>
    <x:col min="16" max="16" width="16" hidden="0" customWidth="1"/>
    <x:col min="17" max="17" width="18" hidden="0" customWidth="1"/>
    <x:col min="18" max="18" width="28" hidden="0" customWidth="1"/>
    <x:col min="19" max="19" width="32" hidden="0" customWidth="1"/>
    <x:col min="20" max="20" width="18" hidden="0" customWidth="1"/>
    <x:col min="21" max="21" width="48" hidden="0" customWidth="1"/>
    <x:col min="22" max="22" width="50" hidden="0" customWidth="1"/>
  </x:cols>
  <x:sheetData>
    <x:row r="1" ht="34" customHeight="1">
      <x:c r="A1" s="188" t="str">
        <x:v>Accumuli zonali 2023–2040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  <x:c r="V1" s="188"/>
    </x:row>
    <x:row r="2" ht="30" customHeight="1">
      <x:c r="A2" s="192" t="str">
        <x:v>252 righe della Tabella 16 DDS; energia diretta e potenza derivata solo per classi con durata esplicita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  <x:c r="V2" s="192"/>
    </x:row>
    <x:row r="4" ht="42" customHeight="1">
      <x:c r="A4" s="196" t="str">
        <x:v>Record ID</x:v>
      </x:c>
      <x:c r="B4" s="196" t="str">
        <x:v>Scenario ID</x:v>
      </x:c>
      <x:c r="C4" s="196" t="str">
        <x:v>Anno</x:v>
      </x:c>
      <x:c r="D4" s="196" t="str">
        <x:v>Scenario</x:v>
      </x:c>
      <x:c r="E4" s="196" t="str">
        <x:v>Zona</x:v>
      </x:c>
      <x:c r="F4" s="196" t="str">
        <x:v>Classe storage</x:v>
      </x:c>
      <x:c r="G4" s="196" t="str">
        <x:v>Energia GWh</x:v>
      </x:c>
      <x:c r="H4" s="196" t="str">
        <x:v>Esclude pompaggi esistenti</x:v>
      </x:c>
      <x:c r="I4" s="196" t="str">
        <x:v>Durata min h</x:v>
      </x:c>
      <x:c r="J4" s="196" t="str">
        <x:v>Durata max h</x:v>
      </x:c>
      <x:c r="K4" s="196" t="str">
        <x:v>Potenza derivata min GW</x:v>
      </x:c>
      <x:c r="L4" s="196" t="str">
        <x:v>Potenza derivata max GW</x:v>
      </x:c>
      <x:c r="M4" s="196" t="str">
        <x:v>Fonte</x:v>
      </x:c>
      <x:c r="N4" s="196" t="str">
        <x:v>File fonte</x:v>
      </x:c>
      <x:c r="O4" s="196" t="str">
        <x:v>Pagina PDF</x:v>
      </x:c>
      <x:c r="P4" s="196" t="str">
        <x:v>Pagina stampata</x:v>
      </x:c>
      <x:c r="Q4" s="196" t="str">
        <x:v>Tabella/Figura</x:v>
      </x:c>
      <x:c r="R4" s="196" t="str">
        <x:v>Tipo evidenza</x:v>
      </x:c>
      <x:c r="S4" s="196" t="str">
        <x:v>Metodo</x:v>
      </x:c>
      <x:c r="T4" s="196" t="str">
        <x:v>Affidabilità</x:v>
      </x:c>
      <x:c r="U4" s="196" t="str">
        <x:v>Uso modello</x:v>
      </x:c>
      <x:c r="V4" s="196" t="str">
        <x:v>Note</x:v>
      </x:c>
    </x:row>
    <x:row r="5">
      <x:c r="A5" s="83" t="str">
        <x:v>SZ-001</x:v>
      </x:c>
      <x:c r="B5" s="83" t="str">
        <x:v>HIST_2023</x:v>
      </x:c>
      <x:c r="C5" s="83" t="n">
        <x:v>2023</x:v>
      </x:c>
      <x:c r="D5" s="83" t="str">
        <x:v>Storico 2023</x:v>
      </x:c>
      <x:c r="E5" s="83" t="str">
        <x:v>Nord</x:v>
      </x:c>
      <x:c r="F5" s="83" t="str">
        <x:v>Small Scale</x:v>
      </x:c>
      <x:c r="G5" s="197" t="n">
        <x:v>3.8</x:v>
      </x:c>
      <x:c r="H5" s="203" t="b">
        <x:v>1</x:v>
      </x:c>
      <x:c r="I5" s="197" t="n">
        <x:v>2</x:v>
      </x:c>
      <x:c r="J5" s="197" t="n">
        <x:v>4</x:v>
      </x:c>
      <x:c r="K5" s="197" t="n">
        <x:f>IF(AND(G5&lt;&gt;"",J5&lt;&gt;""),G5/J5,"")</x:f>
        <x:v>0.95</x:v>
      </x:c>
      <x:c r="L5" s="197" t="n">
        <x:f>IF(AND(G5&lt;&gt;"",I5&lt;&gt;""),G5/I5,"")</x:f>
        <x:v>1.9</x:v>
      </x:c>
      <x:c r="M5" s="83" t="str">
        <x:v>S09</x:v>
      </x:c>
      <x:c r="N5" s="83" t="str">
        <x:v>Documento di Descrizione degli Scenari 2024</x:v>
      </x:c>
      <x:c r="O5" s="83" t="n">
        <x:v>62</x:v>
      </x:c>
      <x:c r="P5" s="83" t="str">
        <x:v>60-61</x:v>
      </x:c>
      <x:c r="Q5" s="83" t="str">
        <x:v>Tabella 16</x:v>
      </x:c>
      <x:c r="R5" s="83" t="str">
        <x:v>Dato osservato storico nel DDS</x:v>
      </x:c>
      <x:c r="S5" s="83" t="str">
        <x:v>Direct table extraction</x:v>
      </x:c>
      <x:c r="T5" s="83" t="str">
        <x:v>A — Direct</x:v>
      </x:c>
      <x:c r="U5" s="83" t="str">
        <x:v>Energy capacity by zone and class; derive power only where duration is specified.</x:v>
      </x:c>
      <x:c r="V5" s="83" t="str">
        <x:v>Small-scale source classes are 2 or 4 hours; utility-scale is 8 hours. CM duration is not stated.</x:v>
      </x:c>
    </x:row>
    <x:row r="6">
      <x:c r="A6" s="83" t="str">
        <x:v>SZ-002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Nord</x:v>
      </x:c>
      <x:c r="F6" s="83" t="str">
        <x:v>Small Scale</x:v>
      </x:c>
      <x:c r="G6" s="197" t="n">
        <x:v>8.4</x:v>
      </x:c>
      <x:c r="H6" s="203" t="b">
        <x:v>1</x:v>
      </x:c>
      <x:c r="I6" s="197" t="n">
        <x:v>2</x:v>
      </x:c>
      <x:c r="J6" s="197" t="n">
        <x:v>4</x:v>
      </x:c>
      <x:c r="K6" s="197" t="n">
        <x:f>IF(AND(G6&lt;&gt;"",J6&lt;&gt;""),G6/J6,"")</x:f>
        <x:v>2.1</x:v>
      </x:c>
      <x:c r="L6" s="197" t="n">
        <x:f>IF(AND(G6&lt;&gt;"",I6&lt;&gt;""),G6/I6,"")</x:f>
        <x:v>4.2</x:v>
      </x:c>
      <x:c r="M6" s="83" t="str">
        <x:v>S09</x:v>
      </x:c>
      <x:c r="N6" s="83" t="str">
        <x:v>Documento di Descrizione degli Scenari 2024</x:v>
      </x:c>
      <x:c r="O6" s="83" t="n">
        <x:v>62</x:v>
      </x:c>
      <x:c r="P6" s="83" t="str">
        <x:v>60-61</x:v>
      </x:c>
      <x:c r="Q6" s="83" t="str">
        <x:v>Tabella 16</x:v>
      </x:c>
      <x:c r="R6" s="83" t="str">
        <x:v>Assunzione di scenario</x:v>
      </x:c>
      <x:c r="S6" s="83" t="str">
        <x:v>Direct table extraction</x:v>
      </x:c>
      <x:c r="T6" s="83" t="str">
        <x:v>A — Direct</x:v>
      </x:c>
      <x:c r="U6" s="83" t="str">
        <x:v>Energy capacity by zone and class; derive power only where duration is specified.</x:v>
      </x:c>
      <x:c r="V6" s="83" t="str">
        <x:v>Small-scale source classes are 2 or 4 hours; utility-scale is 8 hours. CM duration is not stated.</x:v>
      </x:c>
    </x:row>
    <x:row r="7">
      <x:c r="A7" s="83" t="str">
        <x:v>SZ-003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Nord</x:v>
      </x:c>
      <x:c r="F7" s="83" t="str">
        <x:v>Small Scale</x:v>
      </x:c>
      <x:c r="G7" s="197" t="n">
        <x:v>7.6</x:v>
      </x:c>
      <x:c r="H7" s="203" t="b">
        <x:v>1</x:v>
      </x:c>
      <x:c r="I7" s="197" t="n">
        <x:v>2</x:v>
      </x:c>
      <x:c r="J7" s="197" t="n">
        <x:v>4</x:v>
      </x:c>
      <x:c r="K7" s="197" t="n">
        <x:f>IF(AND(G7&lt;&gt;"",J7&lt;&gt;""),G7/J7,"")</x:f>
        <x:v>1.9</x:v>
      </x:c>
      <x:c r="L7" s="197" t="n">
        <x:f>IF(AND(G7&lt;&gt;"",I7&lt;&gt;""),G7/I7,"")</x:f>
        <x:v>3.8</x:v>
      </x:c>
      <x:c r="M7" s="83" t="str">
        <x:v>S09</x:v>
      </x:c>
      <x:c r="N7" s="83" t="str">
        <x:v>Documento di Descrizione degli Scenari 2024</x:v>
      </x:c>
      <x:c r="O7" s="83" t="n">
        <x:v>62</x:v>
      </x:c>
      <x:c r="P7" s="83" t="str">
        <x:v>60-61</x:v>
      </x:c>
      <x:c r="Q7" s="83" t="str">
        <x:v>Tabella 16</x:v>
      </x:c>
      <x:c r="R7" s="83" t="str">
        <x:v>Assunzione di scenario</x:v>
      </x:c>
      <x:c r="S7" s="83" t="str">
        <x:v>Direct table extraction</x:v>
      </x:c>
      <x:c r="T7" s="83" t="str">
        <x:v>A — Direct</x:v>
      </x:c>
      <x:c r="U7" s="83" t="str">
        <x:v>Energy capacity by zone and class; derive power only where duration is specified.</x:v>
      </x:c>
      <x:c r="V7" s="83" t="str">
        <x:v>Small-scale source classes are 2 or 4 hours; utility-scale is 8 hours. CM duration is not stated.</x:v>
      </x:c>
    </x:row>
    <x:row r="8">
      <x:c r="A8" s="83" t="str">
        <x:v>SZ-004</x:v>
      </x:c>
      <x:c r="B8" s="83" t="str">
        <x:v>DE_IT_2035</x:v>
      </x:c>
      <x:c r="C8" s="83" t="n">
        <x:v>2035</x:v>
      </x:c>
      <x:c r="D8" s="83" t="str">
        <x:v>DE-IT 2035</x:v>
      </x:c>
      <x:c r="E8" s="83" t="str">
        <x:v>Nord</x:v>
      </x:c>
      <x:c r="F8" s="83" t="str">
        <x:v>Small Scale</x:v>
      </x:c>
      <x:c r="G8" s="197" t="n">
        <x:v>9.8</x:v>
      </x:c>
      <x:c r="H8" s="203" t="b">
        <x:v>1</x:v>
      </x:c>
      <x:c r="I8" s="197" t="n">
        <x:v>2</x:v>
      </x:c>
      <x:c r="J8" s="197" t="n">
        <x:v>4</x:v>
      </x:c>
      <x:c r="K8" s="197" t="n">
        <x:f>IF(AND(G8&lt;&gt;"",J8&lt;&gt;""),G8/J8,"")</x:f>
        <x:v>2.45</x:v>
      </x:c>
      <x:c r="L8" s="197" t="n">
        <x:f>IF(AND(G8&lt;&gt;"",I8&lt;&gt;""),G8/I8,"")</x:f>
        <x:v>4.9</x:v>
      </x:c>
      <x:c r="M8" s="83" t="str">
        <x:v>S09</x:v>
      </x:c>
      <x:c r="N8" s="83" t="str">
        <x:v>Documento di Descrizione degli Scenari 2024</x:v>
      </x:c>
      <x:c r="O8" s="83" t="n">
        <x:v>62</x:v>
      </x:c>
      <x:c r="P8" s="83" t="str">
        <x:v>60-61</x:v>
      </x:c>
      <x:c r="Q8" s="83" t="str">
        <x:v>Tabella 16</x:v>
      </x:c>
      <x:c r="R8" s="83" t="str">
        <x:v>Assunzione di scenario</x:v>
      </x:c>
      <x:c r="S8" s="83" t="str">
        <x:v>Direct table extraction</x:v>
      </x:c>
      <x:c r="T8" s="83" t="str">
        <x:v>A — Direct</x:v>
      </x:c>
      <x:c r="U8" s="83" t="str">
        <x:v>Energy capacity by zone and class; derive power only where duration is specified.</x:v>
      </x:c>
      <x:c r="V8" s="83" t="str">
        <x:v>Small-scale source classes are 2 or 4 hours; utility-scale is 8 hours. CM duration is not stated.</x:v>
      </x:c>
    </x:row>
    <x:row r="9">
      <x:c r="A9" s="83" t="str">
        <x:v>SZ-005</x:v>
      </x:c>
      <x:c r="B9" s="83" t="str">
        <x:v>GA_IT_2035</x:v>
      </x:c>
      <x:c r="C9" s="83" t="n">
        <x:v>2035</x:v>
      </x:c>
      <x:c r="D9" s="83" t="str">
        <x:v>GA-IT 2035</x:v>
      </x:c>
      <x:c r="E9" s="83" t="str">
        <x:v>Nord</x:v>
      </x:c>
      <x:c r="F9" s="83" t="str">
        <x:v>Small Scale</x:v>
      </x:c>
      <x:c r="G9" s="197" t="n">
        <x:v>9.1</x:v>
      </x:c>
      <x:c r="H9" s="203" t="b">
        <x:v>1</x:v>
      </x:c>
      <x:c r="I9" s="197" t="n">
        <x:v>2</x:v>
      </x:c>
      <x:c r="J9" s="197" t="n">
        <x:v>4</x:v>
      </x:c>
      <x:c r="K9" s="197" t="n">
        <x:f>IF(AND(G9&lt;&gt;"",J9&lt;&gt;""),G9/J9,"")</x:f>
        <x:v>2.275</x:v>
      </x:c>
      <x:c r="L9" s="197" t="n">
        <x:f>IF(AND(G9&lt;&gt;"",I9&lt;&gt;""),G9/I9,"")</x:f>
        <x:v>4.55</x:v>
      </x:c>
      <x:c r="M9" s="83" t="str">
        <x:v>S09</x:v>
      </x:c>
      <x:c r="N9" s="83" t="str">
        <x:v>Documento di Descrizione degli Scenari 2024</x:v>
      </x:c>
      <x:c r="O9" s="83" t="n">
        <x:v>62</x:v>
      </x:c>
      <x:c r="P9" s="83" t="str">
        <x:v>60-61</x:v>
      </x:c>
      <x:c r="Q9" s="83" t="str">
        <x:v>Tabella 16</x:v>
      </x:c>
      <x:c r="R9" s="83" t="str">
        <x:v>Assunzione di scenario</x:v>
      </x:c>
      <x:c r="S9" s="83" t="str">
        <x:v>Direct table extraction</x:v>
      </x:c>
      <x:c r="T9" s="83" t="str">
        <x:v>A — Direct</x:v>
      </x:c>
      <x:c r="U9" s="83" t="str">
        <x:v>Energy capacity by zone and class; derive power only where duration is specified.</x:v>
      </x:c>
      <x:c r="V9" s="83" t="str">
        <x:v>Small-scale source classes are 2 or 4 hours; utility-scale is 8 hours. CM duration is not stated.</x:v>
      </x:c>
    </x:row>
    <x:row r="10">
      <x:c r="A10" s="83" t="str">
        <x:v>SZ-006</x:v>
      </x:c>
      <x:c r="B10" s="83" t="str">
        <x:v>PNIEC_SLOW_2035</x:v>
      </x:c>
      <x:c r="C10" s="83" t="n">
        <x:v>2035</x:v>
      </x:c>
      <x:c r="D10" s="83" t="str">
        <x:v>PNIEC Slow 2035</x:v>
      </x:c>
      <x:c r="E10" s="83" t="str">
        <x:v>Nord</x:v>
      </x:c>
      <x:c r="F10" s="83" t="str">
        <x:v>Small Scale</x:v>
      </x:c>
      <x:c r="G10" s="197" t="n">
        <x:v>9.1</x:v>
      </x:c>
      <x:c r="H10" s="203" t="b">
        <x:v>1</x:v>
      </x:c>
      <x:c r="I10" s="197" t="n">
        <x:v>2</x:v>
      </x:c>
      <x:c r="J10" s="197" t="n">
        <x:v>4</x:v>
      </x:c>
      <x:c r="K10" s="197" t="n">
        <x:f>IF(AND(G10&lt;&gt;"",J10&lt;&gt;""),G10/J10,"")</x:f>
        <x:v>2.275</x:v>
      </x:c>
      <x:c r="L10" s="197" t="n">
        <x:f>IF(AND(G10&lt;&gt;"",I10&lt;&gt;""),G10/I10,"")</x:f>
        <x:v>4.55</x:v>
      </x:c>
      <x:c r="M10" s="83" t="str">
        <x:v>S09</x:v>
      </x:c>
      <x:c r="N10" s="83" t="str">
        <x:v>Documento di Descrizione degli Scenari 2024</x:v>
      </x:c>
      <x:c r="O10" s="83" t="n">
        <x:v>62</x:v>
      </x:c>
      <x:c r="P10" s="83" t="str">
        <x:v>60-61</x:v>
      </x:c>
      <x:c r="Q10" s="83" t="str">
        <x:v>Tabella 16</x:v>
      </x:c>
      <x:c r="R10" s="83" t="str">
        <x:v>Assunzione di scenario</x:v>
      </x:c>
      <x:c r="S10" s="83" t="str">
        <x:v>Direct table extraction</x:v>
      </x:c>
      <x:c r="T10" s="83" t="str">
        <x:v>A — Direct</x:v>
      </x:c>
      <x:c r="U10" s="83" t="str">
        <x:v>Energy capacity by zone and class; derive power only where duration is specified.</x:v>
      </x:c>
      <x:c r="V10" s="83" t="str">
        <x:v>Small-scale source classes are 2 or 4 hours; utility-scale is 8 hours. CM duration is not stated.</x:v>
      </x:c>
    </x:row>
    <x:row r="11">
      <x:c r="A11" s="83" t="str">
        <x:v>SZ-007</x:v>
      </x:c>
      <x:c r="B11" s="83" t="str">
        <x:v>DE_IT_2040</x:v>
      </x:c>
      <x:c r="C11" s="83" t="n">
        <x:v>2040</x:v>
      </x:c>
      <x:c r="D11" s="83" t="str">
        <x:v>DE-IT 2040</x:v>
      </x:c>
      <x:c r="E11" s="83" t="str">
        <x:v>Nord</x:v>
      </x:c>
      <x:c r="F11" s="83" t="str">
        <x:v>Small Scale</x:v>
      </x:c>
      <x:c r="G11" s="197" t="n">
        <x:v>11.4</x:v>
      </x:c>
      <x:c r="H11" s="203" t="b">
        <x:v>1</x:v>
      </x:c>
      <x:c r="I11" s="197" t="n">
        <x:v>2</x:v>
      </x:c>
      <x:c r="J11" s="197" t="n">
        <x:v>4</x:v>
      </x:c>
      <x:c r="K11" s="197" t="n">
        <x:f>IF(AND(G11&lt;&gt;"",J11&lt;&gt;""),G11/J11,"")</x:f>
        <x:v>2.85</x:v>
      </x:c>
      <x:c r="L11" s="197" t="n">
        <x:f>IF(AND(G11&lt;&gt;"",I11&lt;&gt;""),G11/I11,"")</x:f>
        <x:v>5.7</x:v>
      </x:c>
      <x:c r="M11" s="83" t="str">
        <x:v>S09</x:v>
      </x:c>
      <x:c r="N11" s="83" t="str">
        <x:v>Documento di Descrizione degli Scenari 2024</x:v>
      </x:c>
      <x:c r="O11" s="83" t="n">
        <x:v>62</x:v>
      </x:c>
      <x:c r="P11" s="83" t="str">
        <x:v>60-61</x:v>
      </x:c>
      <x:c r="Q11" s="83" t="str">
        <x:v>Tabella 16</x:v>
      </x:c>
      <x:c r="R11" s="83" t="str">
        <x:v>Assunzione di scenario</x:v>
      </x:c>
      <x:c r="S11" s="83" t="str">
        <x:v>Direct table extraction</x:v>
      </x:c>
      <x:c r="T11" s="83" t="str">
        <x:v>A — Direct</x:v>
      </x:c>
      <x:c r="U11" s="83" t="str">
        <x:v>Energy capacity by zone and class; derive power only where duration is specified.</x:v>
      </x:c>
      <x:c r="V11" s="83" t="str">
        <x:v>Small-scale source classes are 2 or 4 hours; utility-scale is 8 hours. CM duration is not stated.</x:v>
      </x:c>
    </x:row>
    <x:row r="12">
      <x:c r="A12" s="83" t="str">
        <x:v>SZ-008</x:v>
      </x:c>
      <x:c r="B12" s="83" t="str">
        <x:v>GA_IT_2040</x:v>
      </x:c>
      <x:c r="C12" s="83" t="n">
        <x:v>2040</x:v>
      </x:c>
      <x:c r="D12" s="83" t="str">
        <x:v>GA-IT 2040</x:v>
      </x:c>
      <x:c r="E12" s="83" t="str">
        <x:v>Nord</x:v>
      </x:c>
      <x:c r="F12" s="83" t="str">
        <x:v>Small Scale</x:v>
      </x:c>
      <x:c r="G12" s="197" t="n">
        <x:v>10.6</x:v>
      </x:c>
      <x:c r="H12" s="203" t="b">
        <x:v>1</x:v>
      </x:c>
      <x:c r="I12" s="197" t="n">
        <x:v>2</x:v>
      </x:c>
      <x:c r="J12" s="197" t="n">
        <x:v>4</x:v>
      </x:c>
      <x:c r="K12" s="197" t="n">
        <x:f>IF(AND(G12&lt;&gt;"",J12&lt;&gt;""),G12/J12,"")</x:f>
        <x:v>2.65</x:v>
      </x:c>
      <x:c r="L12" s="197" t="n">
        <x:f>IF(AND(G12&lt;&gt;"",I12&lt;&gt;""),G12/I12,"")</x:f>
        <x:v>5.3</x:v>
      </x:c>
      <x:c r="M12" s="83" t="str">
        <x:v>S09</x:v>
      </x:c>
      <x:c r="N12" s="83" t="str">
        <x:v>Documento di Descrizione degli Scenari 2024</x:v>
      </x:c>
      <x:c r="O12" s="83" t="n">
        <x:v>62</x:v>
      </x:c>
      <x:c r="P12" s="83" t="str">
        <x:v>60-61</x:v>
      </x:c>
      <x:c r="Q12" s="83" t="str">
        <x:v>Tabella 16</x:v>
      </x:c>
      <x:c r="R12" s="83" t="str">
        <x:v>Assunzione di scenario</x:v>
      </x:c>
      <x:c r="S12" s="83" t="str">
        <x:v>Direct table extraction</x:v>
      </x:c>
      <x:c r="T12" s="83" t="str">
        <x:v>A — Direct</x:v>
      </x:c>
      <x:c r="U12" s="83" t="str">
        <x:v>Energy capacity by zone and class; derive power only where duration is specified.</x:v>
      </x:c>
      <x:c r="V12" s="83" t="str">
        <x:v>Small-scale source classes are 2 or 4 hours; utility-scale is 8 hours. CM duration is not stated.</x:v>
      </x:c>
    </x:row>
    <x:row r="13">
      <x:c r="A13" s="83" t="str">
        <x:v>SZ-009</x:v>
      </x:c>
      <x:c r="B13" s="83" t="str">
        <x:v>PNIEC_SLOW_2040</x:v>
      </x:c>
      <x:c r="C13" s="83" t="n">
        <x:v>2040</x:v>
      </x:c>
      <x:c r="D13" s="83" t="str">
        <x:v>PNIEC Slow 2040</x:v>
      </x:c>
      <x:c r="E13" s="83" t="str">
        <x:v>Nord</x:v>
      </x:c>
      <x:c r="F13" s="83" t="str">
        <x:v>Small Scale</x:v>
      </x:c>
      <x:c r="G13" s="197" t="n">
        <x:v>10.5</x:v>
      </x:c>
      <x:c r="H13" s="203" t="b">
        <x:v>1</x:v>
      </x:c>
      <x:c r="I13" s="197" t="n">
        <x:v>2</x:v>
      </x:c>
      <x:c r="J13" s="197" t="n">
        <x:v>4</x:v>
      </x:c>
      <x:c r="K13" s="197" t="n">
        <x:f>IF(AND(G13&lt;&gt;"",J13&lt;&gt;""),G13/J13,"")</x:f>
        <x:v>2.625</x:v>
      </x:c>
      <x:c r="L13" s="197" t="n">
        <x:f>IF(AND(G13&lt;&gt;"",I13&lt;&gt;""),G13/I13,"")</x:f>
        <x:v>5.25</x:v>
      </x:c>
      <x:c r="M13" s="83" t="str">
        <x:v>S09</x:v>
      </x:c>
      <x:c r="N13" s="83" t="str">
        <x:v>Documento di Descrizione degli Scenari 2024</x:v>
      </x:c>
      <x:c r="O13" s="83" t="n">
        <x:v>62</x:v>
      </x:c>
      <x:c r="P13" s="83" t="str">
        <x:v>60-61</x:v>
      </x:c>
      <x:c r="Q13" s="83" t="str">
        <x:v>Tabella 16</x:v>
      </x:c>
      <x:c r="R13" s="83" t="str">
        <x:v>Assunzione di scenario</x:v>
      </x:c>
      <x:c r="S13" s="83" t="str">
        <x:v>Direct table extraction</x:v>
      </x:c>
      <x:c r="T13" s="83" t="str">
        <x:v>A — Direct</x:v>
      </x:c>
      <x:c r="U13" s="83" t="str">
        <x:v>Energy capacity by zone and class; derive power only where duration is specified.</x:v>
      </x:c>
      <x:c r="V13" s="83" t="str">
        <x:v>Small-scale source classes are 2 or 4 hours; utility-scale is 8 hours. CM duration is not stated.</x:v>
      </x:c>
    </x:row>
    <x:row r="14">
      <x:c r="A14" s="83" t="str">
        <x:v>SZ-010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Nord</x:v>
      </x:c>
      <x:c r="F14" s="83" t="str">
        <x:v>Utility Scale</x:v>
      </x:c>
      <x:c r="G14" s="197" t="n">
        <x:v>0</x:v>
      </x:c>
      <x:c r="H14" s="203" t="b">
        <x:v>1</x:v>
      </x:c>
      <x:c r="I14" s="197" t="n">
        <x:v>8</x:v>
      </x:c>
      <x:c r="J14" s="197" t="n">
        <x:v>8</x:v>
      </x:c>
      <x:c r="K14" s="197" t="str">
        <x:f>IF(AND(G14&lt;&gt;"",J14&lt;&gt;""),G14/J14,"")</x:f>
      </x:c>
      <x:c r="L14" s="197" t="str">
        <x:f>IF(AND(G14&lt;&gt;"",I14&lt;&gt;""),G14/I14,"")</x:f>
      </x:c>
      <x:c r="M14" s="83" t="str">
        <x:v>S09</x:v>
      </x:c>
      <x:c r="N14" s="83" t="str">
        <x:v>Documento di Descrizione degli Scenari 2024</x:v>
      </x:c>
      <x:c r="O14" s="83" t="n">
        <x:v>62</x:v>
      </x:c>
      <x:c r="P14" s="83" t="str">
        <x:v>60-61</x:v>
      </x:c>
      <x:c r="Q14" s="83" t="str">
        <x:v>Tabella 16</x:v>
      </x:c>
      <x:c r="R14" s="83" t="str">
        <x:v>Dato osservato storico nel DDS</x:v>
      </x:c>
      <x:c r="S14" s="83" t="str">
        <x:v>Direct table extraction</x:v>
      </x:c>
      <x:c r="T14" s="83" t="str">
        <x:v>A — Direct</x:v>
      </x:c>
      <x:c r="U14" s="83" t="str">
        <x:v>Energy capacity by zone and class; derive power only where duration is specified.</x:v>
      </x:c>
      <x:c r="V14" s="83" t="str">
        <x:v>Small-scale source classes are 2 or 4 hours; utility-scale is 8 hours. CM duration is not stated.</x:v>
      </x:c>
    </x:row>
    <x:row r="15">
      <x:c r="A15" s="83" t="str">
        <x:v>SZ-011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Nord</x:v>
      </x:c>
      <x:c r="F15" s="83" t="str">
        <x:v>Utility Scale</x:v>
      </x:c>
      <x:c r="G15" s="197" t="n">
        <x:v>0</x:v>
      </x:c>
      <x:c r="H15" s="203" t="b">
        <x:v>1</x:v>
      </x:c>
      <x:c r="I15" s="197" t="n">
        <x:v>8</x:v>
      </x:c>
      <x:c r="J15" s="197" t="n">
        <x:v>8</x:v>
      </x:c>
      <x:c r="K15" s="197" t="str">
        <x:f>IF(AND(G15&lt;&gt;"",J15&lt;&gt;""),G15/J15,"")</x:f>
      </x:c>
      <x:c r="L15" s="197" t="str">
        <x:f>IF(AND(G15&lt;&gt;"",I15&lt;&gt;""),G15/I15,"")</x:f>
      </x:c>
      <x:c r="M15" s="83" t="str">
        <x:v>S09</x:v>
      </x:c>
      <x:c r="N15" s="83" t="str">
        <x:v>Documento di Descrizione degli Scenari 2024</x:v>
      </x:c>
      <x:c r="O15" s="83" t="n">
        <x:v>62</x:v>
      </x:c>
      <x:c r="P15" s="83" t="str">
        <x:v>60-61</x:v>
      </x:c>
      <x:c r="Q15" s="83" t="str">
        <x:v>Tabella 16</x:v>
      </x:c>
      <x:c r="R15" s="83" t="str">
        <x:v>Assunzione di scenario</x:v>
      </x:c>
      <x:c r="S15" s="83" t="str">
        <x:v>Direct table extraction</x:v>
      </x:c>
      <x:c r="T15" s="83" t="str">
        <x:v>A — Direct</x:v>
      </x:c>
      <x:c r="U15" s="83" t="str">
        <x:v>Energy capacity by zone and class; derive power only where duration is specified.</x:v>
      </x:c>
      <x:c r="V15" s="83" t="str">
        <x:v>Small-scale source classes are 2 or 4 hours; utility-scale is 8 hours. CM duration is not stated.</x:v>
      </x:c>
    </x:row>
    <x:row r="16">
      <x:c r="A16" s="83" t="str">
        <x:v>SZ-012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Nord</x:v>
      </x:c>
      <x:c r="F16" s="83" t="str">
        <x:v>Utility Scale</x:v>
      </x:c>
      <x:c r="G16" s="197" t="n">
        <x:v>0</x:v>
      </x:c>
      <x:c r="H16" s="203" t="b">
        <x:v>1</x:v>
      </x:c>
      <x:c r="I16" s="197" t="n">
        <x:v>8</x:v>
      </x:c>
      <x:c r="J16" s="197" t="n">
        <x:v>8</x:v>
      </x:c>
      <x:c r="K16" s="197" t="str">
        <x:f>IF(AND(G16&lt;&gt;"",J16&lt;&gt;""),G16/J16,"")</x:f>
      </x:c>
      <x:c r="L16" s="197" t="str">
        <x:f>IF(AND(G16&lt;&gt;"",I16&lt;&gt;""),G16/I16,"")</x:f>
      </x:c>
      <x:c r="M16" s="83" t="str">
        <x:v>S09</x:v>
      </x:c>
      <x:c r="N16" s="83" t="str">
        <x:v>Documento di Descrizione degli Scenari 2024</x:v>
      </x:c>
      <x:c r="O16" s="83" t="n">
        <x:v>62</x:v>
      </x:c>
      <x:c r="P16" s="83" t="str">
        <x:v>60-61</x:v>
      </x:c>
      <x:c r="Q16" s="83" t="str">
        <x:v>Tabella 16</x:v>
      </x:c>
      <x:c r="R16" s="83" t="str">
        <x:v>Assunzione di scenario</x:v>
      </x:c>
      <x:c r="S16" s="83" t="str">
        <x:v>Direct table extraction</x:v>
      </x:c>
      <x:c r="T16" s="83" t="str">
        <x:v>A — Direct</x:v>
      </x:c>
      <x:c r="U16" s="83" t="str">
        <x:v>Energy capacity by zone and class; derive power only where duration is specified.</x:v>
      </x:c>
      <x:c r="V16" s="83" t="str">
        <x:v>Small-scale source classes are 2 or 4 hours; utility-scale is 8 hours. CM duration is not stated.</x:v>
      </x:c>
    </x:row>
    <x:row r="17">
      <x:c r="A17" s="83" t="str">
        <x:v>SZ-013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Nord</x:v>
      </x:c>
      <x:c r="F17" s="83" t="str">
        <x:v>Utility Scale</x:v>
      </x:c>
      <x:c r="G17" s="197" t="n">
        <x:v>0</x:v>
      </x:c>
      <x:c r="H17" s="203" t="b">
        <x:v>1</x:v>
      </x:c>
      <x:c r="I17" s="197" t="n">
        <x:v>8</x:v>
      </x:c>
      <x:c r="J17" s="197" t="n">
        <x:v>8</x:v>
      </x:c>
      <x:c r="K17" s="197" t="str">
        <x:f>IF(AND(G17&lt;&gt;"",J17&lt;&gt;""),G17/J17,"")</x:f>
      </x:c>
      <x:c r="L17" s="197" t="str">
        <x:f>IF(AND(G17&lt;&gt;"",I17&lt;&gt;""),G17/I17,"")</x:f>
      </x:c>
      <x:c r="M17" s="83" t="str">
        <x:v>S09</x:v>
      </x:c>
      <x:c r="N17" s="83" t="str">
        <x:v>Documento di Descrizione degli Scenari 2024</x:v>
      </x:c>
      <x:c r="O17" s="83" t="n">
        <x:v>62</x:v>
      </x:c>
      <x:c r="P17" s="83" t="str">
        <x:v>60-61</x:v>
      </x:c>
      <x:c r="Q17" s="83" t="str">
        <x:v>Tabella 16</x:v>
      </x:c>
      <x:c r="R17" s="83" t="str">
        <x:v>Assunzione di scenario</x:v>
      </x:c>
      <x:c r="S17" s="83" t="str">
        <x:v>Direct table extraction</x:v>
      </x:c>
      <x:c r="T17" s="83" t="str">
        <x:v>A — Direct</x:v>
      </x:c>
      <x:c r="U17" s="83" t="str">
        <x:v>Energy capacity by zone and class; derive power only where duration is specified.</x:v>
      </x:c>
      <x:c r="V17" s="83" t="str">
        <x:v>Small-scale source classes are 2 or 4 hours; utility-scale is 8 hours. CM duration is not stated.</x:v>
      </x:c>
    </x:row>
    <x:row r="18">
      <x:c r="A18" s="83" t="str">
        <x:v>SZ-014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Nord</x:v>
      </x:c>
      <x:c r="F18" s="83" t="str">
        <x:v>Utility Scale</x:v>
      </x:c>
      <x:c r="G18" s="197" t="n">
        <x:v>0</x:v>
      </x:c>
      <x:c r="H18" s="203" t="b">
        <x:v>1</x:v>
      </x:c>
      <x:c r="I18" s="197" t="n">
        <x:v>8</x:v>
      </x:c>
      <x:c r="J18" s="197" t="n">
        <x:v>8</x:v>
      </x:c>
      <x:c r="K18" s="197" t="str">
        <x:f>IF(AND(G18&lt;&gt;"",J18&lt;&gt;""),G18/J18,"")</x:f>
      </x:c>
      <x:c r="L18" s="197" t="str">
        <x:f>IF(AND(G18&lt;&gt;"",I18&lt;&gt;""),G18/I18,"")</x:f>
      </x:c>
      <x:c r="M18" s="83" t="str">
        <x:v>S09</x:v>
      </x:c>
      <x:c r="N18" s="83" t="str">
        <x:v>Documento di Descrizione degli Scenari 2024</x:v>
      </x:c>
      <x:c r="O18" s="83" t="n">
        <x:v>62</x:v>
      </x:c>
      <x:c r="P18" s="83" t="str">
        <x:v>60-61</x:v>
      </x:c>
      <x:c r="Q18" s="83" t="str">
        <x:v>Tabella 16</x:v>
      </x:c>
      <x:c r="R18" s="83" t="str">
        <x:v>Assunzione di scenario</x:v>
      </x:c>
      <x:c r="S18" s="83" t="str">
        <x:v>Direct table extraction</x:v>
      </x:c>
      <x:c r="T18" s="83" t="str">
        <x:v>A — Direct</x:v>
      </x:c>
      <x:c r="U18" s="83" t="str">
        <x:v>Energy capacity by zone and class; derive power only where duration is specified.</x:v>
      </x:c>
      <x:c r="V18" s="83" t="str">
        <x:v>Small-scale source classes are 2 or 4 hours; utility-scale is 8 hours. CM duration is not stated.</x:v>
      </x:c>
    </x:row>
    <x:row r="19">
      <x:c r="A19" s="83" t="str">
        <x:v>SZ-015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Nord</x:v>
      </x:c>
      <x:c r="F19" s="83" t="str">
        <x:v>Utility Scale</x:v>
      </x:c>
      <x:c r="G19" s="197" t="n">
        <x:v>0</x:v>
      </x:c>
      <x:c r="H19" s="203" t="b">
        <x:v>1</x:v>
      </x:c>
      <x:c r="I19" s="197" t="n">
        <x:v>8</x:v>
      </x:c>
      <x:c r="J19" s="197" t="n">
        <x:v>8</x:v>
      </x:c>
      <x:c r="K19" s="197" t="str">
        <x:f>IF(AND(G19&lt;&gt;"",J19&lt;&gt;""),G19/J19,"")</x:f>
      </x:c>
      <x:c r="L19" s="197" t="str">
        <x:f>IF(AND(G19&lt;&gt;"",I19&lt;&gt;""),G19/I19,"")</x:f>
      </x:c>
      <x:c r="M19" s="83" t="str">
        <x:v>S09</x:v>
      </x:c>
      <x:c r="N19" s="83" t="str">
        <x:v>Documento di Descrizione degli Scenari 2024</x:v>
      </x:c>
      <x:c r="O19" s="83" t="n">
        <x:v>62</x:v>
      </x:c>
      <x:c r="P19" s="83" t="str">
        <x:v>60-61</x:v>
      </x:c>
      <x:c r="Q19" s="83" t="str">
        <x:v>Tabella 16</x:v>
      </x:c>
      <x:c r="R19" s="83" t="str">
        <x:v>Assunzione di scenario</x:v>
      </x:c>
      <x:c r="S19" s="83" t="str">
        <x:v>Direct table extraction</x:v>
      </x:c>
      <x:c r="T19" s="83" t="str">
        <x:v>A — Direct</x:v>
      </x:c>
      <x:c r="U19" s="83" t="str">
        <x:v>Energy capacity by zone and class; derive power only where duration is specified.</x:v>
      </x:c>
      <x:c r="V19" s="83" t="str">
        <x:v>Small-scale source classes are 2 or 4 hours; utility-scale is 8 hours. CM duration is not stated.</x:v>
      </x:c>
    </x:row>
    <x:row r="20">
      <x:c r="A20" s="83" t="str">
        <x:v>SZ-016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Nord</x:v>
      </x:c>
      <x:c r="F20" s="83" t="str">
        <x:v>Utility Scale</x:v>
      </x:c>
      <x:c r="G20" s="197" t="n">
        <x:v>0</x:v>
      </x:c>
      <x:c r="H20" s="203" t="b">
        <x:v>1</x:v>
      </x:c>
      <x:c r="I20" s="197" t="n">
        <x:v>8</x:v>
      </x:c>
      <x:c r="J20" s="197" t="n">
        <x:v>8</x:v>
      </x:c>
      <x:c r="K20" s="197" t="str">
        <x:f>IF(AND(G20&lt;&gt;"",J20&lt;&gt;""),G20/J20,"")</x:f>
      </x:c>
      <x:c r="L20" s="197" t="str">
        <x:f>IF(AND(G20&lt;&gt;"",I20&lt;&gt;""),G20/I20,"")</x:f>
      </x:c>
      <x:c r="M20" s="83" t="str">
        <x:v>S09</x:v>
      </x:c>
      <x:c r="N20" s="83" t="str">
        <x:v>Documento di Descrizione degli Scenari 2024</x:v>
      </x:c>
      <x:c r="O20" s="83" t="n">
        <x:v>62</x:v>
      </x:c>
      <x:c r="P20" s="83" t="str">
        <x:v>60-61</x:v>
      </x:c>
      <x:c r="Q20" s="83" t="str">
        <x:v>Tabella 16</x:v>
      </x:c>
      <x:c r="R20" s="83" t="str">
        <x:v>Assunzione di scenario</x:v>
      </x:c>
      <x:c r="S20" s="83" t="str">
        <x:v>Direct table extraction</x:v>
      </x:c>
      <x:c r="T20" s="83" t="str">
        <x:v>A — Direct</x:v>
      </x:c>
      <x:c r="U20" s="83" t="str">
        <x:v>Energy capacity by zone and class; derive power only where duration is specified.</x:v>
      </x:c>
      <x:c r="V20" s="83" t="str">
        <x:v>Small-scale source classes are 2 or 4 hours; utility-scale is 8 hours. CM duration is not stated.</x:v>
      </x:c>
    </x:row>
    <x:row r="21">
      <x:c r="A21" s="83" t="str">
        <x:v>SZ-017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Nord</x:v>
      </x:c>
      <x:c r="F21" s="83" t="str">
        <x:v>Utility Scale</x:v>
      </x:c>
      <x:c r="G21" s="197" t="n">
        <x:v>0</x:v>
      </x:c>
      <x:c r="H21" s="203" t="b">
        <x:v>1</x:v>
      </x:c>
      <x:c r="I21" s="197" t="n">
        <x:v>8</x:v>
      </x:c>
      <x:c r="J21" s="197" t="n">
        <x:v>8</x:v>
      </x:c>
      <x:c r="K21" s="197" t="str">
        <x:f>IF(AND(G21&lt;&gt;"",J21&lt;&gt;""),G21/J21,"")</x:f>
      </x:c>
      <x:c r="L21" s="197" t="str">
        <x:f>IF(AND(G21&lt;&gt;"",I21&lt;&gt;""),G21/I21,"")</x:f>
      </x:c>
      <x:c r="M21" s="83" t="str">
        <x:v>S09</x:v>
      </x:c>
      <x:c r="N21" s="83" t="str">
        <x:v>Documento di Descrizione degli Scenari 2024</x:v>
      </x:c>
      <x:c r="O21" s="83" t="n">
        <x:v>62</x:v>
      </x:c>
      <x:c r="P21" s="83" t="str">
        <x:v>60-61</x:v>
      </x:c>
      <x:c r="Q21" s="83" t="str">
        <x:v>Tabella 16</x:v>
      </x:c>
      <x:c r="R21" s="83" t="str">
        <x:v>Assunzione di scenario</x:v>
      </x:c>
      <x:c r="S21" s="83" t="str">
        <x:v>Direct table extraction</x:v>
      </x:c>
      <x:c r="T21" s="83" t="str">
        <x:v>A — Direct</x:v>
      </x:c>
      <x:c r="U21" s="83" t="str">
        <x:v>Energy capacity by zone and class; derive power only where duration is specified.</x:v>
      </x:c>
      <x:c r="V21" s="83" t="str">
        <x:v>Small-scale source classes are 2 or 4 hours; utility-scale is 8 hours. CM duration is not stated.</x:v>
      </x:c>
    </x:row>
    <x:row r="22">
      <x:c r="A22" s="83" t="str">
        <x:v>SZ-018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Nord</x:v>
      </x:c>
      <x:c r="F22" s="83" t="str">
        <x:v>Utility Scale</x:v>
      </x:c>
      <x:c r="G22" s="197" t="n">
        <x:v>0</x:v>
      </x:c>
      <x:c r="H22" s="203" t="b">
        <x:v>1</x:v>
      </x:c>
      <x:c r="I22" s="197" t="n">
        <x:v>8</x:v>
      </x:c>
      <x:c r="J22" s="197" t="n">
        <x:v>8</x:v>
      </x:c>
      <x:c r="K22" s="197" t="str">
        <x:f>IF(AND(G22&lt;&gt;"",J22&lt;&gt;""),G22/J22,"")</x:f>
      </x:c>
      <x:c r="L22" s="197" t="str">
        <x:f>IF(AND(G22&lt;&gt;"",I22&lt;&gt;""),G22/I22,"")</x:f>
      </x:c>
      <x:c r="M22" s="83" t="str">
        <x:v>S09</x:v>
      </x:c>
      <x:c r="N22" s="83" t="str">
        <x:v>Documento di Descrizione degli Scenari 2024</x:v>
      </x:c>
      <x:c r="O22" s="83" t="n">
        <x:v>62</x:v>
      </x:c>
      <x:c r="P22" s="83" t="str">
        <x:v>60-61</x:v>
      </x:c>
      <x:c r="Q22" s="83" t="str">
        <x:v>Tabella 16</x:v>
      </x:c>
      <x:c r="R22" s="83" t="str">
        <x:v>Assunzione di scenario</x:v>
      </x:c>
      <x:c r="S22" s="83" t="str">
        <x:v>Direct table extraction</x:v>
      </x:c>
      <x:c r="T22" s="83" t="str">
        <x:v>A — Direct</x:v>
      </x:c>
      <x:c r="U22" s="83" t="str">
        <x:v>Energy capacity by zone and class; derive power only where duration is specified.</x:v>
      </x:c>
      <x:c r="V22" s="83" t="str">
        <x:v>Small-scale source classes are 2 or 4 hours; utility-scale is 8 hours. CM duration is not stated.</x:v>
      </x:c>
    </x:row>
    <x:row r="23">
      <x:c r="A23" s="83" t="str">
        <x:v>SZ-019</x:v>
      </x:c>
      <x:c r="B23" s="83" t="str">
        <x:v>HIST_2023</x:v>
      </x:c>
      <x:c r="C23" s="83" t="n">
        <x:v>2023</x:v>
      </x:c>
      <x:c r="D23" s="83" t="str">
        <x:v>Storico 2023</x:v>
      </x:c>
      <x:c r="E23" s="83" t="str">
        <x:v>Nord</x:v>
      </x:c>
      <x:c r="F23" s="83" t="str">
        <x:v>CM</x:v>
      </x:c>
      <x:c r="G23" s="197" t="n">
        <x:v>0</x:v>
      </x:c>
      <x:c r="H23" s="203" t="b">
        <x:v>1</x:v>
      </x:c>
      <x:c r="I23" s="197"/>
      <x:c r="J23" s="197"/>
      <x:c r="K23" s="197" t="str">
        <x:f>IF(AND(G23&lt;&gt;"",J23&lt;&gt;""),G23/J23,"")</x:f>
      </x:c>
      <x:c r="L23" s="197" t="str">
        <x:f>IF(AND(G23&lt;&gt;"",I23&lt;&gt;""),G23/I23,"")</x:f>
      </x:c>
      <x:c r="M23" s="83" t="str">
        <x:v>S09</x:v>
      </x:c>
      <x:c r="N23" s="83" t="str">
        <x:v>Documento di Descrizione degli Scenari 2024</x:v>
      </x:c>
      <x:c r="O23" s="83" t="n">
        <x:v>62</x:v>
      </x:c>
      <x:c r="P23" s="83" t="str">
        <x:v>60-61</x:v>
      </x:c>
      <x:c r="Q23" s="83" t="str">
        <x:v>Tabella 16</x:v>
      </x:c>
      <x:c r="R23" s="83" t="str">
        <x:v>Dato osservato storico nel DDS</x:v>
      </x:c>
      <x:c r="S23" s="83" t="str">
        <x:v>Direct table extraction</x:v>
      </x:c>
      <x:c r="T23" s="83" t="str">
        <x:v>A — Direct</x:v>
      </x:c>
      <x:c r="U23" s="83" t="str">
        <x:v>Energy capacity by zone and class; derive power only where duration is specified.</x:v>
      </x:c>
      <x:c r="V23" s="83" t="str">
        <x:v>Small-scale source classes are 2 or 4 hours; utility-scale is 8 hours. CM duration is not stated.</x:v>
      </x:c>
    </x:row>
    <x:row r="24">
      <x:c r="A24" s="83" t="str">
        <x:v>SZ-020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Nord</x:v>
      </x:c>
      <x:c r="F24" s="83" t="str">
        <x:v>CM</x:v>
      </x:c>
      <x:c r="G24" s="197" t="n">
        <x:v>3.1</x:v>
      </x:c>
      <x:c r="H24" s="203" t="b">
        <x:v>1</x:v>
      </x:c>
      <x:c r="I24" s="197"/>
      <x:c r="J24" s="197"/>
      <x:c r="K24" s="197" t="str">
        <x:f>IF(AND(G24&lt;&gt;"",J24&lt;&gt;""),G24/J24,"")</x:f>
      </x:c>
      <x:c r="L24" s="197" t="str">
        <x:f>IF(AND(G24&lt;&gt;"",I24&lt;&gt;""),G24/I24,"")</x:f>
      </x:c>
      <x:c r="M24" s="83" t="str">
        <x:v>S09</x:v>
      </x:c>
      <x:c r="N24" s="83" t="str">
        <x:v>Documento di Descrizione degli Scenari 2024</x:v>
      </x:c>
      <x:c r="O24" s="83" t="n">
        <x:v>62</x:v>
      </x:c>
      <x:c r="P24" s="83" t="str">
        <x:v>60-61</x:v>
      </x:c>
      <x:c r="Q24" s="83" t="str">
        <x:v>Tabella 16</x:v>
      </x:c>
      <x:c r="R24" s="83" t="str">
        <x:v>Assunzione di scenario</x:v>
      </x:c>
      <x:c r="S24" s="83" t="str">
        <x:v>Direct table extraction</x:v>
      </x:c>
      <x:c r="T24" s="83" t="str">
        <x:v>A — Direct</x:v>
      </x:c>
      <x:c r="U24" s="83" t="str">
        <x:v>Energy capacity by zone and class; derive power only where duration is specified.</x:v>
      </x:c>
      <x:c r="V24" s="83" t="str">
        <x:v>Small-scale source classes are 2 or 4 hours; utility-scale is 8 hours. CM duration is not stated.</x:v>
      </x:c>
    </x:row>
    <x:row r="25">
      <x:c r="A25" s="83" t="str">
        <x:v>SZ-021</x:v>
      </x:c>
      <x:c r="B25" s="83" t="str">
        <x:v>PNIEC_SLOW_2030</x:v>
      </x:c>
      <x:c r="C25" s="83" t="n">
        <x:v>2030</x:v>
      </x:c>
      <x:c r="D25" s="83" t="str">
        <x:v>PNIEC Slow 2030</x:v>
      </x:c>
      <x:c r="E25" s="83" t="str">
        <x:v>Nord</x:v>
      </x:c>
      <x:c r="F25" s="83" t="str">
        <x:v>CM</x:v>
      </x:c>
      <x:c r="G25" s="197" t="n">
        <x:v>3.1</x:v>
      </x:c>
      <x:c r="H25" s="203" t="b">
        <x:v>1</x:v>
      </x:c>
      <x:c r="I25" s="197"/>
      <x:c r="J25" s="197"/>
      <x:c r="K25" s="197" t="str">
        <x:f>IF(AND(G25&lt;&gt;"",J25&lt;&gt;""),G25/J25,"")</x:f>
      </x:c>
      <x:c r="L25" s="197" t="str">
        <x:f>IF(AND(G25&lt;&gt;"",I25&lt;&gt;""),G25/I25,"")</x:f>
      </x:c>
      <x:c r="M25" s="83" t="str">
        <x:v>S09</x:v>
      </x:c>
      <x:c r="N25" s="83" t="str">
        <x:v>Documento di Descrizione degli Scenari 2024</x:v>
      </x:c>
      <x:c r="O25" s="83" t="n">
        <x:v>62</x:v>
      </x:c>
      <x:c r="P25" s="83" t="str">
        <x:v>60-61</x:v>
      </x:c>
      <x:c r="Q25" s="83" t="str">
        <x:v>Tabella 16</x:v>
      </x:c>
      <x:c r="R25" s="83" t="str">
        <x:v>Assunzione di scenario</x:v>
      </x:c>
      <x:c r="S25" s="83" t="str">
        <x:v>Direct table extraction</x:v>
      </x:c>
      <x:c r="T25" s="83" t="str">
        <x:v>A — Direct</x:v>
      </x:c>
      <x:c r="U25" s="83" t="str">
        <x:v>Energy capacity by zone and class; derive power only where duration is specified.</x:v>
      </x:c>
      <x:c r="V25" s="83" t="str">
        <x:v>Small-scale source classes are 2 or 4 hours; utility-scale is 8 hours. CM duration is not stated.</x:v>
      </x:c>
    </x:row>
    <x:row r="26">
      <x:c r="A26" s="83" t="str">
        <x:v>SZ-022</x:v>
      </x:c>
      <x:c r="B26" s="83" t="str">
        <x:v>DE_IT_2035</x:v>
      </x:c>
      <x:c r="C26" s="83" t="n">
        <x:v>2035</x:v>
      </x:c>
      <x:c r="D26" s="83" t="str">
        <x:v>DE-IT 2035</x:v>
      </x:c>
      <x:c r="E26" s="83" t="str">
        <x:v>Nord</x:v>
      </x:c>
      <x:c r="F26" s="83" t="str">
        <x:v>CM</x:v>
      </x:c>
      <x:c r="G26" s="197" t="n">
        <x:v>3.1</x:v>
      </x:c>
      <x:c r="H26" s="203" t="b">
        <x:v>1</x:v>
      </x:c>
      <x:c r="I26" s="197"/>
      <x:c r="J26" s="197"/>
      <x:c r="K26" s="197" t="str">
        <x:f>IF(AND(G26&lt;&gt;"",J26&lt;&gt;""),G26/J26,"")</x:f>
      </x:c>
      <x:c r="L26" s="197" t="str">
        <x:f>IF(AND(G26&lt;&gt;"",I26&lt;&gt;""),G26/I26,"")</x:f>
      </x:c>
      <x:c r="M26" s="83" t="str">
        <x:v>S09</x:v>
      </x:c>
      <x:c r="N26" s="83" t="str">
        <x:v>Documento di Descrizione degli Scenari 2024</x:v>
      </x:c>
      <x:c r="O26" s="83" t="n">
        <x:v>62</x:v>
      </x:c>
      <x:c r="P26" s="83" t="str">
        <x:v>60-61</x:v>
      </x:c>
      <x:c r="Q26" s="83" t="str">
        <x:v>Tabella 16</x:v>
      </x:c>
      <x:c r="R26" s="83" t="str">
        <x:v>Assunzione di scenario</x:v>
      </x:c>
      <x:c r="S26" s="83" t="str">
        <x:v>Direct table extraction</x:v>
      </x:c>
      <x:c r="T26" s="83" t="str">
        <x:v>A — Direct</x:v>
      </x:c>
      <x:c r="U26" s="83" t="str">
        <x:v>Energy capacity by zone and class; derive power only where duration is specified.</x:v>
      </x:c>
      <x:c r="V26" s="83" t="str">
        <x:v>Small-scale source classes are 2 or 4 hours; utility-scale is 8 hours. CM duration is not stated.</x:v>
      </x:c>
    </x:row>
    <x:row r="27">
      <x:c r="A27" s="83" t="str">
        <x:v>SZ-023</x:v>
      </x:c>
      <x:c r="B27" s="83" t="str">
        <x:v>GA_IT_2035</x:v>
      </x:c>
      <x:c r="C27" s="83" t="n">
        <x:v>2035</x:v>
      </x:c>
      <x:c r="D27" s="83" t="str">
        <x:v>GA-IT 2035</x:v>
      </x:c>
      <x:c r="E27" s="83" t="str">
        <x:v>Nord</x:v>
      </x:c>
      <x:c r="F27" s="83" t="str">
        <x:v>CM</x:v>
      </x:c>
      <x:c r="G27" s="197" t="n">
        <x:v>3.1</x:v>
      </x:c>
      <x:c r="H27" s="203" t="b">
        <x:v>1</x:v>
      </x:c>
      <x:c r="I27" s="197"/>
      <x:c r="J27" s="197"/>
      <x:c r="K27" s="197" t="str">
        <x:f>IF(AND(G27&lt;&gt;"",J27&lt;&gt;""),G27/J27,"")</x:f>
      </x:c>
      <x:c r="L27" s="197" t="str">
        <x:f>IF(AND(G27&lt;&gt;"",I27&lt;&gt;""),G27/I27,"")</x:f>
      </x:c>
      <x:c r="M27" s="83" t="str">
        <x:v>S09</x:v>
      </x:c>
      <x:c r="N27" s="83" t="str">
        <x:v>Documento di Descrizione degli Scenari 2024</x:v>
      </x:c>
      <x:c r="O27" s="83" t="n">
        <x:v>62</x:v>
      </x:c>
      <x:c r="P27" s="83" t="str">
        <x:v>60-61</x:v>
      </x:c>
      <x:c r="Q27" s="83" t="str">
        <x:v>Tabella 16</x:v>
      </x:c>
      <x:c r="R27" s="83" t="str">
        <x:v>Assunzione di scenario</x:v>
      </x:c>
      <x:c r="S27" s="83" t="str">
        <x:v>Direct table extraction</x:v>
      </x:c>
      <x:c r="T27" s="83" t="str">
        <x:v>A — Direct</x:v>
      </x:c>
      <x:c r="U27" s="83" t="str">
        <x:v>Energy capacity by zone and class; derive power only where duration is specified.</x:v>
      </x:c>
      <x:c r="V27" s="83" t="str">
        <x:v>Small-scale source classes are 2 or 4 hours; utility-scale is 8 hours. CM duration is not stated.</x:v>
      </x:c>
    </x:row>
    <x:row r="28">
      <x:c r="A28" s="83" t="str">
        <x:v>SZ-024</x:v>
      </x:c>
      <x:c r="B28" s="83" t="str">
        <x:v>PNIEC_SLOW_2035</x:v>
      </x:c>
      <x:c r="C28" s="83" t="n">
        <x:v>2035</x:v>
      </x:c>
      <x:c r="D28" s="83" t="str">
        <x:v>PNIEC Slow 2035</x:v>
      </x:c>
      <x:c r="E28" s="83" t="str">
        <x:v>Nord</x:v>
      </x:c>
      <x:c r="F28" s="83" t="str">
        <x:v>CM</x:v>
      </x:c>
      <x:c r="G28" s="197" t="n">
        <x:v>3.1</x:v>
      </x:c>
      <x:c r="H28" s="203" t="b">
        <x:v>1</x:v>
      </x:c>
      <x:c r="I28" s="197"/>
      <x:c r="J28" s="197"/>
      <x:c r="K28" s="197" t="str">
        <x:f>IF(AND(G28&lt;&gt;"",J28&lt;&gt;""),G28/J28,"")</x:f>
      </x:c>
      <x:c r="L28" s="197" t="str">
        <x:f>IF(AND(G28&lt;&gt;"",I28&lt;&gt;""),G28/I28,"")</x:f>
      </x:c>
      <x:c r="M28" s="83" t="str">
        <x:v>S09</x:v>
      </x:c>
      <x:c r="N28" s="83" t="str">
        <x:v>Documento di Descrizione degli Scenari 2024</x:v>
      </x:c>
      <x:c r="O28" s="83" t="n">
        <x:v>62</x:v>
      </x:c>
      <x:c r="P28" s="83" t="str">
        <x:v>60-61</x:v>
      </x:c>
      <x:c r="Q28" s="83" t="str">
        <x:v>Tabella 16</x:v>
      </x:c>
      <x:c r="R28" s="83" t="str">
        <x:v>Assunzione di scenario</x:v>
      </x:c>
      <x:c r="S28" s="83" t="str">
        <x:v>Direct table extraction</x:v>
      </x:c>
      <x:c r="T28" s="83" t="str">
        <x:v>A — Direct</x:v>
      </x:c>
      <x:c r="U28" s="83" t="str">
        <x:v>Energy capacity by zone and class; derive power only where duration is specified.</x:v>
      </x:c>
      <x:c r="V28" s="83" t="str">
        <x:v>Small-scale source classes are 2 or 4 hours; utility-scale is 8 hours. CM duration is not stated.</x:v>
      </x:c>
    </x:row>
    <x:row r="29">
      <x:c r="A29" s="83" t="str">
        <x:v>SZ-025</x:v>
      </x:c>
      <x:c r="B29" s="83" t="str">
        <x:v>DE_IT_2040</x:v>
      </x:c>
      <x:c r="C29" s="83" t="n">
        <x:v>2040</x:v>
      </x:c>
      <x:c r="D29" s="83" t="str">
        <x:v>DE-IT 2040</x:v>
      </x:c>
      <x:c r="E29" s="83" t="str">
        <x:v>Nord</x:v>
      </x:c>
      <x:c r="F29" s="83" t="str">
        <x:v>CM</x:v>
      </x:c>
      <x:c r="G29" s="197" t="n">
        <x:v>3.1</x:v>
      </x:c>
      <x:c r="H29" s="203" t="b">
        <x:v>1</x:v>
      </x:c>
      <x:c r="I29" s="197"/>
      <x:c r="J29" s="197"/>
      <x:c r="K29" s="197" t="str">
        <x:f>IF(AND(G29&lt;&gt;"",J29&lt;&gt;""),G29/J29,"")</x:f>
      </x:c>
      <x:c r="L29" s="197" t="str">
        <x:f>IF(AND(G29&lt;&gt;"",I29&lt;&gt;""),G29/I29,"")</x:f>
      </x:c>
      <x:c r="M29" s="83" t="str">
        <x:v>S09</x:v>
      </x:c>
      <x:c r="N29" s="83" t="str">
        <x:v>Documento di Descrizione degli Scenari 2024</x:v>
      </x:c>
      <x:c r="O29" s="83" t="n">
        <x:v>62</x:v>
      </x:c>
      <x:c r="P29" s="83" t="str">
        <x:v>60-61</x:v>
      </x:c>
      <x:c r="Q29" s="83" t="str">
        <x:v>Tabella 16</x:v>
      </x:c>
      <x:c r="R29" s="83" t="str">
        <x:v>Assunzione di scenario</x:v>
      </x:c>
      <x:c r="S29" s="83" t="str">
        <x:v>Direct table extraction</x:v>
      </x:c>
      <x:c r="T29" s="83" t="str">
        <x:v>A — Direct</x:v>
      </x:c>
      <x:c r="U29" s="83" t="str">
        <x:v>Energy capacity by zone and class; derive power only where duration is specified.</x:v>
      </x:c>
      <x:c r="V29" s="83" t="str">
        <x:v>Small-scale source classes are 2 or 4 hours; utility-scale is 8 hours. CM duration is not stated.</x:v>
      </x:c>
    </x:row>
    <x:row r="30">
      <x:c r="A30" s="83" t="str">
        <x:v>SZ-026</x:v>
      </x:c>
      <x:c r="B30" s="83" t="str">
        <x:v>GA_IT_2040</x:v>
      </x:c>
      <x:c r="C30" s="83" t="n">
        <x:v>2040</x:v>
      </x:c>
      <x:c r="D30" s="83" t="str">
        <x:v>GA-IT 2040</x:v>
      </x:c>
      <x:c r="E30" s="83" t="str">
        <x:v>Nord</x:v>
      </x:c>
      <x:c r="F30" s="83" t="str">
        <x:v>CM</x:v>
      </x:c>
      <x:c r="G30" s="197" t="n">
        <x:v>3.1</x:v>
      </x:c>
      <x:c r="H30" s="203" t="b">
        <x:v>1</x:v>
      </x:c>
      <x:c r="I30" s="197"/>
      <x:c r="J30" s="197"/>
      <x:c r="K30" s="197" t="str">
        <x:f>IF(AND(G30&lt;&gt;"",J30&lt;&gt;""),G30/J30,"")</x:f>
      </x:c>
      <x:c r="L30" s="197" t="str">
        <x:f>IF(AND(G30&lt;&gt;"",I30&lt;&gt;""),G30/I30,"")</x:f>
      </x:c>
      <x:c r="M30" s="83" t="str">
        <x:v>S09</x:v>
      </x:c>
      <x:c r="N30" s="83" t="str">
        <x:v>Documento di Descrizione degli Scenari 2024</x:v>
      </x:c>
      <x:c r="O30" s="83" t="n">
        <x:v>62</x:v>
      </x:c>
      <x:c r="P30" s="83" t="str">
        <x:v>60-61</x:v>
      </x:c>
      <x:c r="Q30" s="83" t="str">
        <x:v>Tabella 16</x:v>
      </x:c>
      <x:c r="R30" s="83" t="str">
        <x:v>Assunzione di scenario</x:v>
      </x:c>
      <x:c r="S30" s="83" t="str">
        <x:v>Direct table extraction</x:v>
      </x:c>
      <x:c r="T30" s="83" t="str">
        <x:v>A — Direct</x:v>
      </x:c>
      <x:c r="U30" s="83" t="str">
        <x:v>Energy capacity by zone and class; derive power only where duration is specified.</x:v>
      </x:c>
      <x:c r="V30" s="83" t="str">
        <x:v>Small-scale source classes are 2 or 4 hours; utility-scale is 8 hours. CM duration is not stated.</x:v>
      </x:c>
    </x:row>
    <x:row r="31">
      <x:c r="A31" s="83" t="str">
        <x:v>SZ-027</x:v>
      </x:c>
      <x:c r="B31" s="83" t="str">
        <x:v>PNIEC_SLOW_2040</x:v>
      </x:c>
      <x:c r="C31" s="83" t="n">
        <x:v>2040</x:v>
      </x:c>
      <x:c r="D31" s="83" t="str">
        <x:v>PNIEC Slow 2040</x:v>
      </x:c>
      <x:c r="E31" s="83" t="str">
        <x:v>Nord</x:v>
      </x:c>
      <x:c r="F31" s="83" t="str">
        <x:v>CM</x:v>
      </x:c>
      <x:c r="G31" s="197" t="n">
        <x:v>3.1</x:v>
      </x:c>
      <x:c r="H31" s="203" t="b">
        <x:v>1</x:v>
      </x:c>
      <x:c r="I31" s="197"/>
      <x:c r="J31" s="197"/>
      <x:c r="K31" s="197" t="str">
        <x:f>IF(AND(G31&lt;&gt;"",J31&lt;&gt;""),G31/J31,"")</x:f>
      </x:c>
      <x:c r="L31" s="197" t="str">
        <x:f>IF(AND(G31&lt;&gt;"",I31&lt;&gt;""),G31/I31,"")</x:f>
      </x:c>
      <x:c r="M31" s="83" t="str">
        <x:v>S09</x:v>
      </x:c>
      <x:c r="N31" s="83" t="str">
        <x:v>Documento di Descrizione degli Scenari 2024</x:v>
      </x:c>
      <x:c r="O31" s="83" t="n">
        <x:v>62</x:v>
      </x:c>
      <x:c r="P31" s="83" t="str">
        <x:v>60-61</x:v>
      </x:c>
      <x:c r="Q31" s="83" t="str">
        <x:v>Tabella 16</x:v>
      </x:c>
      <x:c r="R31" s="83" t="str">
        <x:v>Assunzione di scenario</x:v>
      </x:c>
      <x:c r="S31" s="83" t="str">
        <x:v>Direct table extraction</x:v>
      </x:c>
      <x:c r="T31" s="83" t="str">
        <x:v>A — Direct</x:v>
      </x:c>
      <x:c r="U31" s="83" t="str">
        <x:v>Energy capacity by zone and class; derive power only where duration is specified.</x:v>
      </x:c>
      <x:c r="V31" s="83" t="str">
        <x:v>Small-scale source classes are 2 or 4 hours; utility-scale is 8 hours. CM duration is not stated.</x:v>
      </x:c>
    </x:row>
    <x:row r="32">
      <x:c r="A32" s="83" t="str">
        <x:v>SZ-028</x:v>
      </x:c>
      <x:c r="B32" s="83" t="str">
        <x:v>HIST_2023</x:v>
      </x:c>
      <x:c r="C32" s="83" t="n">
        <x:v>2023</x:v>
      </x:c>
      <x:c r="D32" s="83" t="str">
        <x:v>Storico 2023</x:v>
      </x:c>
      <x:c r="E32" s="83" t="str">
        <x:v>Nord</x:v>
      </x:c>
      <x:c r="F32" s="83" t="str">
        <x:v>Totale</x:v>
      </x:c>
      <x:c r="G32" s="197" t="n">
        <x:v>3.8</x:v>
      </x:c>
      <x:c r="H32" s="203" t="b">
        <x:v>1</x:v>
      </x:c>
      <x:c r="I32" s="197"/>
      <x:c r="J32" s="197"/>
      <x:c r="K32" s="197" t="str">
        <x:f>IF(AND(G32&lt;&gt;"",J32&lt;&gt;""),G32/J32,"")</x:f>
      </x:c>
      <x:c r="L32" s="197" t="str">
        <x:f>IF(AND(G32&lt;&gt;"",I32&lt;&gt;""),G32/I32,"")</x:f>
      </x:c>
      <x:c r="M32" s="83" t="str">
        <x:v>S09</x:v>
      </x:c>
      <x:c r="N32" s="83" t="str">
        <x:v>Documento di Descrizione degli Scenari 2024</x:v>
      </x:c>
      <x:c r="O32" s="83" t="n">
        <x:v>62</x:v>
      </x:c>
      <x:c r="P32" s="83" t="str">
        <x:v>60-61</x:v>
      </x:c>
      <x:c r="Q32" s="83" t="str">
        <x:v>Tabella 16</x:v>
      </x:c>
      <x:c r="R32" s="83" t="str">
        <x:v>Dato osservato storico nel DDS</x:v>
      </x:c>
      <x:c r="S32" s="83" t="str">
        <x:v>Direct table extraction</x:v>
      </x:c>
      <x:c r="T32" s="83" t="str">
        <x:v>A — Direct</x:v>
      </x:c>
      <x:c r="U32" s="83" t="str">
        <x:v>Energy capacity by zone and class; derive power only where duration is specified.</x:v>
      </x:c>
      <x:c r="V32" s="83" t="str">
        <x:v>Small-scale source classes are 2 or 4 hours; utility-scale is 8 hours. CM duration is not stated.</x:v>
      </x:c>
    </x:row>
    <x:row r="33">
      <x:c r="A33" s="83" t="str">
        <x:v>SZ-029</x:v>
      </x:c>
      <x:c r="B33" s="83" t="str">
        <x:v>PNIEC_POLICY_2030</x:v>
      </x:c>
      <x:c r="C33" s="83" t="n">
        <x:v>2030</x:v>
      </x:c>
      <x:c r="D33" s="83" t="str">
        <x:v>PNIEC Policy 2030</x:v>
      </x:c>
      <x:c r="E33" s="83" t="str">
        <x:v>Nord</x:v>
      </x:c>
      <x:c r="F33" s="83" t="str">
        <x:v>Totale</x:v>
      </x:c>
      <x:c r="G33" s="197" t="n">
        <x:v>11.4</x:v>
      </x:c>
      <x:c r="H33" s="203" t="b">
        <x:v>1</x:v>
      </x:c>
      <x:c r="I33" s="197"/>
      <x:c r="J33" s="197"/>
      <x:c r="K33" s="197" t="str">
        <x:f>IF(AND(G33&lt;&gt;"",J33&lt;&gt;""),G33/J33,"")</x:f>
      </x:c>
      <x:c r="L33" s="197" t="str">
        <x:f>IF(AND(G33&lt;&gt;"",I33&lt;&gt;""),G33/I33,"")</x:f>
      </x:c>
      <x:c r="M33" s="83" t="str">
        <x:v>S09</x:v>
      </x:c>
      <x:c r="N33" s="83" t="str">
        <x:v>Documento di Descrizione degli Scenari 2024</x:v>
      </x:c>
      <x:c r="O33" s="83" t="n">
        <x:v>62</x:v>
      </x:c>
      <x:c r="P33" s="83" t="str">
        <x:v>60-61</x:v>
      </x:c>
      <x:c r="Q33" s="83" t="str">
        <x:v>Tabella 16</x:v>
      </x:c>
      <x:c r="R33" s="83" t="str">
        <x:v>Assunzione di scenario</x:v>
      </x:c>
      <x:c r="S33" s="83" t="str">
        <x:v>Direct table extraction</x:v>
      </x:c>
      <x:c r="T33" s="83" t="str">
        <x:v>A — Direct</x:v>
      </x:c>
      <x:c r="U33" s="83" t="str">
        <x:v>Energy capacity by zone and class; derive power only where duration is specified.</x:v>
      </x:c>
      <x:c r="V33" s="83" t="str">
        <x:v>Small-scale source classes are 2 or 4 hours; utility-scale is 8 hours. CM duration is not stated.</x:v>
      </x:c>
    </x:row>
    <x:row r="34">
      <x:c r="A34" s="83" t="str">
        <x:v>SZ-030</x:v>
      </x:c>
      <x:c r="B34" s="83" t="str">
        <x:v>PNIEC_SLOW_2030</x:v>
      </x:c>
      <x:c r="C34" s="83" t="n">
        <x:v>2030</x:v>
      </x:c>
      <x:c r="D34" s="83" t="str">
        <x:v>PNIEC Slow 2030</x:v>
      </x:c>
      <x:c r="E34" s="83" t="str">
        <x:v>Nord</x:v>
      </x:c>
      <x:c r="F34" s="83" t="str">
        <x:v>Totale</x:v>
      </x:c>
      <x:c r="G34" s="197" t="n">
        <x:v>10.7</x:v>
      </x:c>
      <x:c r="H34" s="203" t="b">
        <x:v>1</x:v>
      </x:c>
      <x:c r="I34" s="197"/>
      <x:c r="J34" s="197"/>
      <x:c r="K34" s="197" t="str">
        <x:f>IF(AND(G34&lt;&gt;"",J34&lt;&gt;""),G34/J34,"")</x:f>
      </x:c>
      <x:c r="L34" s="197" t="str">
        <x:f>IF(AND(G34&lt;&gt;"",I34&lt;&gt;""),G34/I34,"")</x:f>
      </x:c>
      <x:c r="M34" s="83" t="str">
        <x:v>S09</x:v>
      </x:c>
      <x:c r="N34" s="83" t="str">
        <x:v>Documento di Descrizione degli Scenari 2024</x:v>
      </x:c>
      <x:c r="O34" s="83" t="n">
        <x:v>62</x:v>
      </x:c>
      <x:c r="P34" s="83" t="str">
        <x:v>60-61</x:v>
      </x:c>
      <x:c r="Q34" s="83" t="str">
        <x:v>Tabella 16</x:v>
      </x:c>
      <x:c r="R34" s="83" t="str">
        <x:v>Assunzione di scenario</x:v>
      </x:c>
      <x:c r="S34" s="83" t="str">
        <x:v>Direct table extraction</x:v>
      </x:c>
      <x:c r="T34" s="83" t="str">
        <x:v>A — Direct</x:v>
      </x:c>
      <x:c r="U34" s="83" t="str">
        <x:v>Energy capacity by zone and class; derive power only where duration is specified.</x:v>
      </x:c>
      <x:c r="V34" s="83" t="str">
        <x:v>Small-scale source classes are 2 or 4 hours; utility-scale is 8 hours. CM duration is not stated.</x:v>
      </x:c>
    </x:row>
    <x:row r="35">
      <x:c r="A35" s="83" t="str">
        <x:v>SZ-031</x:v>
      </x:c>
      <x:c r="B35" s="83" t="str">
        <x:v>DE_IT_2035</x:v>
      </x:c>
      <x:c r="C35" s="83" t="n">
        <x:v>2035</x:v>
      </x:c>
      <x:c r="D35" s="83" t="str">
        <x:v>DE-IT 2035</x:v>
      </x:c>
      <x:c r="E35" s="83" t="str">
        <x:v>Nord</x:v>
      </x:c>
      <x:c r="F35" s="83" t="str">
        <x:v>Totale</x:v>
      </x:c>
      <x:c r="G35" s="197" t="n">
        <x:v>12.9</x:v>
      </x:c>
      <x:c r="H35" s="203" t="b">
        <x:v>1</x:v>
      </x:c>
      <x:c r="I35" s="197"/>
      <x:c r="J35" s="197"/>
      <x:c r="K35" s="197" t="str">
        <x:f>IF(AND(G35&lt;&gt;"",J35&lt;&gt;""),G35/J35,"")</x:f>
      </x:c>
      <x:c r="L35" s="197" t="str">
        <x:f>IF(AND(G35&lt;&gt;"",I35&lt;&gt;""),G35/I35,"")</x:f>
      </x:c>
      <x:c r="M35" s="83" t="str">
        <x:v>S09</x:v>
      </x:c>
      <x:c r="N35" s="83" t="str">
        <x:v>Documento di Descrizione degli Scenari 2024</x:v>
      </x:c>
      <x:c r="O35" s="83" t="n">
        <x:v>62</x:v>
      </x:c>
      <x:c r="P35" s="83" t="str">
        <x:v>60-61</x:v>
      </x:c>
      <x:c r="Q35" s="83" t="str">
        <x:v>Tabella 16</x:v>
      </x:c>
      <x:c r="R35" s="83" t="str">
        <x:v>Assunzione di scenario</x:v>
      </x:c>
      <x:c r="S35" s="83" t="str">
        <x:v>Direct table extraction</x:v>
      </x:c>
      <x:c r="T35" s="83" t="str">
        <x:v>A — Direct</x:v>
      </x:c>
      <x:c r="U35" s="83" t="str">
        <x:v>Energy capacity by zone and class; derive power only where duration is specified.</x:v>
      </x:c>
      <x:c r="V35" s="83" t="str">
        <x:v>Small-scale source classes are 2 or 4 hours; utility-scale is 8 hours. CM duration is not stated.</x:v>
      </x:c>
    </x:row>
    <x:row r="36">
      <x:c r="A36" s="83" t="str">
        <x:v>SZ-032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Nord</x:v>
      </x:c>
      <x:c r="F36" s="83" t="str">
        <x:v>Totale</x:v>
      </x:c>
      <x:c r="G36" s="197" t="n">
        <x:v>12.2</x:v>
      </x:c>
      <x:c r="H36" s="203" t="b">
        <x:v>1</x:v>
      </x:c>
      <x:c r="I36" s="197"/>
      <x:c r="J36" s="197"/>
      <x:c r="K36" s="197" t="str">
        <x:f>IF(AND(G36&lt;&gt;"",J36&lt;&gt;""),G36/J36,"")</x:f>
      </x:c>
      <x:c r="L36" s="197" t="str">
        <x:f>IF(AND(G36&lt;&gt;"",I36&lt;&gt;""),G36/I36,"")</x:f>
      </x:c>
      <x:c r="M36" s="83" t="str">
        <x:v>S09</x:v>
      </x:c>
      <x:c r="N36" s="83" t="str">
        <x:v>Documento di Descrizione degli Scenari 2024</x:v>
      </x:c>
      <x:c r="O36" s="83" t="n">
        <x:v>62</x:v>
      </x:c>
      <x:c r="P36" s="83" t="str">
        <x:v>60-61</x:v>
      </x:c>
      <x:c r="Q36" s="83" t="str">
        <x:v>Tabella 16</x:v>
      </x:c>
      <x:c r="R36" s="83" t="str">
        <x:v>Assunzione di scenario</x:v>
      </x:c>
      <x:c r="S36" s="83" t="str">
        <x:v>Direct table extraction</x:v>
      </x:c>
      <x:c r="T36" s="83" t="str">
        <x:v>A — Direct</x:v>
      </x:c>
      <x:c r="U36" s="83" t="str">
        <x:v>Energy capacity by zone and class; derive power only where duration is specified.</x:v>
      </x:c>
      <x:c r="V36" s="83" t="str">
        <x:v>Small-scale source classes are 2 or 4 hours; utility-scale is 8 hours. CM duration is not stated.</x:v>
      </x:c>
    </x:row>
    <x:row r="37">
      <x:c r="A37" s="83" t="str">
        <x:v>SZ-033</x:v>
      </x:c>
      <x:c r="B37" s="83" t="str">
        <x:v>PNIEC_SLOW_2035</x:v>
      </x:c>
      <x:c r="C37" s="83" t="n">
        <x:v>2035</x:v>
      </x:c>
      <x:c r="D37" s="83" t="str">
        <x:v>PNIEC Slow 2035</x:v>
      </x:c>
      <x:c r="E37" s="83" t="str">
        <x:v>Nord</x:v>
      </x:c>
      <x:c r="F37" s="83" t="str">
        <x:v>Totale</x:v>
      </x:c>
      <x:c r="G37" s="197" t="n">
        <x:v>12.2</x:v>
      </x:c>
      <x:c r="H37" s="203" t="b">
        <x:v>1</x:v>
      </x:c>
      <x:c r="I37" s="197"/>
      <x:c r="J37" s="197"/>
      <x:c r="K37" s="197" t="str">
        <x:f>IF(AND(G37&lt;&gt;"",J37&lt;&gt;""),G37/J37,"")</x:f>
      </x:c>
      <x:c r="L37" s="197" t="str">
        <x:f>IF(AND(G37&lt;&gt;"",I37&lt;&gt;""),G37/I37,"")</x:f>
      </x:c>
      <x:c r="M37" s="83" t="str">
        <x:v>S09</x:v>
      </x:c>
      <x:c r="N37" s="83" t="str">
        <x:v>Documento di Descrizione degli Scenari 2024</x:v>
      </x:c>
      <x:c r="O37" s="83" t="n">
        <x:v>62</x:v>
      </x:c>
      <x:c r="P37" s="83" t="str">
        <x:v>60-61</x:v>
      </x:c>
      <x:c r="Q37" s="83" t="str">
        <x:v>Tabella 16</x:v>
      </x:c>
      <x:c r="R37" s="83" t="str">
        <x:v>Assunzione di scenario</x:v>
      </x:c>
      <x:c r="S37" s="83" t="str">
        <x:v>Direct table extraction</x:v>
      </x:c>
      <x:c r="T37" s="83" t="str">
        <x:v>A — Direct</x:v>
      </x:c>
      <x:c r="U37" s="83" t="str">
        <x:v>Energy capacity by zone and class; derive power only where duration is specified.</x:v>
      </x:c>
      <x:c r="V37" s="83" t="str">
        <x:v>Small-scale source classes are 2 or 4 hours; utility-scale is 8 hours. CM duration is not stated.</x:v>
      </x:c>
    </x:row>
    <x:row r="38">
      <x:c r="A38" s="83" t="str">
        <x:v>SZ-034</x:v>
      </x:c>
      <x:c r="B38" s="83" t="str">
        <x:v>DE_IT_2040</x:v>
      </x:c>
      <x:c r="C38" s="83" t="n">
        <x:v>2040</x:v>
      </x:c>
      <x:c r="D38" s="83" t="str">
        <x:v>DE-IT 2040</x:v>
      </x:c>
      <x:c r="E38" s="83" t="str">
        <x:v>Nord</x:v>
      </x:c>
      <x:c r="F38" s="83" t="str">
        <x:v>Totale</x:v>
      </x:c>
      <x:c r="G38" s="197" t="n">
        <x:v>14.5</x:v>
      </x:c>
      <x:c r="H38" s="203" t="b">
        <x:v>1</x:v>
      </x:c>
      <x:c r="I38" s="197"/>
      <x:c r="J38" s="197"/>
      <x:c r="K38" s="197" t="str">
        <x:f>IF(AND(G38&lt;&gt;"",J38&lt;&gt;""),G38/J38,"")</x:f>
      </x:c>
      <x:c r="L38" s="197" t="str">
        <x:f>IF(AND(G38&lt;&gt;"",I38&lt;&gt;""),G38/I38,"")</x:f>
      </x:c>
      <x:c r="M38" s="83" t="str">
        <x:v>S09</x:v>
      </x:c>
      <x:c r="N38" s="83" t="str">
        <x:v>Documento di Descrizione degli Scenari 2024</x:v>
      </x:c>
      <x:c r="O38" s="83" t="n">
        <x:v>62</x:v>
      </x:c>
      <x:c r="P38" s="83" t="str">
        <x:v>60-61</x:v>
      </x:c>
      <x:c r="Q38" s="83" t="str">
        <x:v>Tabella 16</x:v>
      </x:c>
      <x:c r="R38" s="83" t="str">
        <x:v>Assunzione di scenario</x:v>
      </x:c>
      <x:c r="S38" s="83" t="str">
        <x:v>Direct table extraction</x:v>
      </x:c>
      <x:c r="T38" s="83" t="str">
        <x:v>A — Direct</x:v>
      </x:c>
      <x:c r="U38" s="83" t="str">
        <x:v>Energy capacity by zone and class; derive power only where duration is specified.</x:v>
      </x:c>
      <x:c r="V38" s="83" t="str">
        <x:v>Small-scale source classes are 2 or 4 hours; utility-scale is 8 hours. CM duration is not stated.</x:v>
      </x:c>
    </x:row>
    <x:row r="39">
      <x:c r="A39" s="83" t="str">
        <x:v>SZ-035</x:v>
      </x:c>
      <x:c r="B39" s="83" t="str">
        <x:v>GA_IT_2040</x:v>
      </x:c>
      <x:c r="C39" s="83" t="n">
        <x:v>2040</x:v>
      </x:c>
      <x:c r="D39" s="83" t="str">
        <x:v>GA-IT 2040</x:v>
      </x:c>
      <x:c r="E39" s="83" t="str">
        <x:v>Nord</x:v>
      </x:c>
      <x:c r="F39" s="83" t="str">
        <x:v>Totale</x:v>
      </x:c>
      <x:c r="G39" s="197" t="n">
        <x:v>13.6</x:v>
      </x:c>
      <x:c r="H39" s="203" t="b">
        <x:v>1</x:v>
      </x:c>
      <x:c r="I39" s="197"/>
      <x:c r="J39" s="197"/>
      <x:c r="K39" s="197" t="str">
        <x:f>IF(AND(G39&lt;&gt;"",J39&lt;&gt;""),G39/J39,"")</x:f>
      </x:c>
      <x:c r="L39" s="197" t="str">
        <x:f>IF(AND(G39&lt;&gt;"",I39&lt;&gt;""),G39/I39,"")</x:f>
      </x:c>
      <x:c r="M39" s="83" t="str">
        <x:v>S09</x:v>
      </x:c>
      <x:c r="N39" s="83" t="str">
        <x:v>Documento di Descrizione degli Scenari 2024</x:v>
      </x:c>
      <x:c r="O39" s="83" t="n">
        <x:v>62</x:v>
      </x:c>
      <x:c r="P39" s="83" t="str">
        <x:v>60-61</x:v>
      </x:c>
      <x:c r="Q39" s="83" t="str">
        <x:v>Tabella 16</x:v>
      </x:c>
      <x:c r="R39" s="83" t="str">
        <x:v>Assunzione di scenario</x:v>
      </x:c>
      <x:c r="S39" s="83" t="str">
        <x:v>Direct table extraction</x:v>
      </x:c>
      <x:c r="T39" s="83" t="str">
        <x:v>A — Direct</x:v>
      </x:c>
      <x:c r="U39" s="83" t="str">
        <x:v>Energy capacity by zone and class; derive power only where duration is specified.</x:v>
      </x:c>
      <x:c r="V39" s="83" t="str">
        <x:v>Small-scale source classes are 2 or 4 hours; utility-scale is 8 hours. CM duration is not stated.</x:v>
      </x:c>
    </x:row>
    <x:row r="40">
      <x:c r="A40" s="83" t="str">
        <x:v>SZ-036</x:v>
      </x:c>
      <x:c r="B40" s="83" t="str">
        <x:v>PNIEC_SLOW_2040</x:v>
      </x:c>
      <x:c r="C40" s="83" t="n">
        <x:v>2040</x:v>
      </x:c>
      <x:c r="D40" s="83" t="str">
        <x:v>PNIEC Slow 2040</x:v>
      </x:c>
      <x:c r="E40" s="83" t="str">
        <x:v>Nord</x:v>
      </x:c>
      <x:c r="F40" s="83" t="str">
        <x:v>Totale</x:v>
      </x:c>
      <x:c r="G40" s="197" t="n">
        <x:v>13.6</x:v>
      </x:c>
      <x:c r="H40" s="203" t="b">
        <x:v>1</x:v>
      </x:c>
      <x:c r="I40" s="197"/>
      <x:c r="J40" s="197"/>
      <x:c r="K40" s="197" t="str">
        <x:f>IF(AND(G40&lt;&gt;"",J40&lt;&gt;""),G40/J40,"")</x:f>
      </x:c>
      <x:c r="L40" s="197" t="str">
        <x:f>IF(AND(G40&lt;&gt;"",I40&lt;&gt;""),G40/I40,"")</x:f>
      </x:c>
      <x:c r="M40" s="83" t="str">
        <x:v>S09</x:v>
      </x:c>
      <x:c r="N40" s="83" t="str">
        <x:v>Documento di Descrizione degli Scenari 2024</x:v>
      </x:c>
      <x:c r="O40" s="83" t="n">
        <x:v>62</x:v>
      </x:c>
      <x:c r="P40" s="83" t="str">
        <x:v>60-61</x:v>
      </x:c>
      <x:c r="Q40" s="83" t="str">
        <x:v>Tabella 16</x:v>
      </x:c>
      <x:c r="R40" s="83" t="str">
        <x:v>Assunzione di scenario</x:v>
      </x:c>
      <x:c r="S40" s="83" t="str">
        <x:v>Direct table extraction</x:v>
      </x:c>
      <x:c r="T40" s="83" t="str">
        <x:v>A — Direct</x:v>
      </x:c>
      <x:c r="U40" s="83" t="str">
        <x:v>Energy capacity by zone and class; derive power only where duration is specified.</x:v>
      </x:c>
      <x:c r="V40" s="83" t="str">
        <x:v>Small-scale source classes are 2 or 4 hours; utility-scale is 8 hours. CM duration is not stated.</x:v>
      </x:c>
    </x:row>
    <x:row r="41">
      <x:c r="A41" s="83" t="str">
        <x:v>SZ-037</x:v>
      </x:c>
      <x:c r="B41" s="83" t="str">
        <x:v>HIST_2023</x:v>
      </x:c>
      <x:c r="C41" s="83" t="n">
        <x:v>2023</x:v>
      </x:c>
      <x:c r="D41" s="83" t="str">
        <x:v>Storico 2023</x:v>
      </x:c>
      <x:c r="E41" s="83" t="str">
        <x:v>Centro Nord</x:v>
      </x:c>
      <x:c r="F41" s="83" t="str">
        <x:v>Small Scale</x:v>
      </x:c>
      <x:c r="G41" s="197" t="n">
        <x:v>0.6</x:v>
      </x:c>
      <x:c r="H41" s="203" t="b">
        <x:v>1</x:v>
      </x:c>
      <x:c r="I41" s="197" t="n">
        <x:v>2</x:v>
      </x:c>
      <x:c r="J41" s="197" t="n">
        <x:v>4</x:v>
      </x:c>
      <x:c r="K41" s="197" t="n">
        <x:f>IF(AND(G41&lt;&gt;"",J41&lt;&gt;""),G41/J41,"")</x:f>
        <x:v>0.15</x:v>
      </x:c>
      <x:c r="L41" s="197" t="n">
        <x:f>IF(AND(G41&lt;&gt;"",I41&lt;&gt;""),G41/I41,"")</x:f>
        <x:v>0.3</x:v>
      </x:c>
      <x:c r="M41" s="83" t="str">
        <x:v>S09</x:v>
      </x:c>
      <x:c r="N41" s="83" t="str">
        <x:v>Documento di Descrizione degli Scenari 2024</x:v>
      </x:c>
      <x:c r="O41" s="83" t="n">
        <x:v>62</x:v>
      </x:c>
      <x:c r="P41" s="83" t="str">
        <x:v>60-61</x:v>
      </x:c>
      <x:c r="Q41" s="83" t="str">
        <x:v>Tabella 16</x:v>
      </x:c>
      <x:c r="R41" s="83" t="str">
        <x:v>Dato osservato storico nel DDS</x:v>
      </x:c>
      <x:c r="S41" s="83" t="str">
        <x:v>Direct table extraction</x:v>
      </x:c>
      <x:c r="T41" s="83" t="str">
        <x:v>A — Direct</x:v>
      </x:c>
      <x:c r="U41" s="83" t="str">
        <x:v>Energy capacity by zone and class; derive power only where duration is specified.</x:v>
      </x:c>
      <x:c r="V41" s="83" t="str">
        <x:v>Small-scale source classes are 2 or 4 hours; utility-scale is 8 hours. CM duration is not stated.</x:v>
      </x:c>
    </x:row>
    <x:row r="42">
      <x:c r="A42" s="83" t="str">
        <x:v>SZ-038</x:v>
      </x:c>
      <x:c r="B42" s="83" t="str">
        <x:v>PNIEC_POLICY_2030</x:v>
      </x:c>
      <x:c r="C42" s="83" t="n">
        <x:v>2030</x:v>
      </x:c>
      <x:c r="D42" s="83" t="str">
        <x:v>PNIEC Policy 2030</x:v>
      </x:c>
      <x:c r="E42" s="83" t="str">
        <x:v>Centro Nord</x:v>
      </x:c>
      <x:c r="F42" s="83" t="str">
        <x:v>Small Scale</x:v>
      </x:c>
      <x:c r="G42" s="197" t="n">
        <x:v>1.2</x:v>
      </x:c>
      <x:c r="H42" s="203" t="b">
        <x:v>1</x:v>
      </x:c>
      <x:c r="I42" s="197" t="n">
        <x:v>2</x:v>
      </x:c>
      <x:c r="J42" s="197" t="n">
        <x:v>4</x:v>
      </x:c>
      <x:c r="K42" s="197" t="n">
        <x:f>IF(AND(G42&lt;&gt;"",J42&lt;&gt;""),G42/J42,"")</x:f>
        <x:v>0.3</x:v>
      </x:c>
      <x:c r="L42" s="197" t="n">
        <x:f>IF(AND(G42&lt;&gt;"",I42&lt;&gt;""),G42/I42,"")</x:f>
        <x:v>0.6</x:v>
      </x:c>
      <x:c r="M42" s="83" t="str">
        <x:v>S09</x:v>
      </x:c>
      <x:c r="N42" s="83" t="str">
        <x:v>Documento di Descrizione degli Scenari 2024</x:v>
      </x:c>
      <x:c r="O42" s="83" t="n">
        <x:v>62</x:v>
      </x:c>
      <x:c r="P42" s="83" t="str">
        <x:v>60-61</x:v>
      </x:c>
      <x:c r="Q42" s="83" t="str">
        <x:v>Tabella 16</x:v>
      </x:c>
      <x:c r="R42" s="83" t="str">
        <x:v>Assunzione di scenario</x:v>
      </x:c>
      <x:c r="S42" s="83" t="str">
        <x:v>Direct table extraction</x:v>
      </x:c>
      <x:c r="T42" s="83" t="str">
        <x:v>A — Direct</x:v>
      </x:c>
      <x:c r="U42" s="83" t="str">
        <x:v>Energy capacity by zone and class; derive power only where duration is specified.</x:v>
      </x:c>
      <x:c r="V42" s="83" t="str">
        <x:v>Small-scale source classes are 2 or 4 hours; utility-scale is 8 hours. CM duration is not stated.</x:v>
      </x:c>
    </x:row>
    <x:row r="43">
      <x:c r="A43" s="83" t="str">
        <x:v>SZ-039</x:v>
      </x:c>
      <x:c r="B43" s="83" t="str">
        <x:v>PNIEC_SLOW_2030</x:v>
      </x:c>
      <x:c r="C43" s="83" t="n">
        <x:v>2030</x:v>
      </x:c>
      <x:c r="D43" s="83" t="str">
        <x:v>PNIEC Slow 2030</x:v>
      </x:c>
      <x:c r="E43" s="83" t="str">
        <x:v>Centro Nord</x:v>
      </x:c>
      <x:c r="F43" s="83" t="str">
        <x:v>Small Scale</x:v>
      </x:c>
      <x:c r="G43" s="197" t="n">
        <x:v>1.3</x:v>
      </x:c>
      <x:c r="H43" s="203" t="b">
        <x:v>1</x:v>
      </x:c>
      <x:c r="I43" s="197" t="n">
        <x:v>2</x:v>
      </x:c>
      <x:c r="J43" s="197" t="n">
        <x:v>4</x:v>
      </x:c>
      <x:c r="K43" s="197" t="n">
        <x:f>IF(AND(G43&lt;&gt;"",J43&lt;&gt;""),G43/J43,"")</x:f>
        <x:v>0.325</x:v>
      </x:c>
      <x:c r="L43" s="197" t="n">
        <x:f>IF(AND(G43&lt;&gt;"",I43&lt;&gt;""),G43/I43,"")</x:f>
        <x:v>0.65</x:v>
      </x:c>
      <x:c r="M43" s="83" t="str">
        <x:v>S09</x:v>
      </x:c>
      <x:c r="N43" s="83" t="str">
        <x:v>Documento di Descrizione degli Scenari 2024</x:v>
      </x:c>
      <x:c r="O43" s="83" t="n">
        <x:v>62</x:v>
      </x:c>
      <x:c r="P43" s="83" t="str">
        <x:v>60-61</x:v>
      </x:c>
      <x:c r="Q43" s="83" t="str">
        <x:v>Tabella 16</x:v>
      </x:c>
      <x:c r="R43" s="83" t="str">
        <x:v>Assunzione di scenario</x:v>
      </x:c>
      <x:c r="S43" s="83" t="str">
        <x:v>Direct table extraction</x:v>
      </x:c>
      <x:c r="T43" s="83" t="str">
        <x:v>A — Direct</x:v>
      </x:c>
      <x:c r="U43" s="83" t="str">
        <x:v>Energy capacity by zone and class; derive power only where duration is specified.</x:v>
      </x:c>
      <x:c r="V43" s="83" t="str">
        <x:v>Small-scale source classes are 2 or 4 hours; utility-scale is 8 hours. CM duration is not stated.</x:v>
      </x:c>
    </x:row>
    <x:row r="44">
      <x:c r="A44" s="83" t="str">
        <x:v>SZ-040</x:v>
      </x:c>
      <x:c r="B44" s="83" t="str">
        <x:v>DE_IT_2035</x:v>
      </x:c>
      <x:c r="C44" s="83" t="n">
        <x:v>2035</x:v>
      </x:c>
      <x:c r="D44" s="83" t="str">
        <x:v>DE-IT 2035</x:v>
      </x:c>
      <x:c r="E44" s="83" t="str">
        <x:v>Centro Nord</x:v>
      </x:c>
      <x:c r="F44" s="83" t="str">
        <x:v>Small Scale</x:v>
      </x:c>
      <x:c r="G44" s="197" t="n">
        <x:v>1.5</x:v>
      </x:c>
      <x:c r="H44" s="203" t="b">
        <x:v>1</x:v>
      </x:c>
      <x:c r="I44" s="197" t="n">
        <x:v>2</x:v>
      </x:c>
      <x:c r="J44" s="197" t="n">
        <x:v>4</x:v>
      </x:c>
      <x:c r="K44" s="197" t="n">
        <x:f>IF(AND(G44&lt;&gt;"",J44&lt;&gt;""),G44/J44,"")</x:f>
        <x:v>0.375</x:v>
      </x:c>
      <x:c r="L44" s="197" t="n">
        <x:f>IF(AND(G44&lt;&gt;"",I44&lt;&gt;""),G44/I44,"")</x:f>
        <x:v>0.75</x:v>
      </x:c>
      <x:c r="M44" s="83" t="str">
        <x:v>S09</x:v>
      </x:c>
      <x:c r="N44" s="83" t="str">
        <x:v>Documento di Descrizione degli Scenari 2024</x:v>
      </x:c>
      <x:c r="O44" s="83" t="n">
        <x:v>62</x:v>
      </x:c>
      <x:c r="P44" s="83" t="str">
        <x:v>60-61</x:v>
      </x:c>
      <x:c r="Q44" s="83" t="str">
        <x:v>Tabella 16</x:v>
      </x:c>
      <x:c r="R44" s="83" t="str">
        <x:v>Assunzione di scenario</x:v>
      </x:c>
      <x:c r="S44" s="83" t="str">
        <x:v>Direct table extraction</x:v>
      </x:c>
      <x:c r="T44" s="83" t="str">
        <x:v>A — Direct</x:v>
      </x:c>
      <x:c r="U44" s="83" t="str">
        <x:v>Energy capacity by zone and class; derive power only where duration is specified.</x:v>
      </x:c>
      <x:c r="V44" s="83" t="str">
        <x:v>Small-scale source classes are 2 or 4 hours; utility-scale is 8 hours. CM duration is not stated.</x:v>
      </x:c>
    </x:row>
    <x:row r="45">
      <x:c r="A45" s="83" t="str">
        <x:v>SZ-041</x:v>
      </x:c>
      <x:c r="B45" s="83" t="str">
        <x:v>GA_IT_2035</x:v>
      </x:c>
      <x:c r="C45" s="83" t="n">
        <x:v>2035</x:v>
      </x:c>
      <x:c r="D45" s="83" t="str">
        <x:v>GA-IT 2035</x:v>
      </x:c>
      <x:c r="E45" s="83" t="str">
        <x:v>Centro Nord</x:v>
      </x:c>
      <x:c r="F45" s="83" t="str">
        <x:v>Small Scale</x:v>
      </x:c>
      <x:c r="G45" s="197" t="n">
        <x:v>1.5</x:v>
      </x:c>
      <x:c r="H45" s="203" t="b">
        <x:v>1</x:v>
      </x:c>
      <x:c r="I45" s="197" t="n">
        <x:v>2</x:v>
      </x:c>
      <x:c r="J45" s="197" t="n">
        <x:v>4</x:v>
      </x:c>
      <x:c r="K45" s="197" t="n">
        <x:f>IF(AND(G45&lt;&gt;"",J45&lt;&gt;""),G45/J45,"")</x:f>
        <x:v>0.375</x:v>
      </x:c>
      <x:c r="L45" s="197" t="n">
        <x:f>IF(AND(G45&lt;&gt;"",I45&lt;&gt;""),G45/I45,"")</x:f>
        <x:v>0.75</x:v>
      </x:c>
      <x:c r="M45" s="83" t="str">
        <x:v>S09</x:v>
      </x:c>
      <x:c r="N45" s="83" t="str">
        <x:v>Documento di Descrizione degli Scenari 2024</x:v>
      </x:c>
      <x:c r="O45" s="83" t="n">
        <x:v>62</x:v>
      </x:c>
      <x:c r="P45" s="83" t="str">
        <x:v>60-61</x:v>
      </x:c>
      <x:c r="Q45" s="83" t="str">
        <x:v>Tabella 16</x:v>
      </x:c>
      <x:c r="R45" s="83" t="str">
        <x:v>Assunzione di scenario</x:v>
      </x:c>
      <x:c r="S45" s="83" t="str">
        <x:v>Direct table extraction</x:v>
      </x:c>
      <x:c r="T45" s="83" t="str">
        <x:v>A — Direct</x:v>
      </x:c>
      <x:c r="U45" s="83" t="str">
        <x:v>Energy capacity by zone and class; derive power only where duration is specified.</x:v>
      </x:c>
      <x:c r="V45" s="83" t="str">
        <x:v>Small-scale source classes are 2 or 4 hours; utility-scale is 8 hours. CM duration is not stated.</x:v>
      </x:c>
    </x:row>
    <x:row r="46">
      <x:c r="A46" s="83" t="str">
        <x:v>SZ-042</x:v>
      </x:c>
      <x:c r="B46" s="83" t="str">
        <x:v>PNIEC_SLOW_2035</x:v>
      </x:c>
      <x:c r="C46" s="83" t="n">
        <x:v>2035</x:v>
      </x:c>
      <x:c r="D46" s="83" t="str">
        <x:v>PNIEC Slow 2035</x:v>
      </x:c>
      <x:c r="E46" s="83" t="str">
        <x:v>Centro Nord</x:v>
      </x:c>
      <x:c r="F46" s="83" t="str">
        <x:v>Small Scale</x:v>
      </x:c>
      <x:c r="G46" s="197" t="n">
        <x:v>1.4</x:v>
      </x:c>
      <x:c r="H46" s="203" t="b">
        <x:v>1</x:v>
      </x:c>
      <x:c r="I46" s="197" t="n">
        <x:v>2</x:v>
      </x:c>
      <x:c r="J46" s="197" t="n">
        <x:v>4</x:v>
      </x:c>
      <x:c r="K46" s="197" t="n">
        <x:f>IF(AND(G46&lt;&gt;"",J46&lt;&gt;""),G46/J46,"")</x:f>
        <x:v>0.35</x:v>
      </x:c>
      <x:c r="L46" s="197" t="n">
        <x:f>IF(AND(G46&lt;&gt;"",I46&lt;&gt;""),G46/I46,"")</x:f>
        <x:v>0.7</x:v>
      </x:c>
      <x:c r="M46" s="83" t="str">
        <x:v>S09</x:v>
      </x:c>
      <x:c r="N46" s="83" t="str">
        <x:v>Documento di Descrizione degli Scenari 2024</x:v>
      </x:c>
      <x:c r="O46" s="83" t="n">
        <x:v>62</x:v>
      </x:c>
      <x:c r="P46" s="83" t="str">
        <x:v>60-61</x:v>
      </x:c>
      <x:c r="Q46" s="83" t="str">
        <x:v>Tabella 16</x:v>
      </x:c>
      <x:c r="R46" s="83" t="str">
        <x:v>Assunzione di scenario</x:v>
      </x:c>
      <x:c r="S46" s="83" t="str">
        <x:v>Direct table extraction</x:v>
      </x:c>
      <x:c r="T46" s="83" t="str">
        <x:v>A — Direct</x:v>
      </x:c>
      <x:c r="U46" s="83" t="str">
        <x:v>Energy capacity by zone and class; derive power only where duration is specified.</x:v>
      </x:c>
      <x:c r="V46" s="83" t="str">
        <x:v>Small-scale source classes are 2 or 4 hours; utility-scale is 8 hours. CM duration is not stated.</x:v>
      </x:c>
    </x:row>
    <x:row r="47">
      <x:c r="A47" s="83" t="str">
        <x:v>SZ-043</x:v>
      </x:c>
      <x:c r="B47" s="83" t="str">
        <x:v>DE_IT_2040</x:v>
      </x:c>
      <x:c r="C47" s="83" t="n">
        <x:v>2040</x:v>
      </x:c>
      <x:c r="D47" s="83" t="str">
        <x:v>DE-IT 2040</x:v>
      </x:c>
      <x:c r="E47" s="83" t="str">
        <x:v>Centro Nord</x:v>
      </x:c>
      <x:c r="F47" s="83" t="str">
        <x:v>Small Scale</x:v>
      </x:c>
      <x:c r="G47" s="197" t="n">
        <x:v>1.7</x:v>
      </x:c>
      <x:c r="H47" s="203" t="b">
        <x:v>1</x:v>
      </x:c>
      <x:c r="I47" s="197" t="n">
        <x:v>2</x:v>
      </x:c>
      <x:c r="J47" s="197" t="n">
        <x:v>4</x:v>
      </x:c>
      <x:c r="K47" s="197" t="n">
        <x:f>IF(AND(G47&lt;&gt;"",J47&lt;&gt;""),G47/J47,"")</x:f>
        <x:v>0.425</x:v>
      </x:c>
      <x:c r="L47" s="197" t="n">
        <x:f>IF(AND(G47&lt;&gt;"",I47&lt;&gt;""),G47/I47,"")</x:f>
        <x:v>0.85</x:v>
      </x:c>
      <x:c r="M47" s="83" t="str">
        <x:v>S09</x:v>
      </x:c>
      <x:c r="N47" s="83" t="str">
        <x:v>Documento di Descrizione degli Scenari 2024</x:v>
      </x:c>
      <x:c r="O47" s="83" t="n">
        <x:v>62</x:v>
      </x:c>
      <x:c r="P47" s="83" t="str">
        <x:v>60-61</x:v>
      </x:c>
      <x:c r="Q47" s="83" t="str">
        <x:v>Tabella 16</x:v>
      </x:c>
      <x:c r="R47" s="83" t="str">
        <x:v>Assunzione di scenario</x:v>
      </x:c>
      <x:c r="S47" s="83" t="str">
        <x:v>Direct table extraction</x:v>
      </x:c>
      <x:c r="T47" s="83" t="str">
        <x:v>A — Direct</x:v>
      </x:c>
      <x:c r="U47" s="83" t="str">
        <x:v>Energy capacity by zone and class; derive power only where duration is specified.</x:v>
      </x:c>
      <x:c r="V47" s="83" t="str">
        <x:v>Small-scale source classes are 2 or 4 hours; utility-scale is 8 hours. CM duration is not stated.</x:v>
      </x:c>
    </x:row>
    <x:row r="48">
      <x:c r="A48" s="83" t="str">
        <x:v>SZ-044</x:v>
      </x:c>
      <x:c r="B48" s="83" t="str">
        <x:v>GA_IT_2040</x:v>
      </x:c>
      <x:c r="C48" s="83" t="n">
        <x:v>2040</x:v>
      </x:c>
      <x:c r="D48" s="83" t="str">
        <x:v>GA-IT 2040</x:v>
      </x:c>
      <x:c r="E48" s="83" t="str">
        <x:v>Centro Nord</x:v>
      </x:c>
      <x:c r="F48" s="83" t="str">
        <x:v>Small Scale</x:v>
      </x:c>
      <x:c r="G48" s="197" t="n">
        <x:v>1.8</x:v>
      </x:c>
      <x:c r="H48" s="203" t="b">
        <x:v>1</x:v>
      </x:c>
      <x:c r="I48" s="197" t="n">
        <x:v>2</x:v>
      </x:c>
      <x:c r="J48" s="197" t="n">
        <x:v>4</x:v>
      </x:c>
      <x:c r="K48" s="197" t="n">
        <x:f>IF(AND(G48&lt;&gt;"",J48&lt;&gt;""),G48/J48,"")</x:f>
        <x:v>0.45</x:v>
      </x:c>
      <x:c r="L48" s="197" t="n">
        <x:f>IF(AND(G48&lt;&gt;"",I48&lt;&gt;""),G48/I48,"")</x:f>
        <x:v>0.9</x:v>
      </x:c>
      <x:c r="M48" s="83" t="str">
        <x:v>S09</x:v>
      </x:c>
      <x:c r="N48" s="83" t="str">
        <x:v>Documento di Descrizione degli Scenari 2024</x:v>
      </x:c>
      <x:c r="O48" s="83" t="n">
        <x:v>62</x:v>
      </x:c>
      <x:c r="P48" s="83" t="str">
        <x:v>60-61</x:v>
      </x:c>
      <x:c r="Q48" s="83" t="str">
        <x:v>Tabella 16</x:v>
      </x:c>
      <x:c r="R48" s="83" t="str">
        <x:v>Assunzione di scenario</x:v>
      </x:c>
      <x:c r="S48" s="83" t="str">
        <x:v>Direct table extraction</x:v>
      </x:c>
      <x:c r="T48" s="83" t="str">
        <x:v>A — Direct</x:v>
      </x:c>
      <x:c r="U48" s="83" t="str">
        <x:v>Energy capacity by zone and class; derive power only where duration is specified.</x:v>
      </x:c>
      <x:c r="V48" s="83" t="str">
        <x:v>Small-scale source classes are 2 or 4 hours; utility-scale is 8 hours. CM duration is not stated.</x:v>
      </x:c>
    </x:row>
    <x:row r="49">
      <x:c r="A49" s="83" t="str">
        <x:v>SZ-045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Centro Nord</x:v>
      </x:c>
      <x:c r="F49" s="83" t="str">
        <x:v>Small Scale</x:v>
      </x:c>
      <x:c r="G49" s="197" t="n">
        <x:v>1.6</x:v>
      </x:c>
      <x:c r="H49" s="203" t="b">
        <x:v>1</x:v>
      </x:c>
      <x:c r="I49" s="197" t="n">
        <x:v>2</x:v>
      </x:c>
      <x:c r="J49" s="197" t="n">
        <x:v>4</x:v>
      </x:c>
      <x:c r="K49" s="197" t="n">
        <x:f>IF(AND(G49&lt;&gt;"",J49&lt;&gt;""),G49/J49,"")</x:f>
        <x:v>0.4</x:v>
      </x:c>
      <x:c r="L49" s="197" t="n">
        <x:f>IF(AND(G49&lt;&gt;"",I49&lt;&gt;""),G49/I49,"")</x:f>
        <x:v>0.8</x:v>
      </x:c>
      <x:c r="M49" s="83" t="str">
        <x:v>S09</x:v>
      </x:c>
      <x:c r="N49" s="83" t="str">
        <x:v>Documento di Descrizione degli Scenari 2024</x:v>
      </x:c>
      <x:c r="O49" s="83" t="n">
        <x:v>62</x:v>
      </x:c>
      <x:c r="P49" s="83" t="str">
        <x:v>60-61</x:v>
      </x:c>
      <x:c r="Q49" s="83" t="str">
        <x:v>Tabella 16</x:v>
      </x:c>
      <x:c r="R49" s="83" t="str">
        <x:v>Assunzione di scenario</x:v>
      </x:c>
      <x:c r="S49" s="83" t="str">
        <x:v>Direct table extraction</x:v>
      </x:c>
      <x:c r="T49" s="83" t="str">
        <x:v>A — Direct</x:v>
      </x:c>
      <x:c r="U49" s="83" t="str">
        <x:v>Energy capacity by zone and class; derive power only where duration is specified.</x:v>
      </x:c>
      <x:c r="V49" s="83" t="str">
        <x:v>Small-scale source classes are 2 or 4 hours; utility-scale is 8 hours. CM duration is not stated.</x:v>
      </x:c>
    </x:row>
    <x:row r="50">
      <x:c r="A50" s="83" t="str">
        <x:v>SZ-046</x:v>
      </x:c>
      <x:c r="B50" s="83" t="str">
        <x:v>HIST_2023</x:v>
      </x:c>
      <x:c r="C50" s="83" t="n">
        <x:v>2023</x:v>
      </x:c>
      <x:c r="D50" s="83" t="str">
        <x:v>Storico 2023</x:v>
      </x:c>
      <x:c r="E50" s="83" t="str">
        <x:v>Centro Nord</x:v>
      </x:c>
      <x:c r="F50" s="83" t="str">
        <x:v>Utility Scale</x:v>
      </x:c>
      <x:c r="G50" s="197" t="n">
        <x:v>0</x:v>
      </x:c>
      <x:c r="H50" s="203" t="b">
        <x:v>1</x:v>
      </x:c>
      <x:c r="I50" s="197" t="n">
        <x:v>8</x:v>
      </x:c>
      <x:c r="J50" s="197" t="n">
        <x:v>8</x:v>
      </x:c>
      <x:c r="K50" s="197" t="str">
        <x:f>IF(AND(G50&lt;&gt;"",J50&lt;&gt;""),G50/J50,"")</x:f>
      </x:c>
      <x:c r="L50" s="197" t="str">
        <x:f>IF(AND(G50&lt;&gt;"",I50&lt;&gt;""),G50/I50,"")</x:f>
      </x:c>
      <x:c r="M50" s="83" t="str">
        <x:v>S09</x:v>
      </x:c>
      <x:c r="N50" s="83" t="str">
        <x:v>Documento di Descrizione degli Scenari 2024</x:v>
      </x:c>
      <x:c r="O50" s="83" t="n">
        <x:v>62</x:v>
      </x:c>
      <x:c r="P50" s="83" t="str">
        <x:v>60-61</x:v>
      </x:c>
      <x:c r="Q50" s="83" t="str">
        <x:v>Tabella 16</x:v>
      </x:c>
      <x:c r="R50" s="83" t="str">
        <x:v>Dato osservato storico nel DDS</x:v>
      </x:c>
      <x:c r="S50" s="83" t="str">
        <x:v>Direct table extraction</x:v>
      </x:c>
      <x:c r="T50" s="83" t="str">
        <x:v>A — Direct</x:v>
      </x:c>
      <x:c r="U50" s="83" t="str">
        <x:v>Energy capacity by zone and class; derive power only where duration is specified.</x:v>
      </x:c>
      <x:c r="V50" s="83" t="str">
        <x:v>Small-scale source classes are 2 or 4 hours; utility-scale is 8 hours. CM duration is not stated.</x:v>
      </x:c>
    </x:row>
    <x:row r="51">
      <x:c r="A51" s="83" t="str">
        <x:v>SZ-047</x:v>
      </x:c>
      <x:c r="B51" s="83" t="str">
        <x:v>PNIEC_POLICY_2030</x:v>
      </x:c>
      <x:c r="C51" s="83" t="n">
        <x:v>2030</x:v>
      </x:c>
      <x:c r="D51" s="83" t="str">
        <x:v>PNIEC Policy 2030</x:v>
      </x:c>
      <x:c r="E51" s="83" t="str">
        <x:v>Centro Nord</x:v>
      </x:c>
      <x:c r="F51" s="83" t="str">
        <x:v>Utility Scale</x:v>
      </x:c>
      <x:c r="G51" s="197" t="n">
        <x:v>0</x:v>
      </x:c>
      <x:c r="H51" s="203" t="b">
        <x:v>1</x:v>
      </x:c>
      <x:c r="I51" s="197" t="n">
        <x:v>8</x:v>
      </x:c>
      <x:c r="J51" s="197" t="n">
        <x:v>8</x:v>
      </x:c>
      <x:c r="K51" s="197" t="str">
        <x:f>IF(AND(G51&lt;&gt;"",J51&lt;&gt;""),G51/J51,"")</x:f>
      </x:c>
      <x:c r="L51" s="197" t="str">
        <x:f>IF(AND(G51&lt;&gt;"",I51&lt;&gt;""),G51/I51,"")</x:f>
      </x:c>
      <x:c r="M51" s="83" t="str">
        <x:v>S09</x:v>
      </x:c>
      <x:c r="N51" s="83" t="str">
        <x:v>Documento di Descrizione degli Scenari 2024</x:v>
      </x:c>
      <x:c r="O51" s="83" t="n">
        <x:v>62</x:v>
      </x:c>
      <x:c r="P51" s="83" t="str">
        <x:v>60-61</x:v>
      </x:c>
      <x:c r="Q51" s="83" t="str">
        <x:v>Tabella 16</x:v>
      </x:c>
      <x:c r="R51" s="83" t="str">
        <x:v>Assunzione di scenario</x:v>
      </x:c>
      <x:c r="S51" s="83" t="str">
        <x:v>Direct table extraction</x:v>
      </x:c>
      <x:c r="T51" s="83" t="str">
        <x:v>A — Direct</x:v>
      </x:c>
      <x:c r="U51" s="83" t="str">
        <x:v>Energy capacity by zone and class; derive power only where duration is specified.</x:v>
      </x:c>
      <x:c r="V51" s="83" t="str">
        <x:v>Small-scale source classes are 2 or 4 hours; utility-scale is 8 hours. CM duration is not stated.</x:v>
      </x:c>
    </x:row>
    <x:row r="52">
      <x:c r="A52" s="83" t="str">
        <x:v>SZ-048</x:v>
      </x:c>
      <x:c r="B52" s="83" t="str">
        <x:v>PNIEC_SLOW_2030</x:v>
      </x:c>
      <x:c r="C52" s="83" t="n">
        <x:v>2030</x:v>
      </x:c>
      <x:c r="D52" s="83" t="str">
        <x:v>PNIEC Slow 2030</x:v>
      </x:c>
      <x:c r="E52" s="83" t="str">
        <x:v>Centro Nord</x:v>
      </x:c>
      <x:c r="F52" s="83" t="str">
        <x:v>Utility Scale</x:v>
      </x:c>
      <x:c r="G52" s="197" t="n">
        <x:v>0</x:v>
      </x:c>
      <x:c r="H52" s="203" t="b">
        <x:v>1</x:v>
      </x:c>
      <x:c r="I52" s="197" t="n">
        <x:v>8</x:v>
      </x:c>
      <x:c r="J52" s="197" t="n">
        <x:v>8</x:v>
      </x:c>
      <x:c r="K52" s="197" t="str">
        <x:f>IF(AND(G52&lt;&gt;"",J52&lt;&gt;""),G52/J52,"")</x:f>
      </x:c>
      <x:c r="L52" s="197" t="str">
        <x:f>IF(AND(G52&lt;&gt;"",I52&lt;&gt;""),G52/I52,"")</x:f>
      </x:c>
      <x:c r="M52" s="83" t="str">
        <x:v>S09</x:v>
      </x:c>
      <x:c r="N52" s="83" t="str">
        <x:v>Documento di Descrizione degli Scenari 2024</x:v>
      </x:c>
      <x:c r="O52" s="83" t="n">
        <x:v>62</x:v>
      </x:c>
      <x:c r="P52" s="83" t="str">
        <x:v>60-61</x:v>
      </x:c>
      <x:c r="Q52" s="83" t="str">
        <x:v>Tabella 16</x:v>
      </x:c>
      <x:c r="R52" s="83" t="str">
        <x:v>Assunzione di scenario</x:v>
      </x:c>
      <x:c r="S52" s="83" t="str">
        <x:v>Direct table extraction</x:v>
      </x:c>
      <x:c r="T52" s="83" t="str">
        <x:v>A — Direct</x:v>
      </x:c>
      <x:c r="U52" s="83" t="str">
        <x:v>Energy capacity by zone and class; derive power only where duration is specified.</x:v>
      </x:c>
      <x:c r="V52" s="83" t="str">
        <x:v>Small-scale source classes are 2 or 4 hours; utility-scale is 8 hours. CM duration is not stated.</x:v>
      </x:c>
    </x:row>
    <x:row r="53">
      <x:c r="A53" s="83" t="str">
        <x:v>SZ-049</x:v>
      </x:c>
      <x:c r="B53" s="83" t="str">
        <x:v>DE_IT_2035</x:v>
      </x:c>
      <x:c r="C53" s="83" t="n">
        <x:v>2035</x:v>
      </x:c>
      <x:c r="D53" s="83" t="str">
        <x:v>DE-IT 2035</x:v>
      </x:c>
      <x:c r="E53" s="83" t="str">
        <x:v>Centro Nord</x:v>
      </x:c>
      <x:c r="F53" s="83" t="str">
        <x:v>Utility Scale</x:v>
      </x:c>
      <x:c r="G53" s="197" t="n">
        <x:v>0</x:v>
      </x:c>
      <x:c r="H53" s="203" t="b">
        <x:v>1</x:v>
      </x:c>
      <x:c r="I53" s="197" t="n">
        <x:v>8</x:v>
      </x:c>
      <x:c r="J53" s="197" t="n">
        <x:v>8</x:v>
      </x:c>
      <x:c r="K53" s="197" t="str">
        <x:f>IF(AND(G53&lt;&gt;"",J53&lt;&gt;""),G53/J53,"")</x:f>
      </x:c>
      <x:c r="L53" s="197" t="str">
        <x:f>IF(AND(G53&lt;&gt;"",I53&lt;&gt;""),G53/I53,"")</x:f>
      </x:c>
      <x:c r="M53" s="83" t="str">
        <x:v>S09</x:v>
      </x:c>
      <x:c r="N53" s="83" t="str">
        <x:v>Documento di Descrizione degli Scenari 2024</x:v>
      </x:c>
      <x:c r="O53" s="83" t="n">
        <x:v>62</x:v>
      </x:c>
      <x:c r="P53" s="83" t="str">
        <x:v>60-61</x:v>
      </x:c>
      <x:c r="Q53" s="83" t="str">
        <x:v>Tabella 16</x:v>
      </x:c>
      <x:c r="R53" s="83" t="str">
        <x:v>Assunzione di scenario</x:v>
      </x:c>
      <x:c r="S53" s="83" t="str">
        <x:v>Direct table extraction</x:v>
      </x:c>
      <x:c r="T53" s="83" t="str">
        <x:v>A — Direct</x:v>
      </x:c>
      <x:c r="U53" s="83" t="str">
        <x:v>Energy capacity by zone and class; derive power only where duration is specified.</x:v>
      </x:c>
      <x:c r="V53" s="83" t="str">
        <x:v>Small-scale source classes are 2 or 4 hours; utility-scale is 8 hours. CM duration is not stated.</x:v>
      </x:c>
    </x:row>
    <x:row r="54">
      <x:c r="A54" s="83" t="str">
        <x:v>SZ-050</x:v>
      </x:c>
      <x:c r="B54" s="83" t="str">
        <x:v>GA_IT_2035</x:v>
      </x:c>
      <x:c r="C54" s="83" t="n">
        <x:v>2035</x:v>
      </x:c>
      <x:c r="D54" s="83" t="str">
        <x:v>GA-IT 2035</x:v>
      </x:c>
      <x:c r="E54" s="83" t="str">
        <x:v>Centro Nord</x:v>
      </x:c>
      <x:c r="F54" s="83" t="str">
        <x:v>Utility Scale</x:v>
      </x:c>
      <x:c r="G54" s="197" t="n">
        <x:v>0</x:v>
      </x:c>
      <x:c r="H54" s="203" t="b">
        <x:v>1</x:v>
      </x:c>
      <x:c r="I54" s="197" t="n">
        <x:v>8</x:v>
      </x:c>
      <x:c r="J54" s="197" t="n">
        <x:v>8</x:v>
      </x:c>
      <x:c r="K54" s="197" t="str">
        <x:f>IF(AND(G54&lt;&gt;"",J54&lt;&gt;""),G54/J54,"")</x:f>
      </x:c>
      <x:c r="L54" s="197" t="str">
        <x:f>IF(AND(G54&lt;&gt;"",I54&lt;&gt;""),G54/I54,"")</x:f>
      </x:c>
      <x:c r="M54" s="83" t="str">
        <x:v>S09</x:v>
      </x:c>
      <x:c r="N54" s="83" t="str">
        <x:v>Documento di Descrizione degli Scenari 2024</x:v>
      </x:c>
      <x:c r="O54" s="83" t="n">
        <x:v>62</x:v>
      </x:c>
      <x:c r="P54" s="83" t="str">
        <x:v>60-61</x:v>
      </x:c>
      <x:c r="Q54" s="83" t="str">
        <x:v>Tabella 16</x:v>
      </x:c>
      <x:c r="R54" s="83" t="str">
        <x:v>Assunzione di scenario</x:v>
      </x:c>
      <x:c r="S54" s="83" t="str">
        <x:v>Direct table extraction</x:v>
      </x:c>
      <x:c r="T54" s="83" t="str">
        <x:v>A — Direct</x:v>
      </x:c>
      <x:c r="U54" s="83" t="str">
        <x:v>Energy capacity by zone and class; derive power only where duration is specified.</x:v>
      </x:c>
      <x:c r="V54" s="83" t="str">
        <x:v>Small-scale source classes are 2 or 4 hours; utility-scale is 8 hours. CM duration is not stated.</x:v>
      </x:c>
    </x:row>
    <x:row r="55">
      <x:c r="A55" s="83" t="str">
        <x:v>SZ-051</x:v>
      </x:c>
      <x:c r="B55" s="83" t="str">
        <x:v>PNIEC_SLOW_2035</x:v>
      </x:c>
      <x:c r="C55" s="83" t="n">
        <x:v>2035</x:v>
      </x:c>
      <x:c r="D55" s="83" t="str">
        <x:v>PNIEC Slow 2035</x:v>
      </x:c>
      <x:c r="E55" s="83" t="str">
        <x:v>Centro Nord</x:v>
      </x:c>
      <x:c r="F55" s="83" t="str">
        <x:v>Utility Scale</x:v>
      </x:c>
      <x:c r="G55" s="197" t="n">
        <x:v>0</x:v>
      </x:c>
      <x:c r="H55" s="203" t="b">
        <x:v>1</x:v>
      </x:c>
      <x:c r="I55" s="197" t="n">
        <x:v>8</x:v>
      </x:c>
      <x:c r="J55" s="197" t="n">
        <x:v>8</x:v>
      </x:c>
      <x:c r="K55" s="197" t="str">
        <x:f>IF(AND(G55&lt;&gt;"",J55&lt;&gt;""),G55/J55,"")</x:f>
      </x:c>
      <x:c r="L55" s="197" t="str">
        <x:f>IF(AND(G55&lt;&gt;"",I55&lt;&gt;""),G55/I55,"")</x:f>
      </x:c>
      <x:c r="M55" s="83" t="str">
        <x:v>S09</x:v>
      </x:c>
      <x:c r="N55" s="83" t="str">
        <x:v>Documento di Descrizione degli Scenari 2024</x:v>
      </x:c>
      <x:c r="O55" s="83" t="n">
        <x:v>62</x:v>
      </x:c>
      <x:c r="P55" s="83" t="str">
        <x:v>60-61</x:v>
      </x:c>
      <x:c r="Q55" s="83" t="str">
        <x:v>Tabella 16</x:v>
      </x:c>
      <x:c r="R55" s="83" t="str">
        <x:v>Assunzione di scenario</x:v>
      </x:c>
      <x:c r="S55" s="83" t="str">
        <x:v>Direct table extraction</x:v>
      </x:c>
      <x:c r="T55" s="83" t="str">
        <x:v>A — Direct</x:v>
      </x:c>
      <x:c r="U55" s="83" t="str">
        <x:v>Energy capacity by zone and class; derive power only where duration is specified.</x:v>
      </x:c>
      <x:c r="V55" s="83" t="str">
        <x:v>Small-scale source classes are 2 or 4 hours; utility-scale is 8 hours. CM duration is not stated.</x:v>
      </x:c>
    </x:row>
    <x:row r="56">
      <x:c r="A56" s="83" t="str">
        <x:v>SZ-052</x:v>
      </x:c>
      <x:c r="B56" s="83" t="str">
        <x:v>DE_IT_2040</x:v>
      </x:c>
      <x:c r="C56" s="83" t="n">
        <x:v>2040</x:v>
      </x:c>
      <x:c r="D56" s="83" t="str">
        <x:v>DE-IT 2040</x:v>
      </x:c>
      <x:c r="E56" s="83" t="str">
        <x:v>Centro Nord</x:v>
      </x:c>
      <x:c r="F56" s="83" t="str">
        <x:v>Utility Scale</x:v>
      </x:c>
      <x:c r="G56" s="197" t="n">
        <x:v>3.2</x:v>
      </x:c>
      <x:c r="H56" s="203" t="b">
        <x:v>1</x:v>
      </x:c>
      <x:c r="I56" s="197" t="n">
        <x:v>8</x:v>
      </x:c>
      <x:c r="J56" s="197" t="n">
        <x:v>8</x:v>
      </x:c>
      <x:c r="K56" s="197" t="n">
        <x:f>IF(AND(G56&lt;&gt;"",J56&lt;&gt;""),G56/J56,"")</x:f>
        <x:v>0.4</x:v>
      </x:c>
      <x:c r="L56" s="197" t="n">
        <x:f>IF(AND(G56&lt;&gt;"",I56&lt;&gt;""),G56/I56,"")</x:f>
        <x:v>0.4</x:v>
      </x:c>
      <x:c r="M56" s="83" t="str">
        <x:v>S09</x:v>
      </x:c>
      <x:c r="N56" s="83" t="str">
        <x:v>Documento di Descrizione degli Scenari 2024</x:v>
      </x:c>
      <x:c r="O56" s="83" t="n">
        <x:v>62</x:v>
      </x:c>
      <x:c r="P56" s="83" t="str">
        <x:v>60-61</x:v>
      </x:c>
      <x:c r="Q56" s="83" t="str">
        <x:v>Tabella 16</x:v>
      </x:c>
      <x:c r="R56" s="83" t="str">
        <x:v>Assunzione di scenario</x:v>
      </x:c>
      <x:c r="S56" s="83" t="str">
        <x:v>Direct table extraction</x:v>
      </x:c>
      <x:c r="T56" s="83" t="str">
        <x:v>A — Direct</x:v>
      </x:c>
      <x:c r="U56" s="83" t="str">
        <x:v>Energy capacity by zone and class; derive power only where duration is specified.</x:v>
      </x:c>
      <x:c r="V56" s="83" t="str">
        <x:v>Small-scale source classes are 2 or 4 hours; utility-scale is 8 hours. CM duration is not stated.</x:v>
      </x:c>
    </x:row>
    <x:row r="57">
      <x:c r="A57" s="83" t="str">
        <x:v>SZ-053</x:v>
      </x:c>
      <x:c r="B57" s="83" t="str">
        <x:v>GA_IT_2040</x:v>
      </x:c>
      <x:c r="C57" s="83" t="n">
        <x:v>2040</x:v>
      </x:c>
      <x:c r="D57" s="83" t="str">
        <x:v>GA-IT 2040</x:v>
      </x:c>
      <x:c r="E57" s="83" t="str">
        <x:v>Centro Nord</x:v>
      </x:c>
      <x:c r="F57" s="83" t="str">
        <x:v>Utility Scale</x:v>
      </x:c>
      <x:c r="G57" s="197" t="n">
        <x:v>3.5</x:v>
      </x:c>
      <x:c r="H57" s="203" t="b">
        <x:v>1</x:v>
      </x:c>
      <x:c r="I57" s="197" t="n">
        <x:v>8</x:v>
      </x:c>
      <x:c r="J57" s="197" t="n">
        <x:v>8</x:v>
      </x:c>
      <x:c r="K57" s="197" t="n">
        <x:f>IF(AND(G57&lt;&gt;"",J57&lt;&gt;""),G57/J57,"")</x:f>
        <x:v>0.4375</x:v>
      </x:c>
      <x:c r="L57" s="197" t="n">
        <x:f>IF(AND(G57&lt;&gt;"",I57&lt;&gt;""),G57/I57,"")</x:f>
        <x:v>0.4375</x:v>
      </x:c>
      <x:c r="M57" s="83" t="str">
        <x:v>S09</x:v>
      </x:c>
      <x:c r="N57" s="83" t="str">
        <x:v>Documento di Descrizione degli Scenari 2024</x:v>
      </x:c>
      <x:c r="O57" s="83" t="n">
        <x:v>62</x:v>
      </x:c>
      <x:c r="P57" s="83" t="str">
        <x:v>60-61</x:v>
      </x:c>
      <x:c r="Q57" s="83" t="str">
        <x:v>Tabella 16</x:v>
      </x:c>
      <x:c r="R57" s="83" t="str">
        <x:v>Assunzione di scenario</x:v>
      </x:c>
      <x:c r="S57" s="83" t="str">
        <x:v>Direct table extraction</x:v>
      </x:c>
      <x:c r="T57" s="83" t="str">
        <x:v>A — Direct</x:v>
      </x:c>
      <x:c r="U57" s="83" t="str">
        <x:v>Energy capacity by zone and class; derive power only where duration is specified.</x:v>
      </x:c>
      <x:c r="V57" s="83" t="str">
        <x:v>Small-scale source classes are 2 or 4 hours; utility-scale is 8 hours. CM duration is not stated.</x:v>
      </x:c>
    </x:row>
    <x:row r="58">
      <x:c r="A58" s="83" t="str">
        <x:v>SZ-054</x:v>
      </x:c>
      <x:c r="B58" s="83" t="str">
        <x:v>PNIEC_SLOW_2040</x:v>
      </x:c>
      <x:c r="C58" s="83" t="n">
        <x:v>2040</x:v>
      </x:c>
      <x:c r="D58" s="83" t="str">
        <x:v>PNIEC Slow 2040</x:v>
      </x:c>
      <x:c r="E58" s="83" t="str">
        <x:v>Centro Nord</x:v>
      </x:c>
      <x:c r="F58" s="83" t="str">
        <x:v>Utility Scale</x:v>
      </x:c>
      <x:c r="G58" s="197" t="n">
        <x:v>1.1</x:v>
      </x:c>
      <x:c r="H58" s="203" t="b">
        <x:v>1</x:v>
      </x:c>
      <x:c r="I58" s="197" t="n">
        <x:v>8</x:v>
      </x:c>
      <x:c r="J58" s="197" t="n">
        <x:v>8</x:v>
      </x:c>
      <x:c r="K58" s="197" t="n">
        <x:f>IF(AND(G58&lt;&gt;"",J58&lt;&gt;""),G58/J58,"")</x:f>
        <x:v>0.1375</x:v>
      </x:c>
      <x:c r="L58" s="197" t="n">
        <x:f>IF(AND(G58&lt;&gt;"",I58&lt;&gt;""),G58/I58,"")</x:f>
        <x:v>0.1375</x:v>
      </x:c>
      <x:c r="M58" s="83" t="str">
        <x:v>S09</x:v>
      </x:c>
      <x:c r="N58" s="83" t="str">
        <x:v>Documento di Descrizione degli Scenari 2024</x:v>
      </x:c>
      <x:c r="O58" s="83" t="n">
        <x:v>62</x:v>
      </x:c>
      <x:c r="P58" s="83" t="str">
        <x:v>60-61</x:v>
      </x:c>
      <x:c r="Q58" s="83" t="str">
        <x:v>Tabella 16</x:v>
      </x:c>
      <x:c r="R58" s="83" t="str">
        <x:v>Assunzione di scenario</x:v>
      </x:c>
      <x:c r="S58" s="83" t="str">
        <x:v>Direct table extraction</x:v>
      </x:c>
      <x:c r="T58" s="83" t="str">
        <x:v>A — Direct</x:v>
      </x:c>
      <x:c r="U58" s="83" t="str">
        <x:v>Energy capacity by zone and class; derive power only where duration is specified.</x:v>
      </x:c>
      <x:c r="V58" s="83" t="str">
        <x:v>Small-scale source classes are 2 or 4 hours; utility-scale is 8 hours. CM duration is not stated.</x:v>
      </x:c>
    </x:row>
    <x:row r="59">
      <x:c r="A59" s="83" t="str">
        <x:v>SZ-055</x:v>
      </x:c>
      <x:c r="B59" s="83" t="str">
        <x:v>HIST_2023</x:v>
      </x:c>
      <x:c r="C59" s="83" t="n">
        <x:v>2023</x:v>
      </x:c>
      <x:c r="D59" s="83" t="str">
        <x:v>Storico 2023</x:v>
      </x:c>
      <x:c r="E59" s="83" t="str">
        <x:v>Centro Nord</x:v>
      </x:c>
      <x:c r="F59" s="83" t="str">
        <x:v>CM</x:v>
      </x:c>
      <x:c r="G59" s="197" t="n">
        <x:v>0</x:v>
      </x:c>
      <x:c r="H59" s="203" t="b">
        <x:v>1</x:v>
      </x:c>
      <x:c r="I59" s="197"/>
      <x:c r="J59" s="197"/>
      <x:c r="K59" s="197" t="str">
        <x:f>IF(AND(G59&lt;&gt;"",J59&lt;&gt;""),G59/J59,"")</x:f>
      </x:c>
      <x:c r="L59" s="197" t="str">
        <x:f>IF(AND(G59&lt;&gt;"",I59&lt;&gt;""),G59/I59,"")</x:f>
      </x:c>
      <x:c r="M59" s="83" t="str">
        <x:v>S09</x:v>
      </x:c>
      <x:c r="N59" s="83" t="str">
        <x:v>Documento di Descrizione degli Scenari 2024</x:v>
      </x:c>
      <x:c r="O59" s="83" t="n">
        <x:v>62</x:v>
      </x:c>
      <x:c r="P59" s="83" t="str">
        <x:v>60-61</x:v>
      </x:c>
      <x:c r="Q59" s="83" t="str">
        <x:v>Tabella 16</x:v>
      </x:c>
      <x:c r="R59" s="83" t="str">
        <x:v>Dato osservato storico nel DDS</x:v>
      </x:c>
      <x:c r="S59" s="83" t="str">
        <x:v>Direct table extraction</x:v>
      </x:c>
      <x:c r="T59" s="83" t="str">
        <x:v>A — Direct</x:v>
      </x:c>
      <x:c r="U59" s="83" t="str">
        <x:v>Energy capacity by zone and class; derive power only where duration is specified.</x:v>
      </x:c>
      <x:c r="V59" s="83" t="str">
        <x:v>Small-scale source classes are 2 or 4 hours; utility-scale is 8 hours. CM duration is not stated.</x:v>
      </x:c>
    </x:row>
    <x:row r="60">
      <x:c r="A60" s="83" t="str">
        <x:v>SZ-056</x:v>
      </x:c>
      <x:c r="B60" s="83" t="str">
        <x:v>PNIEC_POLICY_2030</x:v>
      </x:c>
      <x:c r="C60" s="83" t="n">
        <x:v>2030</x:v>
      </x:c>
      <x:c r="D60" s="83" t="str">
        <x:v>PNIEC Policy 2030</x:v>
      </x:c>
      <x:c r="E60" s="83" t="str">
        <x:v>Centro Nord</x:v>
      </x:c>
      <x:c r="F60" s="83" t="str">
        <x:v>CM</x:v>
      </x:c>
      <x:c r="G60" s="197" t="n">
        <x:v>0.1</x:v>
      </x:c>
      <x:c r="H60" s="203" t="b">
        <x:v>1</x:v>
      </x:c>
      <x:c r="I60" s="197"/>
      <x:c r="J60" s="197"/>
      <x:c r="K60" s="197" t="str">
        <x:f>IF(AND(G60&lt;&gt;"",J60&lt;&gt;""),G60/J60,"")</x:f>
      </x:c>
      <x:c r="L60" s="197" t="str">
        <x:f>IF(AND(G60&lt;&gt;"",I60&lt;&gt;""),G60/I60,"")</x:f>
      </x:c>
      <x:c r="M60" s="83" t="str">
        <x:v>S09</x:v>
      </x:c>
      <x:c r="N60" s="83" t="str">
        <x:v>Documento di Descrizione degli Scenari 2024</x:v>
      </x:c>
      <x:c r="O60" s="83" t="n">
        <x:v>62</x:v>
      </x:c>
      <x:c r="P60" s="83" t="str">
        <x:v>60-61</x:v>
      </x:c>
      <x:c r="Q60" s="83" t="str">
        <x:v>Tabella 16</x:v>
      </x:c>
      <x:c r="R60" s="83" t="str">
        <x:v>Assunzione di scenario</x:v>
      </x:c>
      <x:c r="S60" s="83" t="str">
        <x:v>Direct table extraction</x:v>
      </x:c>
      <x:c r="T60" s="83" t="str">
        <x:v>A — Direct</x:v>
      </x:c>
      <x:c r="U60" s="83" t="str">
        <x:v>Energy capacity by zone and class; derive power only where duration is specified.</x:v>
      </x:c>
      <x:c r="V60" s="83" t="str">
        <x:v>Small-scale source classes are 2 or 4 hours; utility-scale is 8 hours. CM duration is not stated.</x:v>
      </x:c>
    </x:row>
    <x:row r="61">
      <x:c r="A61" s="83" t="str">
        <x:v>SZ-057</x:v>
      </x:c>
      <x:c r="B61" s="83" t="str">
        <x:v>PNIEC_SLOW_2030</x:v>
      </x:c>
      <x:c r="C61" s="83" t="n">
        <x:v>2030</x:v>
      </x:c>
      <x:c r="D61" s="83" t="str">
        <x:v>PNIEC Slow 2030</x:v>
      </x:c>
      <x:c r="E61" s="83" t="str">
        <x:v>Centro Nord</x:v>
      </x:c>
      <x:c r="F61" s="83" t="str">
        <x:v>CM</x:v>
      </x:c>
      <x:c r="G61" s="197" t="n">
        <x:v>0.1</x:v>
      </x:c>
      <x:c r="H61" s="203" t="b">
        <x:v>1</x:v>
      </x:c>
      <x:c r="I61" s="197"/>
      <x:c r="J61" s="197"/>
      <x:c r="K61" s="197" t="str">
        <x:f>IF(AND(G61&lt;&gt;"",J61&lt;&gt;""),G61/J61,"")</x:f>
      </x:c>
      <x:c r="L61" s="197" t="str">
        <x:f>IF(AND(G61&lt;&gt;"",I61&lt;&gt;""),G61/I61,"")</x:f>
      </x:c>
      <x:c r="M61" s="83" t="str">
        <x:v>S09</x:v>
      </x:c>
      <x:c r="N61" s="83" t="str">
        <x:v>Documento di Descrizione degli Scenari 2024</x:v>
      </x:c>
      <x:c r="O61" s="83" t="n">
        <x:v>62</x:v>
      </x:c>
      <x:c r="P61" s="83" t="str">
        <x:v>60-61</x:v>
      </x:c>
      <x:c r="Q61" s="83" t="str">
        <x:v>Tabella 16</x:v>
      </x:c>
      <x:c r="R61" s="83" t="str">
        <x:v>Assunzione di scenario</x:v>
      </x:c>
      <x:c r="S61" s="83" t="str">
        <x:v>Direct table extraction</x:v>
      </x:c>
      <x:c r="T61" s="83" t="str">
        <x:v>A — Direct</x:v>
      </x:c>
      <x:c r="U61" s="83" t="str">
        <x:v>Energy capacity by zone and class; derive power only where duration is specified.</x:v>
      </x:c>
      <x:c r="V61" s="83" t="str">
        <x:v>Small-scale source classes are 2 or 4 hours; utility-scale is 8 hours. CM duration is not stated.</x:v>
      </x:c>
    </x:row>
    <x:row r="62">
      <x:c r="A62" s="83" t="str">
        <x:v>SZ-058</x:v>
      </x:c>
      <x:c r="B62" s="83" t="str">
        <x:v>DE_IT_2035</x:v>
      </x:c>
      <x:c r="C62" s="83" t="n">
        <x:v>2035</x:v>
      </x:c>
      <x:c r="D62" s="83" t="str">
        <x:v>DE-IT 2035</x:v>
      </x:c>
      <x:c r="E62" s="83" t="str">
        <x:v>Centro Nord</x:v>
      </x:c>
      <x:c r="F62" s="83" t="str">
        <x:v>CM</x:v>
      </x:c>
      <x:c r="G62" s="197" t="n">
        <x:v>0.1</x:v>
      </x:c>
      <x:c r="H62" s="203" t="b">
        <x:v>1</x:v>
      </x:c>
      <x:c r="I62" s="197"/>
      <x:c r="J62" s="197"/>
      <x:c r="K62" s="197" t="str">
        <x:f>IF(AND(G62&lt;&gt;"",J62&lt;&gt;""),G62/J62,"")</x:f>
      </x:c>
      <x:c r="L62" s="197" t="str">
        <x:f>IF(AND(G62&lt;&gt;"",I62&lt;&gt;""),G62/I62,"")</x:f>
      </x:c>
      <x:c r="M62" s="83" t="str">
        <x:v>S09</x:v>
      </x:c>
      <x:c r="N62" s="83" t="str">
        <x:v>Documento di Descrizione degli Scenari 2024</x:v>
      </x:c>
      <x:c r="O62" s="83" t="n">
        <x:v>62</x:v>
      </x:c>
      <x:c r="P62" s="83" t="str">
        <x:v>60-61</x:v>
      </x:c>
      <x:c r="Q62" s="83" t="str">
        <x:v>Tabella 16</x:v>
      </x:c>
      <x:c r="R62" s="83" t="str">
        <x:v>Assunzione di scenario</x:v>
      </x:c>
      <x:c r="S62" s="83" t="str">
        <x:v>Direct table extraction</x:v>
      </x:c>
      <x:c r="T62" s="83" t="str">
        <x:v>A — Direct</x:v>
      </x:c>
      <x:c r="U62" s="83" t="str">
        <x:v>Energy capacity by zone and class; derive power only where duration is specified.</x:v>
      </x:c>
      <x:c r="V62" s="83" t="str">
        <x:v>Small-scale source classes are 2 or 4 hours; utility-scale is 8 hours. CM duration is not stated.</x:v>
      </x:c>
    </x:row>
    <x:row r="63">
      <x:c r="A63" s="83" t="str">
        <x:v>SZ-059</x:v>
      </x:c>
      <x:c r="B63" s="83" t="str">
        <x:v>GA_IT_2035</x:v>
      </x:c>
      <x:c r="C63" s="83" t="n">
        <x:v>2035</x:v>
      </x:c>
      <x:c r="D63" s="83" t="str">
        <x:v>GA-IT 2035</x:v>
      </x:c>
      <x:c r="E63" s="83" t="str">
        <x:v>Centro Nord</x:v>
      </x:c>
      <x:c r="F63" s="83" t="str">
        <x:v>CM</x:v>
      </x:c>
      <x:c r="G63" s="197" t="n">
        <x:v>0.1</x:v>
      </x:c>
      <x:c r="H63" s="203" t="b">
        <x:v>1</x:v>
      </x:c>
      <x:c r="I63" s="197"/>
      <x:c r="J63" s="197"/>
      <x:c r="K63" s="197" t="str">
        <x:f>IF(AND(G63&lt;&gt;"",J63&lt;&gt;""),G63/J63,"")</x:f>
      </x:c>
      <x:c r="L63" s="197" t="str">
        <x:f>IF(AND(G63&lt;&gt;"",I63&lt;&gt;""),G63/I63,"")</x:f>
      </x:c>
      <x:c r="M63" s="83" t="str">
        <x:v>S09</x:v>
      </x:c>
      <x:c r="N63" s="83" t="str">
        <x:v>Documento di Descrizione degli Scenari 2024</x:v>
      </x:c>
      <x:c r="O63" s="83" t="n">
        <x:v>62</x:v>
      </x:c>
      <x:c r="P63" s="83" t="str">
        <x:v>60-61</x:v>
      </x:c>
      <x:c r="Q63" s="83" t="str">
        <x:v>Tabella 16</x:v>
      </x:c>
      <x:c r="R63" s="83" t="str">
        <x:v>Assunzione di scenario</x:v>
      </x:c>
      <x:c r="S63" s="83" t="str">
        <x:v>Direct table extraction</x:v>
      </x:c>
      <x:c r="T63" s="83" t="str">
        <x:v>A — Direct</x:v>
      </x:c>
      <x:c r="U63" s="83" t="str">
        <x:v>Energy capacity by zone and class; derive power only where duration is specified.</x:v>
      </x:c>
      <x:c r="V63" s="83" t="str">
        <x:v>Small-scale source classes are 2 or 4 hours; utility-scale is 8 hours. CM duration is not stated.</x:v>
      </x:c>
    </x:row>
    <x:row r="64">
      <x:c r="A64" s="83" t="str">
        <x:v>SZ-060</x:v>
      </x:c>
      <x:c r="B64" s="83" t="str">
        <x:v>PNIEC_SLOW_2035</x:v>
      </x:c>
      <x:c r="C64" s="83" t="n">
        <x:v>2035</x:v>
      </x:c>
      <x:c r="D64" s="83" t="str">
        <x:v>PNIEC Slow 2035</x:v>
      </x:c>
      <x:c r="E64" s="83" t="str">
        <x:v>Centro Nord</x:v>
      </x:c>
      <x:c r="F64" s="83" t="str">
        <x:v>CM</x:v>
      </x:c>
      <x:c r="G64" s="197" t="n">
        <x:v>0.1</x:v>
      </x:c>
      <x:c r="H64" s="203" t="b">
        <x:v>1</x:v>
      </x:c>
      <x:c r="I64" s="197"/>
      <x:c r="J64" s="197"/>
      <x:c r="K64" s="197" t="str">
        <x:f>IF(AND(G64&lt;&gt;"",J64&lt;&gt;""),G64/J64,"")</x:f>
      </x:c>
      <x:c r="L64" s="197" t="str">
        <x:f>IF(AND(G64&lt;&gt;"",I64&lt;&gt;""),G64/I64,"")</x:f>
      </x:c>
      <x:c r="M64" s="83" t="str">
        <x:v>S09</x:v>
      </x:c>
      <x:c r="N64" s="83" t="str">
        <x:v>Documento di Descrizione degli Scenari 2024</x:v>
      </x:c>
      <x:c r="O64" s="83" t="n">
        <x:v>62</x:v>
      </x:c>
      <x:c r="P64" s="83" t="str">
        <x:v>60-61</x:v>
      </x:c>
      <x:c r="Q64" s="83" t="str">
        <x:v>Tabella 16</x:v>
      </x:c>
      <x:c r="R64" s="83" t="str">
        <x:v>Assunzione di scenario</x:v>
      </x:c>
      <x:c r="S64" s="83" t="str">
        <x:v>Direct table extraction</x:v>
      </x:c>
      <x:c r="T64" s="83" t="str">
        <x:v>A — Direct</x:v>
      </x:c>
      <x:c r="U64" s="83" t="str">
        <x:v>Energy capacity by zone and class; derive power only where duration is specified.</x:v>
      </x:c>
      <x:c r="V64" s="83" t="str">
        <x:v>Small-scale source classes are 2 or 4 hours; utility-scale is 8 hours. CM duration is not stated.</x:v>
      </x:c>
    </x:row>
    <x:row r="65">
      <x:c r="A65" s="83" t="str">
        <x:v>SZ-061</x:v>
      </x:c>
      <x:c r="B65" s="83" t="str">
        <x:v>DE_IT_2040</x:v>
      </x:c>
      <x:c r="C65" s="83" t="n">
        <x:v>2040</x:v>
      </x:c>
      <x:c r="D65" s="83" t="str">
        <x:v>DE-IT 2040</x:v>
      </x:c>
      <x:c r="E65" s="83" t="str">
        <x:v>Centro Nord</x:v>
      </x:c>
      <x:c r="F65" s="83" t="str">
        <x:v>CM</x:v>
      </x:c>
      <x:c r="G65" s="197" t="n">
        <x:v>0.1</x:v>
      </x:c>
      <x:c r="H65" s="203" t="b">
        <x:v>1</x:v>
      </x:c>
      <x:c r="I65" s="197"/>
      <x:c r="J65" s="197"/>
      <x:c r="K65" s="197" t="str">
        <x:f>IF(AND(G65&lt;&gt;"",J65&lt;&gt;""),G65/J65,"")</x:f>
      </x:c>
      <x:c r="L65" s="197" t="str">
        <x:f>IF(AND(G65&lt;&gt;"",I65&lt;&gt;""),G65/I65,"")</x:f>
      </x:c>
      <x:c r="M65" s="83" t="str">
        <x:v>S09</x:v>
      </x:c>
      <x:c r="N65" s="83" t="str">
        <x:v>Documento di Descrizione degli Scenari 2024</x:v>
      </x:c>
      <x:c r="O65" s="83" t="n">
        <x:v>62</x:v>
      </x:c>
      <x:c r="P65" s="83" t="str">
        <x:v>60-61</x:v>
      </x:c>
      <x:c r="Q65" s="83" t="str">
        <x:v>Tabella 16</x:v>
      </x:c>
      <x:c r="R65" s="83" t="str">
        <x:v>Assunzione di scenario</x:v>
      </x:c>
      <x:c r="S65" s="83" t="str">
        <x:v>Direct table extraction</x:v>
      </x:c>
      <x:c r="T65" s="83" t="str">
        <x:v>A — Direct</x:v>
      </x:c>
      <x:c r="U65" s="83" t="str">
        <x:v>Energy capacity by zone and class; derive power only where duration is specified.</x:v>
      </x:c>
      <x:c r="V65" s="83" t="str">
        <x:v>Small-scale source classes are 2 or 4 hours; utility-scale is 8 hours. CM duration is not stated.</x:v>
      </x:c>
    </x:row>
    <x:row r="66">
      <x:c r="A66" s="83" t="str">
        <x:v>SZ-062</x:v>
      </x:c>
      <x:c r="B66" s="83" t="str">
        <x:v>GA_IT_2040</x:v>
      </x:c>
      <x:c r="C66" s="83" t="n">
        <x:v>2040</x:v>
      </x:c>
      <x:c r="D66" s="83" t="str">
        <x:v>GA-IT 2040</x:v>
      </x:c>
      <x:c r="E66" s="83" t="str">
        <x:v>Centro Nord</x:v>
      </x:c>
      <x:c r="F66" s="83" t="str">
        <x:v>CM</x:v>
      </x:c>
      <x:c r="G66" s="197" t="n">
        <x:v>0.1</x:v>
      </x:c>
      <x:c r="H66" s="203" t="b">
        <x:v>1</x:v>
      </x:c>
      <x:c r="I66" s="197"/>
      <x:c r="J66" s="197"/>
      <x:c r="K66" s="197" t="str">
        <x:f>IF(AND(G66&lt;&gt;"",J66&lt;&gt;""),G66/J66,"")</x:f>
      </x:c>
      <x:c r="L66" s="197" t="str">
        <x:f>IF(AND(G66&lt;&gt;"",I66&lt;&gt;""),G66/I66,"")</x:f>
      </x:c>
      <x:c r="M66" s="83" t="str">
        <x:v>S09</x:v>
      </x:c>
      <x:c r="N66" s="83" t="str">
        <x:v>Documento di Descrizione degli Scenari 2024</x:v>
      </x:c>
      <x:c r="O66" s="83" t="n">
        <x:v>62</x:v>
      </x:c>
      <x:c r="P66" s="83" t="str">
        <x:v>60-61</x:v>
      </x:c>
      <x:c r="Q66" s="83" t="str">
        <x:v>Tabella 16</x:v>
      </x:c>
      <x:c r="R66" s="83" t="str">
        <x:v>Assunzione di scenario</x:v>
      </x:c>
      <x:c r="S66" s="83" t="str">
        <x:v>Direct table extraction</x:v>
      </x:c>
      <x:c r="T66" s="83" t="str">
        <x:v>A — Direct</x:v>
      </x:c>
      <x:c r="U66" s="83" t="str">
        <x:v>Energy capacity by zone and class; derive power only where duration is specified.</x:v>
      </x:c>
      <x:c r="V66" s="83" t="str">
        <x:v>Small-scale source classes are 2 or 4 hours; utility-scale is 8 hours. CM duration is not stated.</x:v>
      </x:c>
    </x:row>
    <x:row r="67">
      <x:c r="A67" s="83" t="str">
        <x:v>SZ-063</x:v>
      </x:c>
      <x:c r="B67" s="83" t="str">
        <x:v>PNIEC_SLOW_2040</x:v>
      </x:c>
      <x:c r="C67" s="83" t="n">
        <x:v>2040</x:v>
      </x:c>
      <x:c r="D67" s="83" t="str">
        <x:v>PNIEC Slow 2040</x:v>
      </x:c>
      <x:c r="E67" s="83" t="str">
        <x:v>Centro Nord</x:v>
      </x:c>
      <x:c r="F67" s="83" t="str">
        <x:v>CM</x:v>
      </x:c>
      <x:c r="G67" s="197" t="n">
        <x:v>0.1</x:v>
      </x:c>
      <x:c r="H67" s="203" t="b">
        <x:v>1</x:v>
      </x:c>
      <x:c r="I67" s="197"/>
      <x:c r="J67" s="197"/>
      <x:c r="K67" s="197" t="str">
        <x:f>IF(AND(G67&lt;&gt;"",J67&lt;&gt;""),G67/J67,"")</x:f>
      </x:c>
      <x:c r="L67" s="197" t="str">
        <x:f>IF(AND(G67&lt;&gt;"",I67&lt;&gt;""),G67/I67,"")</x:f>
      </x:c>
      <x:c r="M67" s="83" t="str">
        <x:v>S09</x:v>
      </x:c>
      <x:c r="N67" s="83" t="str">
        <x:v>Documento di Descrizione degli Scenari 2024</x:v>
      </x:c>
      <x:c r="O67" s="83" t="n">
        <x:v>62</x:v>
      </x:c>
      <x:c r="P67" s="83" t="str">
        <x:v>60-61</x:v>
      </x:c>
      <x:c r="Q67" s="83" t="str">
        <x:v>Tabella 16</x:v>
      </x:c>
      <x:c r="R67" s="83" t="str">
        <x:v>Assunzione di scenario</x:v>
      </x:c>
      <x:c r="S67" s="83" t="str">
        <x:v>Direct table extraction</x:v>
      </x:c>
      <x:c r="T67" s="83" t="str">
        <x:v>A — Direct</x:v>
      </x:c>
      <x:c r="U67" s="83" t="str">
        <x:v>Energy capacity by zone and class; derive power only where duration is specified.</x:v>
      </x:c>
      <x:c r="V67" s="83" t="str">
        <x:v>Small-scale source classes are 2 or 4 hours; utility-scale is 8 hours. CM duration is not stated.</x:v>
      </x:c>
    </x:row>
    <x:row r="68">
      <x:c r="A68" s="83" t="str">
        <x:v>SZ-064</x:v>
      </x:c>
      <x:c r="B68" s="83" t="str">
        <x:v>HIST_2023</x:v>
      </x:c>
      <x:c r="C68" s="83" t="n">
        <x:v>2023</x:v>
      </x:c>
      <x:c r="D68" s="83" t="str">
        <x:v>Storico 2023</x:v>
      </x:c>
      <x:c r="E68" s="83" t="str">
        <x:v>Centro Nord</x:v>
      </x:c>
      <x:c r="F68" s="83" t="str">
        <x:v>Totale</x:v>
      </x:c>
      <x:c r="G68" s="197" t="n">
        <x:v>0.6</x:v>
      </x:c>
      <x:c r="H68" s="203" t="b">
        <x:v>1</x:v>
      </x:c>
      <x:c r="I68" s="197"/>
      <x:c r="J68" s="197"/>
      <x:c r="K68" s="197" t="str">
        <x:f>IF(AND(G68&lt;&gt;"",J68&lt;&gt;""),G68/J68,"")</x:f>
      </x:c>
      <x:c r="L68" s="197" t="str">
        <x:f>IF(AND(G68&lt;&gt;"",I68&lt;&gt;""),G68/I68,"")</x:f>
      </x:c>
      <x:c r="M68" s="83" t="str">
        <x:v>S09</x:v>
      </x:c>
      <x:c r="N68" s="83" t="str">
        <x:v>Documento di Descrizione degli Scenari 2024</x:v>
      </x:c>
      <x:c r="O68" s="83" t="n">
        <x:v>62</x:v>
      </x:c>
      <x:c r="P68" s="83" t="str">
        <x:v>60-61</x:v>
      </x:c>
      <x:c r="Q68" s="83" t="str">
        <x:v>Tabella 16</x:v>
      </x:c>
      <x:c r="R68" s="83" t="str">
        <x:v>Dato osservato storico nel DDS</x:v>
      </x:c>
      <x:c r="S68" s="83" t="str">
        <x:v>Direct table extraction</x:v>
      </x:c>
      <x:c r="T68" s="83" t="str">
        <x:v>A — Direct</x:v>
      </x:c>
      <x:c r="U68" s="83" t="str">
        <x:v>Energy capacity by zone and class; derive power only where duration is specified.</x:v>
      </x:c>
      <x:c r="V68" s="83" t="str">
        <x:v>Small-scale source classes are 2 or 4 hours; utility-scale is 8 hours. CM duration is not stated.</x:v>
      </x:c>
    </x:row>
    <x:row r="69">
      <x:c r="A69" s="83" t="str">
        <x:v>SZ-065</x:v>
      </x:c>
      <x:c r="B69" s="83" t="str">
        <x:v>PNIEC_POLICY_2030</x:v>
      </x:c>
      <x:c r="C69" s="83" t="n">
        <x:v>2030</x:v>
      </x:c>
      <x:c r="D69" s="83" t="str">
        <x:v>PNIEC Policy 2030</x:v>
      </x:c>
      <x:c r="E69" s="83" t="str">
        <x:v>Centro Nord</x:v>
      </x:c>
      <x:c r="F69" s="83" t="str">
        <x:v>Totale</x:v>
      </x:c>
      <x:c r="G69" s="197" t="n">
        <x:v>1.3</x:v>
      </x:c>
      <x:c r="H69" s="203" t="b">
        <x:v>1</x:v>
      </x:c>
      <x:c r="I69" s="197"/>
      <x:c r="J69" s="197"/>
      <x:c r="K69" s="197" t="str">
        <x:f>IF(AND(G69&lt;&gt;"",J69&lt;&gt;""),G69/J69,"")</x:f>
      </x:c>
      <x:c r="L69" s="197" t="str">
        <x:f>IF(AND(G69&lt;&gt;"",I69&lt;&gt;""),G69/I69,"")</x:f>
      </x:c>
      <x:c r="M69" s="83" t="str">
        <x:v>S09</x:v>
      </x:c>
      <x:c r="N69" s="83" t="str">
        <x:v>Documento di Descrizione degli Scenari 2024</x:v>
      </x:c>
      <x:c r="O69" s="83" t="n">
        <x:v>62</x:v>
      </x:c>
      <x:c r="P69" s="83" t="str">
        <x:v>60-61</x:v>
      </x:c>
      <x:c r="Q69" s="83" t="str">
        <x:v>Tabella 16</x:v>
      </x:c>
      <x:c r="R69" s="83" t="str">
        <x:v>Assunzione di scenario</x:v>
      </x:c>
      <x:c r="S69" s="83" t="str">
        <x:v>Direct table extraction</x:v>
      </x:c>
      <x:c r="T69" s="83" t="str">
        <x:v>A — Direct</x:v>
      </x:c>
      <x:c r="U69" s="83" t="str">
        <x:v>Energy capacity by zone and class; derive power only where duration is specified.</x:v>
      </x:c>
      <x:c r="V69" s="83" t="str">
        <x:v>Small-scale source classes are 2 or 4 hours; utility-scale is 8 hours. CM duration is not stated.</x:v>
      </x:c>
    </x:row>
    <x:row r="70">
      <x:c r="A70" s="83" t="str">
        <x:v>SZ-066</x:v>
      </x:c>
      <x:c r="B70" s="83" t="str">
        <x:v>PNIEC_SLOW_2030</x:v>
      </x:c>
      <x:c r="C70" s="83" t="n">
        <x:v>2030</x:v>
      </x:c>
      <x:c r="D70" s="83" t="str">
        <x:v>PNIEC Slow 2030</x:v>
      </x:c>
      <x:c r="E70" s="83" t="str">
        <x:v>Centro Nord</x:v>
      </x:c>
      <x:c r="F70" s="83" t="str">
        <x:v>Totale</x:v>
      </x:c>
      <x:c r="G70" s="197" t="n">
        <x:v>1.4</x:v>
      </x:c>
      <x:c r="H70" s="203" t="b">
        <x:v>1</x:v>
      </x:c>
      <x:c r="I70" s="197"/>
      <x:c r="J70" s="197"/>
      <x:c r="K70" s="197" t="str">
        <x:f>IF(AND(G70&lt;&gt;"",J70&lt;&gt;""),G70/J70,"")</x:f>
      </x:c>
      <x:c r="L70" s="197" t="str">
        <x:f>IF(AND(G70&lt;&gt;"",I70&lt;&gt;""),G70/I70,"")</x:f>
      </x:c>
      <x:c r="M70" s="83" t="str">
        <x:v>S09</x:v>
      </x:c>
      <x:c r="N70" s="83" t="str">
        <x:v>Documento di Descrizione degli Scenari 2024</x:v>
      </x:c>
      <x:c r="O70" s="83" t="n">
        <x:v>62</x:v>
      </x:c>
      <x:c r="P70" s="83" t="str">
        <x:v>60-61</x:v>
      </x:c>
      <x:c r="Q70" s="83" t="str">
        <x:v>Tabella 16</x:v>
      </x:c>
      <x:c r="R70" s="83" t="str">
        <x:v>Assunzione di scenario</x:v>
      </x:c>
      <x:c r="S70" s="83" t="str">
        <x:v>Direct table extraction</x:v>
      </x:c>
      <x:c r="T70" s="83" t="str">
        <x:v>A — Direct</x:v>
      </x:c>
      <x:c r="U70" s="83" t="str">
        <x:v>Energy capacity by zone and class; derive power only where duration is specified.</x:v>
      </x:c>
      <x:c r="V70" s="83" t="str">
        <x:v>Small-scale source classes are 2 or 4 hours; utility-scale is 8 hours. CM duration is not stated.</x:v>
      </x:c>
    </x:row>
    <x:row r="71">
      <x:c r="A71" s="83" t="str">
        <x:v>SZ-067</x:v>
      </x:c>
      <x:c r="B71" s="83" t="str">
        <x:v>DE_IT_2035</x:v>
      </x:c>
      <x:c r="C71" s="83" t="n">
        <x:v>2035</x:v>
      </x:c>
      <x:c r="D71" s="83" t="str">
        <x:v>DE-IT 2035</x:v>
      </x:c>
      <x:c r="E71" s="83" t="str">
        <x:v>Centro Nord</x:v>
      </x:c>
      <x:c r="F71" s="83" t="str">
        <x:v>Totale</x:v>
      </x:c>
      <x:c r="G71" s="197" t="n">
        <x:v>1.6</x:v>
      </x:c>
      <x:c r="H71" s="203" t="b">
        <x:v>1</x:v>
      </x:c>
      <x:c r="I71" s="197"/>
      <x:c r="J71" s="197"/>
      <x:c r="K71" s="197" t="str">
        <x:f>IF(AND(G71&lt;&gt;"",J71&lt;&gt;""),G71/J71,"")</x:f>
      </x:c>
      <x:c r="L71" s="197" t="str">
        <x:f>IF(AND(G71&lt;&gt;"",I71&lt;&gt;""),G71/I71,"")</x:f>
      </x:c>
      <x:c r="M71" s="83" t="str">
        <x:v>S09</x:v>
      </x:c>
      <x:c r="N71" s="83" t="str">
        <x:v>Documento di Descrizione degli Scenari 2024</x:v>
      </x:c>
      <x:c r="O71" s="83" t="n">
        <x:v>62</x:v>
      </x:c>
      <x:c r="P71" s="83" t="str">
        <x:v>60-61</x:v>
      </x:c>
      <x:c r="Q71" s="83" t="str">
        <x:v>Tabella 16</x:v>
      </x:c>
      <x:c r="R71" s="83" t="str">
        <x:v>Assunzione di scenario</x:v>
      </x:c>
      <x:c r="S71" s="83" t="str">
        <x:v>Direct table extraction</x:v>
      </x:c>
      <x:c r="T71" s="83" t="str">
        <x:v>A — Direct</x:v>
      </x:c>
      <x:c r="U71" s="83" t="str">
        <x:v>Energy capacity by zone and class; derive power only where duration is specified.</x:v>
      </x:c>
      <x:c r="V71" s="83" t="str">
        <x:v>Small-scale source classes are 2 or 4 hours; utility-scale is 8 hours. CM duration is not stated.</x:v>
      </x:c>
    </x:row>
    <x:row r="72">
      <x:c r="A72" s="83" t="str">
        <x:v>SZ-068</x:v>
      </x:c>
      <x:c r="B72" s="83" t="str">
        <x:v>GA_IT_2035</x:v>
      </x:c>
      <x:c r="C72" s="83" t="n">
        <x:v>2035</x:v>
      </x:c>
      <x:c r="D72" s="83" t="str">
        <x:v>GA-IT 2035</x:v>
      </x:c>
      <x:c r="E72" s="83" t="str">
        <x:v>Centro Nord</x:v>
      </x:c>
      <x:c r="F72" s="83" t="str">
        <x:v>Totale</x:v>
      </x:c>
      <x:c r="G72" s="197" t="n">
        <x:v>1.6</x:v>
      </x:c>
      <x:c r="H72" s="203" t="b">
        <x:v>1</x:v>
      </x:c>
      <x:c r="I72" s="197"/>
      <x:c r="J72" s="197"/>
      <x:c r="K72" s="197" t="str">
        <x:f>IF(AND(G72&lt;&gt;"",J72&lt;&gt;""),G72/J72,"")</x:f>
      </x:c>
      <x:c r="L72" s="197" t="str">
        <x:f>IF(AND(G72&lt;&gt;"",I72&lt;&gt;""),G72/I72,"")</x:f>
      </x:c>
      <x:c r="M72" s="83" t="str">
        <x:v>S09</x:v>
      </x:c>
      <x:c r="N72" s="83" t="str">
        <x:v>Documento di Descrizione degli Scenari 2024</x:v>
      </x:c>
      <x:c r="O72" s="83" t="n">
        <x:v>62</x:v>
      </x:c>
      <x:c r="P72" s="83" t="str">
        <x:v>60-61</x:v>
      </x:c>
      <x:c r="Q72" s="83" t="str">
        <x:v>Tabella 16</x:v>
      </x:c>
      <x:c r="R72" s="83" t="str">
        <x:v>Assunzione di scenario</x:v>
      </x:c>
      <x:c r="S72" s="83" t="str">
        <x:v>Direct table extraction</x:v>
      </x:c>
      <x:c r="T72" s="83" t="str">
        <x:v>A — Direct</x:v>
      </x:c>
      <x:c r="U72" s="83" t="str">
        <x:v>Energy capacity by zone and class; derive power only where duration is specified.</x:v>
      </x:c>
      <x:c r="V72" s="83" t="str">
        <x:v>Small-scale source classes are 2 or 4 hours; utility-scale is 8 hours. CM duration is not stated.</x:v>
      </x:c>
    </x:row>
    <x:row r="73">
      <x:c r="A73" s="83" t="str">
        <x:v>SZ-069</x:v>
      </x:c>
      <x:c r="B73" s="83" t="str">
        <x:v>PNIEC_SLOW_2035</x:v>
      </x:c>
      <x:c r="C73" s="83" t="n">
        <x:v>2035</x:v>
      </x:c>
      <x:c r="D73" s="83" t="str">
        <x:v>PNIEC Slow 2035</x:v>
      </x:c>
      <x:c r="E73" s="83" t="str">
        <x:v>Centro Nord</x:v>
      </x:c>
      <x:c r="F73" s="83" t="str">
        <x:v>Totale</x:v>
      </x:c>
      <x:c r="G73" s="197" t="n">
        <x:v>1.5</x:v>
      </x:c>
      <x:c r="H73" s="203" t="b">
        <x:v>1</x:v>
      </x:c>
      <x:c r="I73" s="197"/>
      <x:c r="J73" s="197"/>
      <x:c r="K73" s="197" t="str">
        <x:f>IF(AND(G73&lt;&gt;"",J73&lt;&gt;""),G73/J73,"")</x:f>
      </x:c>
      <x:c r="L73" s="197" t="str">
        <x:f>IF(AND(G73&lt;&gt;"",I73&lt;&gt;""),G73/I73,"")</x:f>
      </x:c>
      <x:c r="M73" s="83" t="str">
        <x:v>S09</x:v>
      </x:c>
      <x:c r="N73" s="83" t="str">
        <x:v>Documento di Descrizione degli Scenari 2024</x:v>
      </x:c>
      <x:c r="O73" s="83" t="n">
        <x:v>62</x:v>
      </x:c>
      <x:c r="P73" s="83" t="str">
        <x:v>60-61</x:v>
      </x:c>
      <x:c r="Q73" s="83" t="str">
        <x:v>Tabella 16</x:v>
      </x:c>
      <x:c r="R73" s="83" t="str">
        <x:v>Assunzione di scenario</x:v>
      </x:c>
      <x:c r="S73" s="83" t="str">
        <x:v>Direct table extraction</x:v>
      </x:c>
      <x:c r="T73" s="83" t="str">
        <x:v>A — Direct</x:v>
      </x:c>
      <x:c r="U73" s="83" t="str">
        <x:v>Energy capacity by zone and class; derive power only where duration is specified.</x:v>
      </x:c>
      <x:c r="V73" s="83" t="str">
        <x:v>Small-scale source classes are 2 or 4 hours; utility-scale is 8 hours. CM duration is not stated.</x:v>
      </x:c>
    </x:row>
    <x:row r="74">
      <x:c r="A74" s="83" t="str">
        <x:v>SZ-070</x:v>
      </x:c>
      <x:c r="B74" s="83" t="str">
        <x:v>DE_IT_2040</x:v>
      </x:c>
      <x:c r="C74" s="83" t="n">
        <x:v>2040</x:v>
      </x:c>
      <x:c r="D74" s="83" t="str">
        <x:v>DE-IT 2040</x:v>
      </x:c>
      <x:c r="E74" s="83" t="str">
        <x:v>Centro Nord</x:v>
      </x:c>
      <x:c r="F74" s="83" t="str">
        <x:v>Totale</x:v>
      </x:c>
      <x:c r="G74" s="197" t="n">
        <x:v>5</x:v>
      </x:c>
      <x:c r="H74" s="203" t="b">
        <x:v>1</x:v>
      </x:c>
      <x:c r="I74" s="197"/>
      <x:c r="J74" s="197"/>
      <x:c r="K74" s="197" t="str">
        <x:f>IF(AND(G74&lt;&gt;"",J74&lt;&gt;""),G74/J74,"")</x:f>
      </x:c>
      <x:c r="L74" s="197" t="str">
        <x:f>IF(AND(G74&lt;&gt;"",I74&lt;&gt;""),G74/I74,"")</x:f>
      </x:c>
      <x:c r="M74" s="83" t="str">
        <x:v>S09</x:v>
      </x:c>
      <x:c r="N74" s="83" t="str">
        <x:v>Documento di Descrizione degli Scenari 2024</x:v>
      </x:c>
      <x:c r="O74" s="83" t="n">
        <x:v>62</x:v>
      </x:c>
      <x:c r="P74" s="83" t="str">
        <x:v>60-61</x:v>
      </x:c>
      <x:c r="Q74" s="83" t="str">
        <x:v>Tabella 16</x:v>
      </x:c>
      <x:c r="R74" s="83" t="str">
        <x:v>Assunzione di scenario</x:v>
      </x:c>
      <x:c r="S74" s="83" t="str">
        <x:v>Direct table extraction</x:v>
      </x:c>
      <x:c r="T74" s="83" t="str">
        <x:v>A — Direct</x:v>
      </x:c>
      <x:c r="U74" s="83" t="str">
        <x:v>Energy capacity by zone and class; derive power only where duration is specified.</x:v>
      </x:c>
      <x:c r="V74" s="83" t="str">
        <x:v>Small-scale source classes are 2 or 4 hours; utility-scale is 8 hours. CM duration is not stated.</x:v>
      </x:c>
    </x:row>
    <x:row r="75">
      <x:c r="A75" s="83" t="str">
        <x:v>SZ-071</x:v>
      </x:c>
      <x:c r="B75" s="83" t="str">
        <x:v>GA_IT_2040</x:v>
      </x:c>
      <x:c r="C75" s="83" t="n">
        <x:v>2040</x:v>
      </x:c>
      <x:c r="D75" s="83" t="str">
        <x:v>GA-IT 2040</x:v>
      </x:c>
      <x:c r="E75" s="83" t="str">
        <x:v>Centro Nord</x:v>
      </x:c>
      <x:c r="F75" s="83" t="str">
        <x:v>Totale</x:v>
      </x:c>
      <x:c r="G75" s="197" t="n">
        <x:v>5.4</x:v>
      </x:c>
      <x:c r="H75" s="203" t="b">
        <x:v>1</x:v>
      </x:c>
      <x:c r="I75" s="197"/>
      <x:c r="J75" s="197"/>
      <x:c r="K75" s="197" t="str">
        <x:f>IF(AND(G75&lt;&gt;"",J75&lt;&gt;""),G75/J75,"")</x:f>
      </x:c>
      <x:c r="L75" s="197" t="str">
        <x:f>IF(AND(G75&lt;&gt;"",I75&lt;&gt;""),G75/I75,"")</x:f>
      </x:c>
      <x:c r="M75" s="83" t="str">
        <x:v>S09</x:v>
      </x:c>
      <x:c r="N75" s="83" t="str">
        <x:v>Documento di Descrizione degli Scenari 2024</x:v>
      </x:c>
      <x:c r="O75" s="83" t="n">
        <x:v>62</x:v>
      </x:c>
      <x:c r="P75" s="83" t="str">
        <x:v>60-61</x:v>
      </x:c>
      <x:c r="Q75" s="83" t="str">
        <x:v>Tabella 16</x:v>
      </x:c>
      <x:c r="R75" s="83" t="str">
        <x:v>Assunzione di scenario</x:v>
      </x:c>
      <x:c r="S75" s="83" t="str">
        <x:v>Direct table extraction</x:v>
      </x:c>
      <x:c r="T75" s="83" t="str">
        <x:v>A — Direct</x:v>
      </x:c>
      <x:c r="U75" s="83" t="str">
        <x:v>Energy capacity by zone and class; derive power only where duration is specified.</x:v>
      </x:c>
      <x:c r="V75" s="83" t="str">
        <x:v>Small-scale source classes are 2 or 4 hours; utility-scale is 8 hours. CM duration is not stated.</x:v>
      </x:c>
    </x:row>
    <x:row r="76">
      <x:c r="A76" s="83" t="str">
        <x:v>SZ-072</x:v>
      </x:c>
      <x:c r="B76" s="83" t="str">
        <x:v>PNIEC_SLOW_2040</x:v>
      </x:c>
      <x:c r="C76" s="83" t="n">
        <x:v>2040</x:v>
      </x:c>
      <x:c r="D76" s="83" t="str">
        <x:v>PNIEC Slow 2040</x:v>
      </x:c>
      <x:c r="E76" s="83" t="str">
        <x:v>Centro Nord</x:v>
      </x:c>
      <x:c r="F76" s="83" t="str">
        <x:v>Totale</x:v>
      </x:c>
      <x:c r="G76" s="197" t="n">
        <x:v>2.8</x:v>
      </x:c>
      <x:c r="H76" s="203" t="b">
        <x:v>1</x:v>
      </x:c>
      <x:c r="I76" s="197"/>
      <x:c r="J76" s="197"/>
      <x:c r="K76" s="197" t="str">
        <x:f>IF(AND(G76&lt;&gt;"",J76&lt;&gt;""),G76/J76,"")</x:f>
      </x:c>
      <x:c r="L76" s="197" t="str">
        <x:f>IF(AND(G76&lt;&gt;"",I76&lt;&gt;""),G76/I76,"")</x:f>
      </x:c>
      <x:c r="M76" s="83" t="str">
        <x:v>S09</x:v>
      </x:c>
      <x:c r="N76" s="83" t="str">
        <x:v>Documento di Descrizione degli Scenari 2024</x:v>
      </x:c>
      <x:c r="O76" s="83" t="n">
        <x:v>62</x:v>
      </x:c>
      <x:c r="P76" s="83" t="str">
        <x:v>60-61</x:v>
      </x:c>
      <x:c r="Q76" s="83" t="str">
        <x:v>Tabella 16</x:v>
      </x:c>
      <x:c r="R76" s="83" t="str">
        <x:v>Assunzione di scenario</x:v>
      </x:c>
      <x:c r="S76" s="83" t="str">
        <x:v>Direct table extraction</x:v>
      </x:c>
      <x:c r="T76" s="83" t="str">
        <x:v>A — Direct</x:v>
      </x:c>
      <x:c r="U76" s="83" t="str">
        <x:v>Energy capacity by zone and class; derive power only where duration is specified.</x:v>
      </x:c>
      <x:c r="V76" s="83" t="str">
        <x:v>Small-scale source classes are 2 or 4 hours; utility-scale is 8 hours. CM duration is not stated.</x:v>
      </x:c>
    </x:row>
    <x:row r="77">
      <x:c r="A77" s="83" t="str">
        <x:v>SZ-073</x:v>
      </x:c>
      <x:c r="B77" s="83" t="str">
        <x:v>HIST_2023</x:v>
      </x:c>
      <x:c r="C77" s="83" t="n">
        <x:v>2023</x:v>
      </x:c>
      <x:c r="D77" s="83" t="str">
        <x:v>Storico 2023</x:v>
      </x:c>
      <x:c r="E77" s="83" t="str">
        <x:v>Centro Sud</x:v>
      </x:c>
      <x:c r="F77" s="83" t="str">
        <x:v>Small Scale</x:v>
      </x:c>
      <x:c r="G77" s="197" t="n">
        <x:v>1.1</x:v>
      </x:c>
      <x:c r="H77" s="203" t="b">
        <x:v>1</x:v>
      </x:c>
      <x:c r="I77" s="197" t="n">
        <x:v>2</x:v>
      </x:c>
      <x:c r="J77" s="197" t="n">
        <x:v>4</x:v>
      </x:c>
      <x:c r="K77" s="197" t="n">
        <x:f>IF(AND(G77&lt;&gt;"",J77&lt;&gt;""),G77/J77,"")</x:f>
        <x:v>0.275</x:v>
      </x:c>
      <x:c r="L77" s="197" t="n">
        <x:f>IF(AND(G77&lt;&gt;"",I77&lt;&gt;""),G77/I77,"")</x:f>
        <x:v>0.55</x:v>
      </x:c>
      <x:c r="M77" s="83" t="str">
        <x:v>S09</x:v>
      </x:c>
      <x:c r="N77" s="83" t="str">
        <x:v>Documento di Descrizione degli Scenari 2024</x:v>
      </x:c>
      <x:c r="O77" s="83" t="n">
        <x:v>63</x:v>
      </x:c>
      <x:c r="P77" s="83" t="str">
        <x:v>60-61</x:v>
      </x:c>
      <x:c r="Q77" s="83" t="str">
        <x:v>Tabella 16</x:v>
      </x:c>
      <x:c r="R77" s="83" t="str">
        <x:v>Dato osservato storico nel DDS</x:v>
      </x:c>
      <x:c r="S77" s="83" t="str">
        <x:v>Direct table extraction</x:v>
      </x:c>
      <x:c r="T77" s="83" t="str">
        <x:v>A — Direct</x:v>
      </x:c>
      <x:c r="U77" s="83" t="str">
        <x:v>Energy capacity by zone and class; derive power only where duration is specified.</x:v>
      </x:c>
      <x:c r="V77" s="83" t="str">
        <x:v>Small-scale source classes are 2 or 4 hours; utility-scale is 8 hours. CM duration is not stated.</x:v>
      </x:c>
    </x:row>
    <x:row r="78">
      <x:c r="A78" s="83" t="str">
        <x:v>SZ-074</x:v>
      </x:c>
      <x:c r="B78" s="83" t="str">
        <x:v>PNIEC_POLICY_2030</x:v>
      </x:c>
      <x:c r="C78" s="83" t="n">
        <x:v>2030</x:v>
      </x:c>
      <x:c r="D78" s="83" t="str">
        <x:v>PNIEC Policy 2030</x:v>
      </x:c>
      <x:c r="E78" s="83" t="str">
        <x:v>Centro Sud</x:v>
      </x:c>
      <x:c r="F78" s="83" t="str">
        <x:v>Small Scale</x:v>
      </x:c>
      <x:c r="G78" s="197" t="n">
        <x:v>2.1</x:v>
      </x:c>
      <x:c r="H78" s="203" t="b">
        <x:v>1</x:v>
      </x:c>
      <x:c r="I78" s="197" t="n">
        <x:v>2</x:v>
      </x:c>
      <x:c r="J78" s="197" t="n">
        <x:v>4</x:v>
      </x:c>
      <x:c r="K78" s="197" t="n">
        <x:f>IF(AND(G78&lt;&gt;"",J78&lt;&gt;""),G78/J78,"")</x:f>
        <x:v>0.525</x:v>
      </x:c>
      <x:c r="L78" s="197" t="n">
        <x:f>IF(AND(G78&lt;&gt;"",I78&lt;&gt;""),G78/I78,"")</x:f>
        <x:v>1.05</x:v>
      </x:c>
      <x:c r="M78" s="83" t="str">
        <x:v>S09</x:v>
      </x:c>
      <x:c r="N78" s="83" t="str">
        <x:v>Documento di Descrizione degli Scenari 2024</x:v>
      </x:c>
      <x:c r="O78" s="83" t="n">
        <x:v>63</x:v>
      </x:c>
      <x:c r="P78" s="83" t="str">
        <x:v>60-61</x:v>
      </x:c>
      <x:c r="Q78" s="83" t="str">
        <x:v>Tabella 16</x:v>
      </x:c>
      <x:c r="R78" s="83" t="str">
        <x:v>Assunzione di scenario</x:v>
      </x:c>
      <x:c r="S78" s="83" t="str">
        <x:v>Direct table extraction</x:v>
      </x:c>
      <x:c r="T78" s="83" t="str">
        <x:v>A — Direct</x:v>
      </x:c>
      <x:c r="U78" s="83" t="str">
        <x:v>Energy capacity by zone and class; derive power only where duration is specified.</x:v>
      </x:c>
      <x:c r="V78" s="83" t="str">
        <x:v>Small-scale source classes are 2 or 4 hours; utility-scale is 8 hours. CM duration is not stated.</x:v>
      </x:c>
    </x:row>
    <x:row r="79">
      <x:c r="A79" s="83" t="str">
        <x:v>SZ-075</x:v>
      </x:c>
      <x:c r="B79" s="83" t="str">
        <x:v>PNIEC_SLOW_2030</x:v>
      </x:c>
      <x:c r="C79" s="83" t="n">
        <x:v>2030</x:v>
      </x:c>
      <x:c r="D79" s="83" t="str">
        <x:v>PNIEC Slow 2030</x:v>
      </x:c>
      <x:c r="E79" s="83" t="str">
        <x:v>Centro Sud</x:v>
      </x:c>
      <x:c r="F79" s="83" t="str">
        <x:v>Small Scale</x:v>
      </x:c>
      <x:c r="G79" s="197" t="n">
        <x:v>2</x:v>
      </x:c>
      <x:c r="H79" s="203" t="b">
        <x:v>1</x:v>
      </x:c>
      <x:c r="I79" s="197" t="n">
        <x:v>2</x:v>
      </x:c>
      <x:c r="J79" s="197" t="n">
        <x:v>4</x:v>
      </x:c>
      <x:c r="K79" s="197" t="n">
        <x:f>IF(AND(G79&lt;&gt;"",J79&lt;&gt;""),G79/J79,"")</x:f>
        <x:v>0.5</x:v>
      </x:c>
      <x:c r="L79" s="197" t="n">
        <x:f>IF(AND(G79&lt;&gt;"",I79&lt;&gt;""),G79/I79,"")</x:f>
        <x:v>1</x:v>
      </x:c>
      <x:c r="M79" s="83" t="str">
        <x:v>S09</x:v>
      </x:c>
      <x:c r="N79" s="83" t="str">
        <x:v>Documento di Descrizione degli Scenari 2024</x:v>
      </x:c>
      <x:c r="O79" s="83" t="n">
        <x:v>63</x:v>
      </x:c>
      <x:c r="P79" s="83" t="str">
        <x:v>60-61</x:v>
      </x:c>
      <x:c r="Q79" s="83" t="str">
        <x:v>Tabella 16</x:v>
      </x:c>
      <x:c r="R79" s="83" t="str">
        <x:v>Assunzione di scenario</x:v>
      </x:c>
      <x:c r="S79" s="83" t="str">
        <x:v>Direct table extraction</x:v>
      </x:c>
      <x:c r="T79" s="83" t="str">
        <x:v>A — Direct</x:v>
      </x:c>
      <x:c r="U79" s="83" t="str">
        <x:v>Energy capacity by zone and class; derive power only where duration is specified.</x:v>
      </x:c>
      <x:c r="V79" s="83" t="str">
        <x:v>Small-scale source classes are 2 or 4 hours; utility-scale is 8 hours. CM duration is not stated.</x:v>
      </x:c>
    </x:row>
    <x:row r="80">
      <x:c r="A80" s="83" t="str">
        <x:v>SZ-076</x:v>
      </x:c>
      <x:c r="B80" s="83" t="str">
        <x:v>DE_IT_2035</x:v>
      </x:c>
      <x:c r="C80" s="83" t="n">
        <x:v>2035</x:v>
      </x:c>
      <x:c r="D80" s="83" t="str">
        <x:v>DE-IT 2035</x:v>
      </x:c>
      <x:c r="E80" s="83" t="str">
        <x:v>Centro Sud</x:v>
      </x:c>
      <x:c r="F80" s="83" t="str">
        <x:v>Small Scale</x:v>
      </x:c>
      <x:c r="G80" s="197" t="n">
        <x:v>2.3</x:v>
      </x:c>
      <x:c r="H80" s="203" t="b">
        <x:v>1</x:v>
      </x:c>
      <x:c r="I80" s="197" t="n">
        <x:v>2</x:v>
      </x:c>
      <x:c r="J80" s="197" t="n">
        <x:v>4</x:v>
      </x:c>
      <x:c r="K80" s="197" t="n">
        <x:f>IF(AND(G80&lt;&gt;"",J80&lt;&gt;""),G80/J80,"")</x:f>
        <x:v>0.575</x:v>
      </x:c>
      <x:c r="L80" s="197" t="n">
        <x:f>IF(AND(G80&lt;&gt;"",I80&lt;&gt;""),G80/I80,"")</x:f>
        <x:v>1.15</x:v>
      </x:c>
      <x:c r="M80" s="83" t="str">
        <x:v>S09</x:v>
      </x:c>
      <x:c r="N80" s="83" t="str">
        <x:v>Documento di Descrizione degli Scenari 2024</x:v>
      </x:c>
      <x:c r="O80" s="83" t="n">
        <x:v>63</x:v>
      </x:c>
      <x:c r="P80" s="83" t="str">
        <x:v>60-61</x:v>
      </x:c>
      <x:c r="Q80" s="83" t="str">
        <x:v>Tabella 16</x:v>
      </x:c>
      <x:c r="R80" s="83" t="str">
        <x:v>Assunzione di scenario</x:v>
      </x:c>
      <x:c r="S80" s="83" t="str">
        <x:v>Direct table extraction</x:v>
      </x:c>
      <x:c r="T80" s="83" t="str">
        <x:v>A — Direct</x:v>
      </x:c>
      <x:c r="U80" s="83" t="str">
        <x:v>Energy capacity by zone and class; derive power only where duration is specified.</x:v>
      </x:c>
      <x:c r="V80" s="83" t="str">
        <x:v>Small-scale source classes are 2 or 4 hours; utility-scale is 8 hours. CM duration is not stated.</x:v>
      </x:c>
    </x:row>
    <x:row r="81">
      <x:c r="A81" s="83" t="str">
        <x:v>SZ-077</x:v>
      </x:c>
      <x:c r="B81" s="83" t="str">
        <x:v>GA_IT_2035</x:v>
      </x:c>
      <x:c r="C81" s="83" t="n">
        <x:v>2035</x:v>
      </x:c>
      <x:c r="D81" s="83" t="str">
        <x:v>GA-IT 2035</x:v>
      </x:c>
      <x:c r="E81" s="83" t="str">
        <x:v>Centro Sud</x:v>
      </x:c>
      <x:c r="F81" s="83" t="str">
        <x:v>Small Scale</x:v>
      </x:c>
      <x:c r="G81" s="197" t="n">
        <x:v>2.3</x:v>
      </x:c>
      <x:c r="H81" s="203" t="b">
        <x:v>1</x:v>
      </x:c>
      <x:c r="I81" s="197" t="n">
        <x:v>2</x:v>
      </x:c>
      <x:c r="J81" s="197" t="n">
        <x:v>4</x:v>
      </x:c>
      <x:c r="K81" s="197" t="n">
        <x:f>IF(AND(G81&lt;&gt;"",J81&lt;&gt;""),G81/J81,"")</x:f>
        <x:v>0.575</x:v>
      </x:c>
      <x:c r="L81" s="197" t="n">
        <x:f>IF(AND(G81&lt;&gt;"",I81&lt;&gt;""),G81/I81,"")</x:f>
        <x:v>1.15</x:v>
      </x:c>
      <x:c r="M81" s="83" t="str">
        <x:v>S09</x:v>
      </x:c>
      <x:c r="N81" s="83" t="str">
        <x:v>Documento di Descrizione degli Scenari 2024</x:v>
      </x:c>
      <x:c r="O81" s="83" t="n">
        <x:v>63</x:v>
      </x:c>
      <x:c r="P81" s="83" t="str">
        <x:v>60-61</x:v>
      </x:c>
      <x:c r="Q81" s="83" t="str">
        <x:v>Tabella 16</x:v>
      </x:c>
      <x:c r="R81" s="83" t="str">
        <x:v>Assunzione di scenario</x:v>
      </x:c>
      <x:c r="S81" s="83" t="str">
        <x:v>Direct table extraction</x:v>
      </x:c>
      <x:c r="T81" s="83" t="str">
        <x:v>A — Direct</x:v>
      </x:c>
      <x:c r="U81" s="83" t="str">
        <x:v>Energy capacity by zone and class; derive power only where duration is specified.</x:v>
      </x:c>
      <x:c r="V81" s="83" t="str">
        <x:v>Small-scale source classes are 2 or 4 hours; utility-scale is 8 hours. CM duration is not stated.</x:v>
      </x:c>
    </x:row>
    <x:row r="82">
      <x:c r="A82" s="83" t="str">
        <x:v>SZ-078</x:v>
      </x:c>
      <x:c r="B82" s="83" t="str">
        <x:v>PNIEC_SLOW_2035</x:v>
      </x:c>
      <x:c r="C82" s="83" t="n">
        <x:v>2035</x:v>
      </x:c>
      <x:c r="D82" s="83" t="str">
        <x:v>PNIEC Slow 2035</x:v>
      </x:c>
      <x:c r="E82" s="83" t="str">
        <x:v>Centro Sud</x:v>
      </x:c>
      <x:c r="F82" s="83" t="str">
        <x:v>Small Scale</x:v>
      </x:c>
      <x:c r="G82" s="197" t="n">
        <x:v>2.2</x:v>
      </x:c>
      <x:c r="H82" s="203" t="b">
        <x:v>1</x:v>
      </x:c>
      <x:c r="I82" s="197" t="n">
        <x:v>2</x:v>
      </x:c>
      <x:c r="J82" s="197" t="n">
        <x:v>4</x:v>
      </x:c>
      <x:c r="K82" s="197" t="n">
        <x:f>IF(AND(G82&lt;&gt;"",J82&lt;&gt;""),G82/J82,"")</x:f>
        <x:v>0.55</x:v>
      </x:c>
      <x:c r="L82" s="197" t="n">
        <x:f>IF(AND(G82&lt;&gt;"",I82&lt;&gt;""),G82/I82,"")</x:f>
        <x:v>1.1</x:v>
      </x:c>
      <x:c r="M82" s="83" t="str">
        <x:v>S09</x:v>
      </x:c>
      <x:c r="N82" s="83" t="str">
        <x:v>Documento di Descrizione degli Scenari 2024</x:v>
      </x:c>
      <x:c r="O82" s="83" t="n">
        <x:v>63</x:v>
      </x:c>
      <x:c r="P82" s="83" t="str">
        <x:v>60-61</x:v>
      </x:c>
      <x:c r="Q82" s="83" t="str">
        <x:v>Tabella 16</x:v>
      </x:c>
      <x:c r="R82" s="83" t="str">
        <x:v>Assunzione di scenario</x:v>
      </x:c>
      <x:c r="S82" s="83" t="str">
        <x:v>Direct table extraction</x:v>
      </x:c>
      <x:c r="T82" s="83" t="str">
        <x:v>A — Direct</x:v>
      </x:c>
      <x:c r="U82" s="83" t="str">
        <x:v>Energy capacity by zone and class; derive power only where duration is specified.</x:v>
      </x:c>
      <x:c r="V82" s="83" t="str">
        <x:v>Small-scale source classes are 2 or 4 hours; utility-scale is 8 hours. CM duration is not stated.</x:v>
      </x:c>
    </x:row>
    <x:row r="83">
      <x:c r="A83" s="83" t="str">
        <x:v>SZ-079</x:v>
      </x:c>
      <x:c r="B83" s="83" t="str">
        <x:v>DE_IT_2040</x:v>
      </x:c>
      <x:c r="C83" s="83" t="n">
        <x:v>2040</x:v>
      </x:c>
      <x:c r="D83" s="83" t="str">
        <x:v>DE-IT 2040</x:v>
      </x:c>
      <x:c r="E83" s="83" t="str">
        <x:v>Centro Sud</x:v>
      </x:c>
      <x:c r="F83" s="83" t="str">
        <x:v>Small Scale</x:v>
      </x:c>
      <x:c r="G83" s="197" t="n">
        <x:v>2.9</x:v>
      </x:c>
      <x:c r="H83" s="203" t="b">
        <x:v>1</x:v>
      </x:c>
      <x:c r="I83" s="197" t="n">
        <x:v>2</x:v>
      </x:c>
      <x:c r="J83" s="197" t="n">
        <x:v>4</x:v>
      </x:c>
      <x:c r="K83" s="197" t="n">
        <x:f>IF(AND(G83&lt;&gt;"",J83&lt;&gt;""),G83/J83,"")</x:f>
        <x:v>0.725</x:v>
      </x:c>
      <x:c r="L83" s="197" t="n">
        <x:f>IF(AND(G83&lt;&gt;"",I83&lt;&gt;""),G83/I83,"")</x:f>
        <x:v>1.45</x:v>
      </x:c>
      <x:c r="M83" s="83" t="str">
        <x:v>S09</x:v>
      </x:c>
      <x:c r="N83" s="83" t="str">
        <x:v>Documento di Descrizione degli Scenari 2024</x:v>
      </x:c>
      <x:c r="O83" s="83" t="n">
        <x:v>63</x:v>
      </x:c>
      <x:c r="P83" s="83" t="str">
        <x:v>60-61</x:v>
      </x:c>
      <x:c r="Q83" s="83" t="str">
        <x:v>Tabella 16</x:v>
      </x:c>
      <x:c r="R83" s="83" t="str">
        <x:v>Assunzione di scenario</x:v>
      </x:c>
      <x:c r="S83" s="83" t="str">
        <x:v>Direct table extraction</x:v>
      </x:c>
      <x:c r="T83" s="83" t="str">
        <x:v>A — Direct</x:v>
      </x:c>
      <x:c r="U83" s="83" t="str">
        <x:v>Energy capacity by zone and class; derive power only where duration is specified.</x:v>
      </x:c>
      <x:c r="V83" s="83" t="str">
        <x:v>Small-scale source classes are 2 or 4 hours; utility-scale is 8 hours. CM duration is not stated.</x:v>
      </x:c>
    </x:row>
    <x:row r="84">
      <x:c r="A84" s="83" t="str">
        <x:v>SZ-080</x:v>
      </x:c>
      <x:c r="B84" s="83" t="str">
        <x:v>GA_IT_2040</x:v>
      </x:c>
      <x:c r="C84" s="83" t="n">
        <x:v>2040</x:v>
      </x:c>
      <x:c r="D84" s="83" t="str">
        <x:v>GA-IT 2040</x:v>
      </x:c>
      <x:c r="E84" s="83" t="str">
        <x:v>Centro Sud</x:v>
      </x:c>
      <x:c r="F84" s="83" t="str">
        <x:v>Small Scale</x:v>
      </x:c>
      <x:c r="G84" s="197" t="n">
        <x:v>2.9</x:v>
      </x:c>
      <x:c r="H84" s="203" t="b">
        <x:v>1</x:v>
      </x:c>
      <x:c r="I84" s="197" t="n">
        <x:v>2</x:v>
      </x:c>
      <x:c r="J84" s="197" t="n">
        <x:v>4</x:v>
      </x:c>
      <x:c r="K84" s="197" t="n">
        <x:f>IF(AND(G84&lt;&gt;"",J84&lt;&gt;""),G84/J84,"")</x:f>
        <x:v>0.725</x:v>
      </x:c>
      <x:c r="L84" s="197" t="n">
        <x:f>IF(AND(G84&lt;&gt;"",I84&lt;&gt;""),G84/I84,"")</x:f>
        <x:v>1.45</x:v>
      </x:c>
      <x:c r="M84" s="83" t="str">
        <x:v>S09</x:v>
      </x:c>
      <x:c r="N84" s="83" t="str">
        <x:v>Documento di Descrizione degli Scenari 2024</x:v>
      </x:c>
      <x:c r="O84" s="83" t="n">
        <x:v>63</x:v>
      </x:c>
      <x:c r="P84" s="83" t="str">
        <x:v>60-61</x:v>
      </x:c>
      <x:c r="Q84" s="83" t="str">
        <x:v>Tabella 16</x:v>
      </x:c>
      <x:c r="R84" s="83" t="str">
        <x:v>Assunzione di scenario</x:v>
      </x:c>
      <x:c r="S84" s="83" t="str">
        <x:v>Direct table extraction</x:v>
      </x:c>
      <x:c r="T84" s="83" t="str">
        <x:v>A — Direct</x:v>
      </x:c>
      <x:c r="U84" s="83" t="str">
        <x:v>Energy capacity by zone and class; derive power only where duration is specified.</x:v>
      </x:c>
      <x:c r="V84" s="83" t="str">
        <x:v>Small-scale source classes are 2 or 4 hours; utility-scale is 8 hours. CM duration is not stated.</x:v>
      </x:c>
    </x:row>
    <x:row r="85">
      <x:c r="A85" s="83" t="str">
        <x:v>SZ-081</x:v>
      </x:c>
      <x:c r="B85" s="83" t="str">
        <x:v>PNIEC_SLOW_2040</x:v>
      </x:c>
      <x:c r="C85" s="83" t="n">
        <x:v>2040</x:v>
      </x:c>
      <x:c r="D85" s="83" t="str">
        <x:v>PNIEC Slow 2040</x:v>
      </x:c>
      <x:c r="E85" s="83" t="str">
        <x:v>Centro Sud</x:v>
      </x:c>
      <x:c r="F85" s="83" t="str">
        <x:v>Small Scale</x:v>
      </x:c>
      <x:c r="G85" s="197" t="n">
        <x:v>2.6</x:v>
      </x:c>
      <x:c r="H85" s="203" t="b">
        <x:v>1</x:v>
      </x:c>
      <x:c r="I85" s="197" t="n">
        <x:v>2</x:v>
      </x:c>
      <x:c r="J85" s="197" t="n">
        <x:v>4</x:v>
      </x:c>
      <x:c r="K85" s="197" t="n">
        <x:f>IF(AND(G85&lt;&gt;"",J85&lt;&gt;""),G85/J85,"")</x:f>
        <x:v>0.65</x:v>
      </x:c>
      <x:c r="L85" s="197" t="n">
        <x:f>IF(AND(G85&lt;&gt;"",I85&lt;&gt;""),G85/I85,"")</x:f>
        <x:v>1.3</x:v>
      </x:c>
      <x:c r="M85" s="83" t="str">
        <x:v>S09</x:v>
      </x:c>
      <x:c r="N85" s="83" t="str">
        <x:v>Documento di Descrizione degli Scenari 2024</x:v>
      </x:c>
      <x:c r="O85" s="83" t="n">
        <x:v>63</x:v>
      </x:c>
      <x:c r="P85" s="83" t="str">
        <x:v>60-61</x:v>
      </x:c>
      <x:c r="Q85" s="83" t="str">
        <x:v>Tabella 16</x:v>
      </x:c>
      <x:c r="R85" s="83" t="str">
        <x:v>Assunzione di scenario</x:v>
      </x:c>
      <x:c r="S85" s="83" t="str">
        <x:v>Direct table extraction</x:v>
      </x:c>
      <x:c r="T85" s="83" t="str">
        <x:v>A — Direct</x:v>
      </x:c>
      <x:c r="U85" s="83" t="str">
        <x:v>Energy capacity by zone and class; derive power only where duration is specified.</x:v>
      </x:c>
      <x:c r="V85" s="83" t="str">
        <x:v>Small-scale source classes are 2 or 4 hours; utility-scale is 8 hours. CM duration is not stated.</x:v>
      </x:c>
    </x:row>
    <x:row r="86">
      <x:c r="A86" s="83" t="str">
        <x:v>SZ-082</x:v>
      </x:c>
      <x:c r="B86" s="83" t="str">
        <x:v>HIST_2023</x:v>
      </x:c>
      <x:c r="C86" s="83" t="n">
        <x:v>2023</x:v>
      </x:c>
      <x:c r="D86" s="83" t="str">
        <x:v>Storico 2023</x:v>
      </x:c>
      <x:c r="E86" s="83" t="str">
        <x:v>Centro Sud</x:v>
      </x:c>
      <x:c r="F86" s="83" t="str">
        <x:v>Utility Scale</x:v>
      </x:c>
      <x:c r="G86" s="197" t="n">
        <x:v>0</x:v>
      </x:c>
      <x:c r="H86" s="203" t="b">
        <x:v>1</x:v>
      </x:c>
      <x:c r="I86" s="197" t="n">
        <x:v>8</x:v>
      </x:c>
      <x:c r="J86" s="197" t="n">
        <x:v>8</x:v>
      </x:c>
      <x:c r="K86" s="197" t="str">
        <x:f>IF(AND(G86&lt;&gt;"",J86&lt;&gt;""),G86/J86,"")</x:f>
      </x:c>
      <x:c r="L86" s="197" t="str">
        <x:f>IF(AND(G86&lt;&gt;"",I86&lt;&gt;""),G86/I86,"")</x:f>
      </x:c>
      <x:c r="M86" s="83" t="str">
        <x:v>S09</x:v>
      </x:c>
      <x:c r="N86" s="83" t="str">
        <x:v>Documento di Descrizione degli Scenari 2024</x:v>
      </x:c>
      <x:c r="O86" s="83" t="n">
        <x:v>63</x:v>
      </x:c>
      <x:c r="P86" s="83" t="str">
        <x:v>60-61</x:v>
      </x:c>
      <x:c r="Q86" s="83" t="str">
        <x:v>Tabella 16</x:v>
      </x:c>
      <x:c r="R86" s="83" t="str">
        <x:v>Dato osservato storico nel DDS</x:v>
      </x:c>
      <x:c r="S86" s="83" t="str">
        <x:v>Direct table extraction</x:v>
      </x:c>
      <x:c r="T86" s="83" t="str">
        <x:v>A — Direct</x:v>
      </x:c>
      <x:c r="U86" s="83" t="str">
        <x:v>Energy capacity by zone and class; derive power only where duration is specified.</x:v>
      </x:c>
      <x:c r="V86" s="83" t="str">
        <x:v>Small-scale source classes are 2 or 4 hours; utility-scale is 8 hours. CM duration is not stated.</x:v>
      </x:c>
    </x:row>
    <x:row r="87">
      <x:c r="A87" s="83" t="str">
        <x:v>SZ-083</x:v>
      </x:c>
      <x:c r="B87" s="83" t="str">
        <x:v>PNIEC_POLICY_2030</x:v>
      </x:c>
      <x:c r="C87" s="83" t="n">
        <x:v>2030</x:v>
      </x:c>
      <x:c r="D87" s="83" t="str">
        <x:v>PNIEC Policy 2030</x:v>
      </x:c>
      <x:c r="E87" s="83" t="str">
        <x:v>Centro Sud</x:v>
      </x:c>
      <x:c r="F87" s="83" t="str">
        <x:v>Utility Scale</x:v>
      </x:c>
      <x:c r="G87" s="197" t="n">
        <x:v>6</x:v>
      </x:c>
      <x:c r="H87" s="203" t="b">
        <x:v>1</x:v>
      </x:c>
      <x:c r="I87" s="197" t="n">
        <x:v>8</x:v>
      </x:c>
      <x:c r="J87" s="197" t="n">
        <x:v>8</x:v>
      </x:c>
      <x:c r="K87" s="197" t="n">
        <x:f>IF(AND(G87&lt;&gt;"",J87&lt;&gt;""),G87/J87,"")</x:f>
        <x:v>0.75</x:v>
      </x:c>
      <x:c r="L87" s="197" t="n">
        <x:f>IF(AND(G87&lt;&gt;"",I87&lt;&gt;""),G87/I87,"")</x:f>
        <x:v>0.75</x:v>
      </x:c>
      <x:c r="M87" s="83" t="str">
        <x:v>S09</x:v>
      </x:c>
      <x:c r="N87" s="83" t="str">
        <x:v>Documento di Descrizione degli Scenari 2024</x:v>
      </x:c>
      <x:c r="O87" s="83" t="n">
        <x:v>63</x:v>
      </x:c>
      <x:c r="P87" s="83" t="str">
        <x:v>60-61</x:v>
      </x:c>
      <x:c r="Q87" s="83" t="str">
        <x:v>Tabella 16</x:v>
      </x:c>
      <x:c r="R87" s="83" t="str">
        <x:v>Assunzione di scenario</x:v>
      </x:c>
      <x:c r="S87" s="83" t="str">
        <x:v>Direct table extraction</x:v>
      </x:c>
      <x:c r="T87" s="83" t="str">
        <x:v>A — Direct</x:v>
      </x:c>
      <x:c r="U87" s="83" t="str">
        <x:v>Energy capacity by zone and class; derive power only where duration is specified.</x:v>
      </x:c>
      <x:c r="V87" s="83" t="str">
        <x:v>Small-scale source classes are 2 or 4 hours; utility-scale is 8 hours. CM duration is not stated.</x:v>
      </x:c>
    </x:row>
    <x:row r="88">
      <x:c r="A88" s="83" t="str">
        <x:v>SZ-084</x:v>
      </x:c>
      <x:c r="B88" s="83" t="str">
        <x:v>PNIEC_SLOW_2030</x:v>
      </x:c>
      <x:c r="C88" s="83" t="n">
        <x:v>2030</x:v>
      </x:c>
      <x:c r="D88" s="83" t="str">
        <x:v>PNIEC Slow 2030</x:v>
      </x:c>
      <x:c r="E88" s="83" t="str">
        <x:v>Centro Sud</x:v>
      </x:c>
      <x:c r="F88" s="83" t="str">
        <x:v>Utility Scale</x:v>
      </x:c>
      <x:c r="G88" s="197" t="n">
        <x:v>3.6</x:v>
      </x:c>
      <x:c r="H88" s="203" t="b">
        <x:v>1</x:v>
      </x:c>
      <x:c r="I88" s="197" t="n">
        <x:v>8</x:v>
      </x:c>
      <x:c r="J88" s="197" t="n">
        <x:v>8</x:v>
      </x:c>
      <x:c r="K88" s="197" t="n">
        <x:f>IF(AND(G88&lt;&gt;"",J88&lt;&gt;""),G88/J88,"")</x:f>
        <x:v>0.45</x:v>
      </x:c>
      <x:c r="L88" s="197" t="n">
        <x:f>IF(AND(G88&lt;&gt;"",I88&lt;&gt;""),G88/I88,"")</x:f>
        <x:v>0.45</x:v>
      </x:c>
      <x:c r="M88" s="83" t="str">
        <x:v>S09</x:v>
      </x:c>
      <x:c r="N88" s="83" t="str">
        <x:v>Documento di Descrizione degli Scenari 2024</x:v>
      </x:c>
      <x:c r="O88" s="83" t="n">
        <x:v>63</x:v>
      </x:c>
      <x:c r="P88" s="83" t="str">
        <x:v>60-61</x:v>
      </x:c>
      <x:c r="Q88" s="83" t="str">
        <x:v>Tabella 16</x:v>
      </x:c>
      <x:c r="R88" s="83" t="str">
        <x:v>Assunzione di scenario</x:v>
      </x:c>
      <x:c r="S88" s="83" t="str">
        <x:v>Direct table extraction</x:v>
      </x:c>
      <x:c r="T88" s="83" t="str">
        <x:v>A — Direct</x:v>
      </x:c>
      <x:c r="U88" s="83" t="str">
        <x:v>Energy capacity by zone and class; derive power only where duration is specified.</x:v>
      </x:c>
      <x:c r="V88" s="83" t="str">
        <x:v>Small-scale source classes are 2 or 4 hours; utility-scale is 8 hours. CM duration is not stated.</x:v>
      </x:c>
    </x:row>
    <x:row r="89">
      <x:c r="A89" s="83" t="str">
        <x:v>SZ-085</x:v>
      </x:c>
      <x:c r="B89" s="83" t="str">
        <x:v>DE_IT_2035</x:v>
      </x:c>
      <x:c r="C89" s="83" t="n">
        <x:v>2035</x:v>
      </x:c>
      <x:c r="D89" s="83" t="str">
        <x:v>DE-IT 2035</x:v>
      </x:c>
      <x:c r="E89" s="83" t="str">
        <x:v>Centro Sud</x:v>
      </x:c>
      <x:c r="F89" s="83" t="str">
        <x:v>Utility Scale</x:v>
      </x:c>
      <x:c r="G89" s="197" t="n">
        <x:v>13.5</x:v>
      </x:c>
      <x:c r="H89" s="203" t="b">
        <x:v>1</x:v>
      </x:c>
      <x:c r="I89" s="197" t="n">
        <x:v>8</x:v>
      </x:c>
      <x:c r="J89" s="197" t="n">
        <x:v>8</x:v>
      </x:c>
      <x:c r="K89" s="197" t="n">
        <x:f>IF(AND(G89&lt;&gt;"",J89&lt;&gt;""),G89/J89,"")</x:f>
        <x:v>1.6875</x:v>
      </x:c>
      <x:c r="L89" s="197" t="n">
        <x:f>IF(AND(G89&lt;&gt;"",I89&lt;&gt;""),G89/I89,"")</x:f>
        <x:v>1.6875</x:v>
      </x:c>
      <x:c r="M89" s="83" t="str">
        <x:v>S09</x:v>
      </x:c>
      <x:c r="N89" s="83" t="str">
        <x:v>Documento di Descrizione degli Scenari 2024</x:v>
      </x:c>
      <x:c r="O89" s="83" t="n">
        <x:v>63</x:v>
      </x:c>
      <x:c r="P89" s="83" t="str">
        <x:v>60-61</x:v>
      </x:c>
      <x:c r="Q89" s="83" t="str">
        <x:v>Tabella 16</x:v>
      </x:c>
      <x:c r="R89" s="83" t="str">
        <x:v>Assunzione di scenario</x:v>
      </x:c>
      <x:c r="S89" s="83" t="str">
        <x:v>Direct table extraction</x:v>
      </x:c>
      <x:c r="T89" s="83" t="str">
        <x:v>A — Direct</x:v>
      </x:c>
      <x:c r="U89" s="83" t="str">
        <x:v>Energy capacity by zone and class; derive power only where duration is specified.</x:v>
      </x:c>
      <x:c r="V89" s="83" t="str">
        <x:v>Small-scale source classes are 2 or 4 hours; utility-scale is 8 hours. CM duration is not stated.</x:v>
      </x:c>
    </x:row>
    <x:row r="90">
      <x:c r="A90" s="83" t="str">
        <x:v>SZ-086</x:v>
      </x:c>
      <x:c r="B90" s="83" t="str">
        <x:v>GA_IT_2035</x:v>
      </x:c>
      <x:c r="C90" s="83" t="n">
        <x:v>2035</x:v>
      </x:c>
      <x:c r="D90" s="83" t="str">
        <x:v>GA-IT 2035</x:v>
      </x:c>
      <x:c r="E90" s="83" t="str">
        <x:v>Centro Sud</x:v>
      </x:c>
      <x:c r="F90" s="83" t="str">
        <x:v>Utility Scale</x:v>
      </x:c>
      <x:c r="G90" s="197" t="n">
        <x:v>9.6</x:v>
      </x:c>
      <x:c r="H90" s="203" t="b">
        <x:v>1</x:v>
      </x:c>
      <x:c r="I90" s="197" t="n">
        <x:v>8</x:v>
      </x:c>
      <x:c r="J90" s="197" t="n">
        <x:v>8</x:v>
      </x:c>
      <x:c r="K90" s="197" t="n">
        <x:f>IF(AND(G90&lt;&gt;"",J90&lt;&gt;""),G90/J90,"")</x:f>
        <x:v>1.2</x:v>
      </x:c>
      <x:c r="L90" s="197" t="n">
        <x:f>IF(AND(G90&lt;&gt;"",I90&lt;&gt;""),G90/I90,"")</x:f>
        <x:v>1.2</x:v>
      </x:c>
      <x:c r="M90" s="83" t="str">
        <x:v>S09</x:v>
      </x:c>
      <x:c r="N90" s="83" t="str">
        <x:v>Documento di Descrizione degli Scenari 2024</x:v>
      </x:c>
      <x:c r="O90" s="83" t="n">
        <x:v>63</x:v>
      </x:c>
      <x:c r="P90" s="83" t="str">
        <x:v>60-61</x:v>
      </x:c>
      <x:c r="Q90" s="83" t="str">
        <x:v>Tabella 16</x:v>
      </x:c>
      <x:c r="R90" s="83" t="str">
        <x:v>Assunzione di scenario</x:v>
      </x:c>
      <x:c r="S90" s="83" t="str">
        <x:v>Direct table extraction</x:v>
      </x:c>
      <x:c r="T90" s="83" t="str">
        <x:v>A — Direct</x:v>
      </x:c>
      <x:c r="U90" s="83" t="str">
        <x:v>Energy capacity by zone and class; derive power only where duration is specified.</x:v>
      </x:c>
      <x:c r="V90" s="83" t="str">
        <x:v>Small-scale source classes are 2 or 4 hours; utility-scale is 8 hours. CM duration is not stated.</x:v>
      </x:c>
    </x:row>
    <x:row r="91">
      <x:c r="A91" s="83" t="str">
        <x:v>SZ-087</x:v>
      </x:c>
      <x:c r="B91" s="83" t="str">
        <x:v>PNIEC_SLOW_2035</x:v>
      </x:c>
      <x:c r="C91" s="83" t="n">
        <x:v>2035</x:v>
      </x:c>
      <x:c r="D91" s="83" t="str">
        <x:v>PNIEC Slow 2035</x:v>
      </x:c>
      <x:c r="E91" s="83" t="str">
        <x:v>Centro Sud</x:v>
      </x:c>
      <x:c r="F91" s="83" t="str">
        <x:v>Utility Scale</x:v>
      </x:c>
      <x:c r="G91" s="197" t="n">
        <x:v>8.2</x:v>
      </x:c>
      <x:c r="H91" s="203" t="b">
        <x:v>1</x:v>
      </x:c>
      <x:c r="I91" s="197" t="n">
        <x:v>8</x:v>
      </x:c>
      <x:c r="J91" s="197" t="n">
        <x:v>8</x:v>
      </x:c>
      <x:c r="K91" s="197" t="n">
        <x:f>IF(AND(G91&lt;&gt;"",J91&lt;&gt;""),G91/J91,"")</x:f>
        <x:v>1.025</x:v>
      </x:c>
      <x:c r="L91" s="197" t="n">
        <x:f>IF(AND(G91&lt;&gt;"",I91&lt;&gt;""),G91/I91,"")</x:f>
        <x:v>1.025</x:v>
      </x:c>
      <x:c r="M91" s="83" t="str">
        <x:v>S09</x:v>
      </x:c>
      <x:c r="N91" s="83" t="str">
        <x:v>Documento di Descrizione degli Scenari 2024</x:v>
      </x:c>
      <x:c r="O91" s="83" t="n">
        <x:v>63</x:v>
      </x:c>
      <x:c r="P91" s="83" t="str">
        <x:v>60-61</x:v>
      </x:c>
      <x:c r="Q91" s="83" t="str">
        <x:v>Tabella 16</x:v>
      </x:c>
      <x:c r="R91" s="83" t="str">
        <x:v>Assunzione di scenario</x:v>
      </x:c>
      <x:c r="S91" s="83" t="str">
        <x:v>Direct table extraction</x:v>
      </x:c>
      <x:c r="T91" s="83" t="str">
        <x:v>A — Direct</x:v>
      </x:c>
      <x:c r="U91" s="83" t="str">
        <x:v>Energy capacity by zone and class; derive power only where duration is specified.</x:v>
      </x:c>
      <x:c r="V91" s="83" t="str">
        <x:v>Small-scale source classes are 2 or 4 hours; utility-scale is 8 hours. CM duration is not stated.</x:v>
      </x:c>
    </x:row>
    <x:row r="92">
      <x:c r="A92" s="83" t="str">
        <x:v>SZ-088</x:v>
      </x:c>
      <x:c r="B92" s="83" t="str">
        <x:v>DE_IT_2040</x:v>
      </x:c>
      <x:c r="C92" s="83" t="n">
        <x:v>2040</x:v>
      </x:c>
      <x:c r="D92" s="83" t="str">
        <x:v>DE-IT 2040</x:v>
      </x:c>
      <x:c r="E92" s="83" t="str">
        <x:v>Centro Sud</x:v>
      </x:c>
      <x:c r="F92" s="83" t="str">
        <x:v>Utility Scale</x:v>
      </x:c>
      <x:c r="G92" s="197" t="n">
        <x:v>22.3</x:v>
      </x:c>
      <x:c r="H92" s="203" t="b">
        <x:v>1</x:v>
      </x:c>
      <x:c r="I92" s="197" t="n">
        <x:v>8</x:v>
      </x:c>
      <x:c r="J92" s="197" t="n">
        <x:v>8</x:v>
      </x:c>
      <x:c r="K92" s="197" t="n">
        <x:f>IF(AND(G92&lt;&gt;"",J92&lt;&gt;""),G92/J92,"")</x:f>
        <x:v>2.7875</x:v>
      </x:c>
      <x:c r="L92" s="197" t="n">
        <x:f>IF(AND(G92&lt;&gt;"",I92&lt;&gt;""),G92/I92,"")</x:f>
        <x:v>2.7875</x:v>
      </x:c>
      <x:c r="M92" s="83" t="str">
        <x:v>S09</x:v>
      </x:c>
      <x:c r="N92" s="83" t="str">
        <x:v>Documento di Descrizione degli Scenari 2024</x:v>
      </x:c>
      <x:c r="O92" s="83" t="n">
        <x:v>63</x:v>
      </x:c>
      <x:c r="P92" s="83" t="str">
        <x:v>60-61</x:v>
      </x:c>
      <x:c r="Q92" s="83" t="str">
        <x:v>Tabella 16</x:v>
      </x:c>
      <x:c r="R92" s="83" t="str">
        <x:v>Assunzione di scenario</x:v>
      </x:c>
      <x:c r="S92" s="83" t="str">
        <x:v>Direct table extraction</x:v>
      </x:c>
      <x:c r="T92" s="83" t="str">
        <x:v>A — Direct</x:v>
      </x:c>
      <x:c r="U92" s="83" t="str">
        <x:v>Energy capacity by zone and class; derive power only where duration is specified.</x:v>
      </x:c>
      <x:c r="V92" s="83" t="str">
        <x:v>Small-scale source classes are 2 or 4 hours; utility-scale is 8 hours. CM duration is not stated.</x:v>
      </x:c>
    </x:row>
    <x:row r="93">
      <x:c r="A93" s="83" t="str">
        <x:v>SZ-089</x:v>
      </x:c>
      <x:c r="B93" s="83" t="str">
        <x:v>GA_IT_2040</x:v>
      </x:c>
      <x:c r="C93" s="83" t="n">
        <x:v>2040</x:v>
      </x:c>
      <x:c r="D93" s="83" t="str">
        <x:v>GA-IT 2040</x:v>
      </x:c>
      <x:c r="E93" s="83" t="str">
        <x:v>Centro Sud</x:v>
      </x:c>
      <x:c r="F93" s="83" t="str">
        <x:v>Utility Scale</x:v>
      </x:c>
      <x:c r="G93" s="197" t="n">
        <x:v>19.3</x:v>
      </x:c>
      <x:c r="H93" s="203" t="b">
        <x:v>1</x:v>
      </x:c>
      <x:c r="I93" s="197" t="n">
        <x:v>8</x:v>
      </x:c>
      <x:c r="J93" s="197" t="n">
        <x:v>8</x:v>
      </x:c>
      <x:c r="K93" s="197" t="n">
        <x:f>IF(AND(G93&lt;&gt;"",J93&lt;&gt;""),G93/J93,"")</x:f>
        <x:v>2.4125</x:v>
      </x:c>
      <x:c r="L93" s="197" t="n">
        <x:f>IF(AND(G93&lt;&gt;"",I93&lt;&gt;""),G93/I93,"")</x:f>
        <x:v>2.4125</x:v>
      </x:c>
      <x:c r="M93" s="83" t="str">
        <x:v>S09</x:v>
      </x:c>
      <x:c r="N93" s="83" t="str">
        <x:v>Documento di Descrizione degli Scenari 2024</x:v>
      </x:c>
      <x:c r="O93" s="83" t="n">
        <x:v>63</x:v>
      </x:c>
      <x:c r="P93" s="83" t="str">
        <x:v>60-61</x:v>
      </x:c>
      <x:c r="Q93" s="83" t="str">
        <x:v>Tabella 16</x:v>
      </x:c>
      <x:c r="R93" s="83" t="str">
        <x:v>Assunzione di scenario</x:v>
      </x:c>
      <x:c r="S93" s="83" t="str">
        <x:v>Direct table extraction</x:v>
      </x:c>
      <x:c r="T93" s="83" t="str">
        <x:v>A — Direct</x:v>
      </x:c>
      <x:c r="U93" s="83" t="str">
        <x:v>Energy capacity by zone and class; derive power only where duration is specified.</x:v>
      </x:c>
      <x:c r="V93" s="83" t="str">
        <x:v>Small-scale source classes are 2 or 4 hours; utility-scale is 8 hours. CM duration is not stated.</x:v>
      </x:c>
    </x:row>
    <x:row r="94">
      <x:c r="A94" s="83" t="str">
        <x:v>SZ-090</x:v>
      </x:c>
      <x:c r="B94" s="83" t="str">
        <x:v>PNIEC_SLOW_2040</x:v>
      </x:c>
      <x:c r="C94" s="83" t="n">
        <x:v>2040</x:v>
      </x:c>
      <x:c r="D94" s="83" t="str">
        <x:v>PNIEC Slow 2040</x:v>
      </x:c>
      <x:c r="E94" s="83" t="str">
        <x:v>Centro Sud</x:v>
      </x:c>
      <x:c r="F94" s="83" t="str">
        <x:v>Utility Scale</x:v>
      </x:c>
      <x:c r="G94" s="197" t="n">
        <x:v>13.3</x:v>
      </x:c>
      <x:c r="H94" s="203" t="b">
        <x:v>1</x:v>
      </x:c>
      <x:c r="I94" s="197" t="n">
        <x:v>8</x:v>
      </x:c>
      <x:c r="J94" s="197" t="n">
        <x:v>8</x:v>
      </x:c>
      <x:c r="K94" s="197" t="n">
        <x:f>IF(AND(G94&lt;&gt;"",J94&lt;&gt;""),G94/J94,"")</x:f>
        <x:v>1.6625</x:v>
      </x:c>
      <x:c r="L94" s="197" t="n">
        <x:f>IF(AND(G94&lt;&gt;"",I94&lt;&gt;""),G94/I94,"")</x:f>
        <x:v>1.6625</x:v>
      </x:c>
      <x:c r="M94" s="83" t="str">
        <x:v>S09</x:v>
      </x:c>
      <x:c r="N94" s="83" t="str">
        <x:v>Documento di Descrizione degli Scenari 2024</x:v>
      </x:c>
      <x:c r="O94" s="83" t="n">
        <x:v>63</x:v>
      </x:c>
      <x:c r="P94" s="83" t="str">
        <x:v>60-61</x:v>
      </x:c>
      <x:c r="Q94" s="83" t="str">
        <x:v>Tabella 16</x:v>
      </x:c>
      <x:c r="R94" s="83" t="str">
        <x:v>Assunzione di scenario</x:v>
      </x:c>
      <x:c r="S94" s="83" t="str">
        <x:v>Direct table extraction</x:v>
      </x:c>
      <x:c r="T94" s="83" t="str">
        <x:v>A — Direct</x:v>
      </x:c>
      <x:c r="U94" s="83" t="str">
        <x:v>Energy capacity by zone and class; derive power only where duration is specified.</x:v>
      </x:c>
      <x:c r="V94" s="83" t="str">
        <x:v>Small-scale source classes are 2 or 4 hours; utility-scale is 8 hours. CM duration is not stated.</x:v>
      </x:c>
    </x:row>
    <x:row r="95">
      <x:c r="A95" s="83" t="str">
        <x:v>SZ-091</x:v>
      </x:c>
      <x:c r="B95" s="83" t="str">
        <x:v>HIST_2023</x:v>
      </x:c>
      <x:c r="C95" s="83" t="n">
        <x:v>2023</x:v>
      </x:c>
      <x:c r="D95" s="83" t="str">
        <x:v>Storico 2023</x:v>
      </x:c>
      <x:c r="E95" s="83" t="str">
        <x:v>Centro Sud</x:v>
      </x:c>
      <x:c r="F95" s="83" t="str">
        <x:v>CM</x:v>
      </x:c>
      <x:c r="G95" s="197" t="n">
        <x:v>0</x:v>
      </x:c>
      <x:c r="H95" s="203" t="b">
        <x:v>1</x:v>
      </x:c>
      <x:c r="I95" s="197"/>
      <x:c r="J95" s="197"/>
      <x:c r="K95" s="197" t="str">
        <x:f>IF(AND(G95&lt;&gt;"",J95&lt;&gt;""),G95/J95,"")</x:f>
      </x:c>
      <x:c r="L95" s="197" t="str">
        <x:f>IF(AND(G95&lt;&gt;"",I95&lt;&gt;""),G95/I95,"")</x:f>
      </x:c>
      <x:c r="M95" s="83" t="str">
        <x:v>S09</x:v>
      </x:c>
      <x:c r="N95" s="83" t="str">
        <x:v>Documento di Descrizione degli Scenari 2024</x:v>
      </x:c>
      <x:c r="O95" s="83" t="n">
        <x:v>63</x:v>
      </x:c>
      <x:c r="P95" s="83" t="str">
        <x:v>60-61</x:v>
      </x:c>
      <x:c r="Q95" s="83" t="str">
        <x:v>Tabella 16</x:v>
      </x:c>
      <x:c r="R95" s="83" t="str">
        <x:v>Dato osservato storico nel DDS</x:v>
      </x:c>
      <x:c r="S95" s="83" t="str">
        <x:v>Direct table extraction</x:v>
      </x:c>
      <x:c r="T95" s="83" t="str">
        <x:v>A — Direct</x:v>
      </x:c>
      <x:c r="U95" s="83" t="str">
        <x:v>Energy capacity by zone and class; derive power only where duration is specified.</x:v>
      </x:c>
      <x:c r="V95" s="83" t="str">
        <x:v>Small-scale source classes are 2 or 4 hours; utility-scale is 8 hours. CM duration is not stated.</x:v>
      </x:c>
    </x:row>
    <x:row r="96">
      <x:c r="A96" s="83" t="str">
        <x:v>SZ-092</x:v>
      </x:c>
      <x:c r="B96" s="83" t="str">
        <x:v>PNIEC_POLICY_2030</x:v>
      </x:c>
      <x:c r="C96" s="83" t="n">
        <x:v>2030</x:v>
      </x:c>
      <x:c r="D96" s="83" t="str">
        <x:v>PNIEC Policy 2030</x:v>
      </x:c>
      <x:c r="E96" s="83" t="str">
        <x:v>Centro Sud</x:v>
      </x:c>
      <x:c r="F96" s="83" t="str">
        <x:v>CM</x:v>
      </x:c>
      <x:c r="G96" s="197" t="n">
        <x:v>0.9</x:v>
      </x:c>
      <x:c r="H96" s="203" t="b">
        <x:v>1</x:v>
      </x:c>
      <x:c r="I96" s="197"/>
      <x:c r="J96" s="197"/>
      <x:c r="K96" s="197" t="str">
        <x:f>IF(AND(G96&lt;&gt;"",J96&lt;&gt;""),G96/J96,"")</x:f>
      </x:c>
      <x:c r="L96" s="197" t="str">
        <x:f>IF(AND(G96&lt;&gt;"",I96&lt;&gt;""),G96/I96,"")</x:f>
      </x:c>
      <x:c r="M96" s="83" t="str">
        <x:v>S09</x:v>
      </x:c>
      <x:c r="N96" s="83" t="str">
        <x:v>Documento di Descrizione degli Scenari 2024</x:v>
      </x:c>
      <x:c r="O96" s="83" t="n">
        <x:v>63</x:v>
      </x:c>
      <x:c r="P96" s="83" t="str">
        <x:v>60-61</x:v>
      </x:c>
      <x:c r="Q96" s="83" t="str">
        <x:v>Tabella 16</x:v>
      </x:c>
      <x:c r="R96" s="83" t="str">
        <x:v>Assunzione di scenario</x:v>
      </x:c>
      <x:c r="S96" s="83" t="str">
        <x:v>Direct table extraction</x:v>
      </x:c>
      <x:c r="T96" s="83" t="str">
        <x:v>A — Direct</x:v>
      </x:c>
      <x:c r="U96" s="83" t="str">
        <x:v>Energy capacity by zone and class; derive power only where duration is specified.</x:v>
      </x:c>
      <x:c r="V96" s="83" t="str">
        <x:v>Small-scale source classes are 2 or 4 hours; utility-scale is 8 hours. CM duration is not stated.</x:v>
      </x:c>
    </x:row>
    <x:row r="97">
      <x:c r="A97" s="83" t="str">
        <x:v>SZ-093</x:v>
      </x:c>
      <x:c r="B97" s="83" t="str">
        <x:v>PNIEC_SLOW_2030</x:v>
      </x:c>
      <x:c r="C97" s="83" t="n">
        <x:v>2030</x:v>
      </x:c>
      <x:c r="D97" s="83" t="str">
        <x:v>PNIEC Slow 2030</x:v>
      </x:c>
      <x:c r="E97" s="83" t="str">
        <x:v>Centro Sud</x:v>
      </x:c>
      <x:c r="F97" s="83" t="str">
        <x:v>CM</x:v>
      </x:c>
      <x:c r="G97" s="197" t="n">
        <x:v>0.9</x:v>
      </x:c>
      <x:c r="H97" s="203" t="b">
        <x:v>1</x:v>
      </x:c>
      <x:c r="I97" s="197"/>
      <x:c r="J97" s="197"/>
      <x:c r="K97" s="197" t="str">
        <x:f>IF(AND(G97&lt;&gt;"",J97&lt;&gt;""),G97/J97,"")</x:f>
      </x:c>
      <x:c r="L97" s="197" t="str">
        <x:f>IF(AND(G97&lt;&gt;"",I97&lt;&gt;""),G97/I97,"")</x:f>
      </x:c>
      <x:c r="M97" s="83" t="str">
        <x:v>S09</x:v>
      </x:c>
      <x:c r="N97" s="83" t="str">
        <x:v>Documento di Descrizione degli Scenari 2024</x:v>
      </x:c>
      <x:c r="O97" s="83" t="n">
        <x:v>63</x:v>
      </x:c>
      <x:c r="P97" s="83" t="str">
        <x:v>60-61</x:v>
      </x:c>
      <x:c r="Q97" s="83" t="str">
        <x:v>Tabella 16</x:v>
      </x:c>
      <x:c r="R97" s="83" t="str">
        <x:v>Assunzione di scenario</x:v>
      </x:c>
      <x:c r="S97" s="83" t="str">
        <x:v>Direct table extraction</x:v>
      </x:c>
      <x:c r="T97" s="83" t="str">
        <x:v>A — Direct</x:v>
      </x:c>
      <x:c r="U97" s="83" t="str">
        <x:v>Energy capacity by zone and class; derive power only where duration is specified.</x:v>
      </x:c>
      <x:c r="V97" s="83" t="str">
        <x:v>Small-scale source classes are 2 or 4 hours; utility-scale is 8 hours. CM duration is not stated.</x:v>
      </x:c>
    </x:row>
    <x:row r="98">
      <x:c r="A98" s="83" t="str">
        <x:v>SZ-094</x:v>
      </x:c>
      <x:c r="B98" s="83" t="str">
        <x:v>DE_IT_2035</x:v>
      </x:c>
      <x:c r="C98" s="83" t="n">
        <x:v>2035</x:v>
      </x:c>
      <x:c r="D98" s="83" t="str">
        <x:v>DE-IT 2035</x:v>
      </x:c>
      <x:c r="E98" s="83" t="str">
        <x:v>Centro Sud</x:v>
      </x:c>
      <x:c r="F98" s="83" t="str">
        <x:v>CM</x:v>
      </x:c>
      <x:c r="G98" s="197" t="n">
        <x:v>0.9</x:v>
      </x:c>
      <x:c r="H98" s="203" t="b">
        <x:v>1</x:v>
      </x:c>
      <x:c r="I98" s="197"/>
      <x:c r="J98" s="197"/>
      <x:c r="K98" s="197" t="str">
        <x:f>IF(AND(G98&lt;&gt;"",J98&lt;&gt;""),G98/J98,"")</x:f>
      </x:c>
      <x:c r="L98" s="197" t="str">
        <x:f>IF(AND(G98&lt;&gt;"",I98&lt;&gt;""),G98/I98,"")</x:f>
      </x:c>
      <x:c r="M98" s="83" t="str">
        <x:v>S09</x:v>
      </x:c>
      <x:c r="N98" s="83" t="str">
        <x:v>Documento di Descrizione degli Scenari 2024</x:v>
      </x:c>
      <x:c r="O98" s="83" t="n">
        <x:v>63</x:v>
      </x:c>
      <x:c r="P98" s="83" t="str">
        <x:v>60-61</x:v>
      </x:c>
      <x:c r="Q98" s="83" t="str">
        <x:v>Tabella 16</x:v>
      </x:c>
      <x:c r="R98" s="83" t="str">
        <x:v>Assunzione di scenario</x:v>
      </x:c>
      <x:c r="S98" s="83" t="str">
        <x:v>Direct table extraction</x:v>
      </x:c>
      <x:c r="T98" s="83" t="str">
        <x:v>A — Direct</x:v>
      </x:c>
      <x:c r="U98" s="83" t="str">
        <x:v>Energy capacity by zone and class; derive power only where duration is specified.</x:v>
      </x:c>
      <x:c r="V98" s="83" t="str">
        <x:v>Small-scale source classes are 2 or 4 hours; utility-scale is 8 hours. CM duration is not stated.</x:v>
      </x:c>
    </x:row>
    <x:row r="99">
      <x:c r="A99" s="83" t="str">
        <x:v>SZ-095</x:v>
      </x:c>
      <x:c r="B99" s="83" t="str">
        <x:v>GA_IT_2035</x:v>
      </x:c>
      <x:c r="C99" s="83" t="n">
        <x:v>2035</x:v>
      </x:c>
      <x:c r="D99" s="83" t="str">
        <x:v>GA-IT 2035</x:v>
      </x:c>
      <x:c r="E99" s="83" t="str">
        <x:v>Centro Sud</x:v>
      </x:c>
      <x:c r="F99" s="83" t="str">
        <x:v>CM</x:v>
      </x:c>
      <x:c r="G99" s="197" t="n">
        <x:v>0.9</x:v>
      </x:c>
      <x:c r="H99" s="203" t="b">
        <x:v>1</x:v>
      </x:c>
      <x:c r="I99" s="197"/>
      <x:c r="J99" s="197"/>
      <x:c r="K99" s="197" t="str">
        <x:f>IF(AND(G99&lt;&gt;"",J99&lt;&gt;""),G99/J99,"")</x:f>
      </x:c>
      <x:c r="L99" s="197" t="str">
        <x:f>IF(AND(G99&lt;&gt;"",I99&lt;&gt;""),G99/I99,"")</x:f>
      </x:c>
      <x:c r="M99" s="83" t="str">
        <x:v>S09</x:v>
      </x:c>
      <x:c r="N99" s="83" t="str">
        <x:v>Documento di Descrizione degli Scenari 2024</x:v>
      </x:c>
      <x:c r="O99" s="83" t="n">
        <x:v>63</x:v>
      </x:c>
      <x:c r="P99" s="83" t="str">
        <x:v>60-61</x:v>
      </x:c>
      <x:c r="Q99" s="83" t="str">
        <x:v>Tabella 16</x:v>
      </x:c>
      <x:c r="R99" s="83" t="str">
        <x:v>Assunzione di scenario</x:v>
      </x:c>
      <x:c r="S99" s="83" t="str">
        <x:v>Direct table extraction</x:v>
      </x:c>
      <x:c r="T99" s="83" t="str">
        <x:v>A — Direct</x:v>
      </x:c>
      <x:c r="U99" s="83" t="str">
        <x:v>Energy capacity by zone and class; derive power only where duration is specified.</x:v>
      </x:c>
      <x:c r="V99" s="83" t="str">
        <x:v>Small-scale source classes are 2 or 4 hours; utility-scale is 8 hours. CM duration is not stated.</x:v>
      </x:c>
    </x:row>
    <x:row r="100">
      <x:c r="A100" s="83" t="str">
        <x:v>SZ-096</x:v>
      </x:c>
      <x:c r="B100" s="83" t="str">
        <x:v>PNIEC_SLOW_2035</x:v>
      </x:c>
      <x:c r="C100" s="83" t="n">
        <x:v>2035</x:v>
      </x:c>
      <x:c r="D100" s="83" t="str">
        <x:v>PNIEC Slow 2035</x:v>
      </x:c>
      <x:c r="E100" s="83" t="str">
        <x:v>Centro Sud</x:v>
      </x:c>
      <x:c r="F100" s="83" t="str">
        <x:v>CM</x:v>
      </x:c>
      <x:c r="G100" s="197" t="n">
        <x:v>0.9</x:v>
      </x:c>
      <x:c r="H100" s="203" t="b">
        <x:v>1</x:v>
      </x:c>
      <x:c r="I100" s="197"/>
      <x:c r="J100" s="197"/>
      <x:c r="K100" s="197" t="str">
        <x:f>IF(AND(G100&lt;&gt;"",J100&lt;&gt;""),G100/J100,"")</x:f>
      </x:c>
      <x:c r="L100" s="197" t="str">
        <x:f>IF(AND(G100&lt;&gt;"",I100&lt;&gt;""),G100/I100,"")</x:f>
      </x:c>
      <x:c r="M100" s="83" t="str">
        <x:v>S09</x:v>
      </x:c>
      <x:c r="N100" s="83" t="str">
        <x:v>Documento di Descrizione degli Scenari 2024</x:v>
      </x:c>
      <x:c r="O100" s="83" t="n">
        <x:v>63</x:v>
      </x:c>
      <x:c r="P100" s="83" t="str">
        <x:v>60-61</x:v>
      </x:c>
      <x:c r="Q100" s="83" t="str">
        <x:v>Tabella 16</x:v>
      </x:c>
      <x:c r="R100" s="83" t="str">
        <x:v>Assunzione di scenario</x:v>
      </x:c>
      <x:c r="S100" s="83" t="str">
        <x:v>Direct table extraction</x:v>
      </x:c>
      <x:c r="T100" s="83" t="str">
        <x:v>A — Direct</x:v>
      </x:c>
      <x:c r="U100" s="83" t="str">
        <x:v>Energy capacity by zone and class; derive power only where duration is specified.</x:v>
      </x:c>
      <x:c r="V100" s="83" t="str">
        <x:v>Small-scale source classes are 2 or 4 hours; utility-scale is 8 hours. CM duration is not stated.</x:v>
      </x:c>
    </x:row>
    <x:row r="101">
      <x:c r="A101" s="83" t="str">
        <x:v>SZ-097</x:v>
      </x:c>
      <x:c r="B101" s="83" t="str">
        <x:v>DE_IT_2040</x:v>
      </x:c>
      <x:c r="C101" s="83" t="n">
        <x:v>2040</x:v>
      </x:c>
      <x:c r="D101" s="83" t="str">
        <x:v>DE-IT 2040</x:v>
      </x:c>
      <x:c r="E101" s="83" t="str">
        <x:v>Centro Sud</x:v>
      </x:c>
      <x:c r="F101" s="83" t="str">
        <x:v>CM</x:v>
      </x:c>
      <x:c r="G101" s="197" t="n">
        <x:v>0.9</x:v>
      </x:c>
      <x:c r="H101" s="203" t="b">
        <x:v>1</x:v>
      </x:c>
      <x:c r="I101" s="197"/>
      <x:c r="J101" s="197"/>
      <x:c r="K101" s="197" t="str">
        <x:f>IF(AND(G101&lt;&gt;"",J101&lt;&gt;""),G101/J101,"")</x:f>
      </x:c>
      <x:c r="L101" s="197" t="str">
        <x:f>IF(AND(G101&lt;&gt;"",I101&lt;&gt;""),G101/I101,"")</x:f>
      </x:c>
      <x:c r="M101" s="83" t="str">
        <x:v>S09</x:v>
      </x:c>
      <x:c r="N101" s="83" t="str">
        <x:v>Documento di Descrizione degli Scenari 2024</x:v>
      </x:c>
      <x:c r="O101" s="83" t="n">
        <x:v>63</x:v>
      </x:c>
      <x:c r="P101" s="83" t="str">
        <x:v>60-61</x:v>
      </x:c>
      <x:c r="Q101" s="83" t="str">
        <x:v>Tabella 16</x:v>
      </x:c>
      <x:c r="R101" s="83" t="str">
        <x:v>Assunzione di scenario</x:v>
      </x:c>
      <x:c r="S101" s="83" t="str">
        <x:v>Direct table extraction</x:v>
      </x:c>
      <x:c r="T101" s="83" t="str">
        <x:v>A — Direct</x:v>
      </x:c>
      <x:c r="U101" s="83" t="str">
        <x:v>Energy capacity by zone and class; derive power only where duration is specified.</x:v>
      </x:c>
      <x:c r="V101" s="83" t="str">
        <x:v>Small-scale source classes are 2 or 4 hours; utility-scale is 8 hours. CM duration is not stated.</x:v>
      </x:c>
    </x:row>
    <x:row r="102">
      <x:c r="A102" s="83" t="str">
        <x:v>SZ-098</x:v>
      </x:c>
      <x:c r="B102" s="83" t="str">
        <x:v>GA_IT_2040</x:v>
      </x:c>
      <x:c r="C102" s="83" t="n">
        <x:v>2040</x:v>
      </x:c>
      <x:c r="D102" s="83" t="str">
        <x:v>GA-IT 2040</x:v>
      </x:c>
      <x:c r="E102" s="83" t="str">
        <x:v>Centro Sud</x:v>
      </x:c>
      <x:c r="F102" s="83" t="str">
        <x:v>CM</x:v>
      </x:c>
      <x:c r="G102" s="197" t="n">
        <x:v>0.9</x:v>
      </x:c>
      <x:c r="H102" s="203" t="b">
        <x:v>1</x:v>
      </x:c>
      <x:c r="I102" s="197"/>
      <x:c r="J102" s="197"/>
      <x:c r="K102" s="197" t="str">
        <x:f>IF(AND(G102&lt;&gt;"",J102&lt;&gt;""),G102/J102,"")</x:f>
      </x:c>
      <x:c r="L102" s="197" t="str">
        <x:f>IF(AND(G102&lt;&gt;"",I102&lt;&gt;""),G102/I102,"")</x:f>
      </x:c>
      <x:c r="M102" s="83" t="str">
        <x:v>S09</x:v>
      </x:c>
      <x:c r="N102" s="83" t="str">
        <x:v>Documento di Descrizione degli Scenari 2024</x:v>
      </x:c>
      <x:c r="O102" s="83" t="n">
        <x:v>63</x:v>
      </x:c>
      <x:c r="P102" s="83" t="str">
        <x:v>60-61</x:v>
      </x:c>
      <x:c r="Q102" s="83" t="str">
        <x:v>Tabella 16</x:v>
      </x:c>
      <x:c r="R102" s="83" t="str">
        <x:v>Assunzione di scenario</x:v>
      </x:c>
      <x:c r="S102" s="83" t="str">
        <x:v>Direct table extraction</x:v>
      </x:c>
      <x:c r="T102" s="83" t="str">
        <x:v>A — Direct</x:v>
      </x:c>
      <x:c r="U102" s="83" t="str">
        <x:v>Energy capacity by zone and class; derive power only where duration is specified.</x:v>
      </x:c>
      <x:c r="V102" s="83" t="str">
        <x:v>Small-scale source classes are 2 or 4 hours; utility-scale is 8 hours. CM duration is not stated.</x:v>
      </x:c>
    </x:row>
    <x:row r="103">
      <x:c r="A103" s="83" t="str">
        <x:v>SZ-099</x:v>
      </x:c>
      <x:c r="B103" s="83" t="str">
        <x:v>PNIEC_SLOW_2040</x:v>
      </x:c>
      <x:c r="C103" s="83" t="n">
        <x:v>2040</x:v>
      </x:c>
      <x:c r="D103" s="83" t="str">
        <x:v>PNIEC Slow 2040</x:v>
      </x:c>
      <x:c r="E103" s="83" t="str">
        <x:v>Centro Sud</x:v>
      </x:c>
      <x:c r="F103" s="83" t="str">
        <x:v>CM</x:v>
      </x:c>
      <x:c r="G103" s="197" t="n">
        <x:v>0.9</x:v>
      </x:c>
      <x:c r="H103" s="203" t="b">
        <x:v>1</x:v>
      </x:c>
      <x:c r="I103" s="197"/>
      <x:c r="J103" s="197"/>
      <x:c r="K103" s="197" t="str">
        <x:f>IF(AND(G103&lt;&gt;"",J103&lt;&gt;""),G103/J103,"")</x:f>
      </x:c>
      <x:c r="L103" s="197" t="str">
        <x:f>IF(AND(G103&lt;&gt;"",I103&lt;&gt;""),G103/I103,"")</x:f>
      </x:c>
      <x:c r="M103" s="83" t="str">
        <x:v>S09</x:v>
      </x:c>
      <x:c r="N103" s="83" t="str">
        <x:v>Documento di Descrizione degli Scenari 2024</x:v>
      </x:c>
      <x:c r="O103" s="83" t="n">
        <x:v>63</x:v>
      </x:c>
      <x:c r="P103" s="83" t="str">
        <x:v>60-61</x:v>
      </x:c>
      <x:c r="Q103" s="83" t="str">
        <x:v>Tabella 16</x:v>
      </x:c>
      <x:c r="R103" s="83" t="str">
        <x:v>Assunzione di scenario</x:v>
      </x:c>
      <x:c r="S103" s="83" t="str">
        <x:v>Direct table extraction</x:v>
      </x:c>
      <x:c r="T103" s="83" t="str">
        <x:v>A — Direct</x:v>
      </x:c>
      <x:c r="U103" s="83" t="str">
        <x:v>Energy capacity by zone and class; derive power only where duration is specified.</x:v>
      </x:c>
      <x:c r="V103" s="83" t="str">
        <x:v>Small-scale source classes are 2 or 4 hours; utility-scale is 8 hours. CM duration is not stated.</x:v>
      </x:c>
    </x:row>
    <x:row r="104">
      <x:c r="A104" s="83" t="str">
        <x:v>SZ-100</x:v>
      </x:c>
      <x:c r="B104" s="83" t="str">
        <x:v>HIST_2023</x:v>
      </x:c>
      <x:c r="C104" s="83" t="n">
        <x:v>2023</x:v>
      </x:c>
      <x:c r="D104" s="83" t="str">
        <x:v>Storico 2023</x:v>
      </x:c>
      <x:c r="E104" s="83" t="str">
        <x:v>Centro Sud</x:v>
      </x:c>
      <x:c r="F104" s="83" t="str">
        <x:v>Totale</x:v>
      </x:c>
      <x:c r="G104" s="197" t="n">
        <x:v>1.1</x:v>
      </x:c>
      <x:c r="H104" s="203" t="b">
        <x:v>1</x:v>
      </x:c>
      <x:c r="I104" s="197"/>
      <x:c r="J104" s="197"/>
      <x:c r="K104" s="197" t="str">
        <x:f>IF(AND(G104&lt;&gt;"",J104&lt;&gt;""),G104/J104,"")</x:f>
      </x:c>
      <x:c r="L104" s="197" t="str">
        <x:f>IF(AND(G104&lt;&gt;"",I104&lt;&gt;""),G104/I104,"")</x:f>
      </x:c>
      <x:c r="M104" s="83" t="str">
        <x:v>S09</x:v>
      </x:c>
      <x:c r="N104" s="83" t="str">
        <x:v>Documento di Descrizione degli Scenari 2024</x:v>
      </x:c>
      <x:c r="O104" s="83" t="n">
        <x:v>63</x:v>
      </x:c>
      <x:c r="P104" s="83" t="str">
        <x:v>60-61</x:v>
      </x:c>
      <x:c r="Q104" s="83" t="str">
        <x:v>Tabella 16</x:v>
      </x:c>
      <x:c r="R104" s="83" t="str">
        <x:v>Dato osservato storico nel DDS</x:v>
      </x:c>
      <x:c r="S104" s="83" t="str">
        <x:v>Direct table extraction</x:v>
      </x:c>
      <x:c r="T104" s="83" t="str">
        <x:v>A — Direct</x:v>
      </x:c>
      <x:c r="U104" s="83" t="str">
        <x:v>Energy capacity by zone and class; derive power only where duration is specified.</x:v>
      </x:c>
      <x:c r="V104" s="83" t="str">
        <x:v>Small-scale source classes are 2 or 4 hours; utility-scale is 8 hours. CM duration is not stated.</x:v>
      </x:c>
    </x:row>
    <x:row r="105">
      <x:c r="A105" s="83" t="str">
        <x:v>SZ-101</x:v>
      </x:c>
      <x:c r="B105" s="83" t="str">
        <x:v>PNIEC_POLICY_2030</x:v>
      </x:c>
      <x:c r="C105" s="83" t="n">
        <x:v>2030</x:v>
      </x:c>
      <x:c r="D105" s="83" t="str">
        <x:v>PNIEC Policy 2030</x:v>
      </x:c>
      <x:c r="E105" s="83" t="str">
        <x:v>Centro Sud</x:v>
      </x:c>
      <x:c r="F105" s="83" t="str">
        <x:v>Totale</x:v>
      </x:c>
      <x:c r="G105" s="197" t="n">
        <x:v>9</x:v>
      </x:c>
      <x:c r="H105" s="203" t="b">
        <x:v>1</x:v>
      </x:c>
      <x:c r="I105" s="197"/>
      <x:c r="J105" s="197"/>
      <x:c r="K105" s="197" t="str">
        <x:f>IF(AND(G105&lt;&gt;"",J105&lt;&gt;""),G105/J105,"")</x:f>
      </x:c>
      <x:c r="L105" s="197" t="str">
        <x:f>IF(AND(G105&lt;&gt;"",I105&lt;&gt;""),G105/I105,"")</x:f>
      </x:c>
      <x:c r="M105" s="83" t="str">
        <x:v>S09</x:v>
      </x:c>
      <x:c r="N105" s="83" t="str">
        <x:v>Documento di Descrizione degli Scenari 2024</x:v>
      </x:c>
      <x:c r="O105" s="83" t="n">
        <x:v>63</x:v>
      </x:c>
      <x:c r="P105" s="83" t="str">
        <x:v>60-61</x:v>
      </x:c>
      <x:c r="Q105" s="83" t="str">
        <x:v>Tabella 16</x:v>
      </x:c>
      <x:c r="R105" s="83" t="str">
        <x:v>Assunzione di scenario</x:v>
      </x:c>
      <x:c r="S105" s="83" t="str">
        <x:v>Direct table extraction</x:v>
      </x:c>
      <x:c r="T105" s="83" t="str">
        <x:v>A — Direct</x:v>
      </x:c>
      <x:c r="U105" s="83" t="str">
        <x:v>Energy capacity by zone and class; derive power only where duration is specified.</x:v>
      </x:c>
      <x:c r="V105" s="83" t="str">
        <x:v>Small-scale source classes are 2 or 4 hours; utility-scale is 8 hours. CM duration is not stated.</x:v>
      </x:c>
    </x:row>
    <x:row r="106">
      <x:c r="A106" s="83" t="str">
        <x:v>SZ-102</x:v>
      </x:c>
      <x:c r="B106" s="83" t="str">
        <x:v>PNIEC_SLOW_2030</x:v>
      </x:c>
      <x:c r="C106" s="83" t="n">
        <x:v>2030</x:v>
      </x:c>
      <x:c r="D106" s="83" t="str">
        <x:v>PNIEC Slow 2030</x:v>
      </x:c>
      <x:c r="E106" s="83" t="str">
        <x:v>Centro Sud</x:v>
      </x:c>
      <x:c r="F106" s="83" t="str">
        <x:v>Totale</x:v>
      </x:c>
      <x:c r="G106" s="197" t="n">
        <x:v>6.6</x:v>
      </x:c>
      <x:c r="H106" s="203" t="b">
        <x:v>1</x:v>
      </x:c>
      <x:c r="I106" s="197"/>
      <x:c r="J106" s="197"/>
      <x:c r="K106" s="197" t="str">
        <x:f>IF(AND(G106&lt;&gt;"",J106&lt;&gt;""),G106/J106,"")</x:f>
      </x:c>
      <x:c r="L106" s="197" t="str">
        <x:f>IF(AND(G106&lt;&gt;"",I106&lt;&gt;""),G106/I106,"")</x:f>
      </x:c>
      <x:c r="M106" s="83" t="str">
        <x:v>S09</x:v>
      </x:c>
      <x:c r="N106" s="83" t="str">
        <x:v>Documento di Descrizione degli Scenari 2024</x:v>
      </x:c>
      <x:c r="O106" s="83" t="n">
        <x:v>63</x:v>
      </x:c>
      <x:c r="P106" s="83" t="str">
        <x:v>60-61</x:v>
      </x:c>
      <x:c r="Q106" s="83" t="str">
        <x:v>Tabella 16</x:v>
      </x:c>
      <x:c r="R106" s="83" t="str">
        <x:v>Assunzione di scenario</x:v>
      </x:c>
      <x:c r="S106" s="83" t="str">
        <x:v>Direct table extraction</x:v>
      </x:c>
      <x:c r="T106" s="83" t="str">
        <x:v>A — Direct</x:v>
      </x:c>
      <x:c r="U106" s="83" t="str">
        <x:v>Energy capacity by zone and class; derive power only where duration is specified.</x:v>
      </x:c>
      <x:c r="V106" s="83" t="str">
        <x:v>Small-scale source classes are 2 or 4 hours; utility-scale is 8 hours. CM duration is not stated.</x:v>
      </x:c>
    </x:row>
    <x:row r="107">
      <x:c r="A107" s="83" t="str">
        <x:v>SZ-103</x:v>
      </x:c>
      <x:c r="B107" s="83" t="str">
        <x:v>DE_IT_2035</x:v>
      </x:c>
      <x:c r="C107" s="83" t="n">
        <x:v>2035</x:v>
      </x:c>
      <x:c r="D107" s="83" t="str">
        <x:v>DE-IT 2035</x:v>
      </x:c>
      <x:c r="E107" s="83" t="str">
        <x:v>Centro Sud</x:v>
      </x:c>
      <x:c r="F107" s="83" t="str">
        <x:v>Totale</x:v>
      </x:c>
      <x:c r="G107" s="197" t="n">
        <x:v>16.8</x:v>
      </x:c>
      <x:c r="H107" s="203" t="b">
        <x:v>1</x:v>
      </x:c>
      <x:c r="I107" s="197"/>
      <x:c r="J107" s="197"/>
      <x:c r="K107" s="197" t="str">
        <x:f>IF(AND(G107&lt;&gt;"",J107&lt;&gt;""),G107/J107,"")</x:f>
      </x:c>
      <x:c r="L107" s="197" t="str">
        <x:f>IF(AND(G107&lt;&gt;"",I107&lt;&gt;""),G107/I107,"")</x:f>
      </x:c>
      <x:c r="M107" s="83" t="str">
        <x:v>S09</x:v>
      </x:c>
      <x:c r="N107" s="83" t="str">
        <x:v>Documento di Descrizione degli Scenari 2024</x:v>
      </x:c>
      <x:c r="O107" s="83" t="n">
        <x:v>63</x:v>
      </x:c>
      <x:c r="P107" s="83" t="str">
        <x:v>60-61</x:v>
      </x:c>
      <x:c r="Q107" s="83" t="str">
        <x:v>Tabella 16</x:v>
      </x:c>
      <x:c r="R107" s="83" t="str">
        <x:v>Assunzione di scenario</x:v>
      </x:c>
      <x:c r="S107" s="83" t="str">
        <x:v>Direct table extraction</x:v>
      </x:c>
      <x:c r="T107" s="83" t="str">
        <x:v>A — Direct</x:v>
      </x:c>
      <x:c r="U107" s="83" t="str">
        <x:v>Energy capacity by zone and class; derive power only where duration is specified.</x:v>
      </x:c>
      <x:c r="V107" s="83" t="str">
        <x:v>Small-scale source classes are 2 or 4 hours; utility-scale is 8 hours. CM duration is not stated.</x:v>
      </x:c>
    </x:row>
    <x:row r="108">
      <x:c r="A108" s="83" t="str">
        <x:v>SZ-104</x:v>
      </x:c>
      <x:c r="B108" s="83" t="str">
        <x:v>GA_IT_2035</x:v>
      </x:c>
      <x:c r="C108" s="83" t="n">
        <x:v>2035</x:v>
      </x:c>
      <x:c r="D108" s="83" t="str">
        <x:v>GA-IT 2035</x:v>
      </x:c>
      <x:c r="E108" s="83" t="str">
        <x:v>Centro Sud</x:v>
      </x:c>
      <x:c r="F108" s="83" t="str">
        <x:v>Totale</x:v>
      </x:c>
      <x:c r="G108" s="197" t="n">
        <x:v>12.8</x:v>
      </x:c>
      <x:c r="H108" s="203" t="b">
        <x:v>1</x:v>
      </x:c>
      <x:c r="I108" s="197"/>
      <x:c r="J108" s="197"/>
      <x:c r="K108" s="197" t="str">
        <x:f>IF(AND(G108&lt;&gt;"",J108&lt;&gt;""),G108/J108,"")</x:f>
      </x:c>
      <x:c r="L108" s="197" t="str">
        <x:f>IF(AND(G108&lt;&gt;"",I108&lt;&gt;""),G108/I108,"")</x:f>
      </x:c>
      <x:c r="M108" s="83" t="str">
        <x:v>S09</x:v>
      </x:c>
      <x:c r="N108" s="83" t="str">
        <x:v>Documento di Descrizione degli Scenari 2024</x:v>
      </x:c>
      <x:c r="O108" s="83" t="n">
        <x:v>63</x:v>
      </x:c>
      <x:c r="P108" s="83" t="str">
        <x:v>60-61</x:v>
      </x:c>
      <x:c r="Q108" s="83" t="str">
        <x:v>Tabella 16</x:v>
      </x:c>
      <x:c r="R108" s="83" t="str">
        <x:v>Assunzione di scenario</x:v>
      </x:c>
      <x:c r="S108" s="83" t="str">
        <x:v>Direct table extraction</x:v>
      </x:c>
      <x:c r="T108" s="83" t="str">
        <x:v>A — Direct</x:v>
      </x:c>
      <x:c r="U108" s="83" t="str">
        <x:v>Energy capacity by zone and class; derive power only where duration is specified.</x:v>
      </x:c>
      <x:c r="V108" s="83" t="str">
        <x:v>Small-scale source classes are 2 or 4 hours; utility-scale is 8 hours. CM duration is not stated.</x:v>
      </x:c>
    </x:row>
    <x:row r="109">
      <x:c r="A109" s="83" t="str">
        <x:v>SZ-105</x:v>
      </x:c>
      <x:c r="B109" s="83" t="str">
        <x:v>PNIEC_SLOW_2035</x:v>
      </x:c>
      <x:c r="C109" s="83" t="n">
        <x:v>2035</x:v>
      </x:c>
      <x:c r="D109" s="83" t="str">
        <x:v>PNIEC Slow 2035</x:v>
      </x:c>
      <x:c r="E109" s="83" t="str">
        <x:v>Centro Sud</x:v>
      </x:c>
      <x:c r="F109" s="83" t="str">
        <x:v>Totale</x:v>
      </x:c>
      <x:c r="G109" s="197" t="n">
        <x:v>11.4</x:v>
      </x:c>
      <x:c r="H109" s="203" t="b">
        <x:v>1</x:v>
      </x:c>
      <x:c r="I109" s="197"/>
      <x:c r="J109" s="197"/>
      <x:c r="K109" s="197" t="str">
        <x:f>IF(AND(G109&lt;&gt;"",J109&lt;&gt;""),G109/J109,"")</x:f>
      </x:c>
      <x:c r="L109" s="197" t="str">
        <x:f>IF(AND(G109&lt;&gt;"",I109&lt;&gt;""),G109/I109,"")</x:f>
      </x:c>
      <x:c r="M109" s="83" t="str">
        <x:v>S09</x:v>
      </x:c>
      <x:c r="N109" s="83" t="str">
        <x:v>Documento di Descrizione degli Scenari 2024</x:v>
      </x:c>
      <x:c r="O109" s="83" t="n">
        <x:v>63</x:v>
      </x:c>
      <x:c r="P109" s="83" t="str">
        <x:v>60-61</x:v>
      </x:c>
      <x:c r="Q109" s="83" t="str">
        <x:v>Tabella 16</x:v>
      </x:c>
      <x:c r="R109" s="83" t="str">
        <x:v>Assunzione di scenario</x:v>
      </x:c>
      <x:c r="S109" s="83" t="str">
        <x:v>Direct table extraction</x:v>
      </x:c>
      <x:c r="T109" s="83" t="str">
        <x:v>A — Direct</x:v>
      </x:c>
      <x:c r="U109" s="83" t="str">
        <x:v>Energy capacity by zone and class; derive power only where duration is specified.</x:v>
      </x:c>
      <x:c r="V109" s="83" t="str">
        <x:v>Small-scale source classes are 2 or 4 hours; utility-scale is 8 hours. CM duration is not stated.</x:v>
      </x:c>
    </x:row>
    <x:row r="110">
      <x:c r="A110" s="83" t="str">
        <x:v>SZ-106</x:v>
      </x:c>
      <x:c r="B110" s="83" t="str">
        <x:v>DE_IT_2040</x:v>
      </x:c>
      <x:c r="C110" s="83" t="n">
        <x:v>2040</x:v>
      </x:c>
      <x:c r="D110" s="83" t="str">
        <x:v>DE-IT 2040</x:v>
      </x:c>
      <x:c r="E110" s="83" t="str">
        <x:v>Centro Sud</x:v>
      </x:c>
      <x:c r="F110" s="83" t="str">
        <x:v>Totale</x:v>
      </x:c>
      <x:c r="G110" s="197" t="n">
        <x:v>26.2</x:v>
      </x:c>
      <x:c r="H110" s="203" t="b">
        <x:v>1</x:v>
      </x:c>
      <x:c r="I110" s="197"/>
      <x:c r="J110" s="197"/>
      <x:c r="K110" s="197" t="str">
        <x:f>IF(AND(G110&lt;&gt;"",J110&lt;&gt;""),G110/J110,"")</x:f>
      </x:c>
      <x:c r="L110" s="197" t="str">
        <x:f>IF(AND(G110&lt;&gt;"",I110&lt;&gt;""),G110/I110,"")</x:f>
      </x:c>
      <x:c r="M110" s="83" t="str">
        <x:v>S09</x:v>
      </x:c>
      <x:c r="N110" s="83" t="str">
        <x:v>Documento di Descrizione degli Scenari 2024</x:v>
      </x:c>
      <x:c r="O110" s="83" t="n">
        <x:v>63</x:v>
      </x:c>
      <x:c r="P110" s="83" t="str">
        <x:v>60-61</x:v>
      </x:c>
      <x:c r="Q110" s="83" t="str">
        <x:v>Tabella 16</x:v>
      </x:c>
      <x:c r="R110" s="83" t="str">
        <x:v>Assunzione di scenario</x:v>
      </x:c>
      <x:c r="S110" s="83" t="str">
        <x:v>Direct table extraction</x:v>
      </x:c>
      <x:c r="T110" s="83" t="str">
        <x:v>A — Direct</x:v>
      </x:c>
      <x:c r="U110" s="83" t="str">
        <x:v>Energy capacity by zone and class; derive power only where duration is specified.</x:v>
      </x:c>
      <x:c r="V110" s="83" t="str">
        <x:v>Small-scale source classes are 2 or 4 hours; utility-scale is 8 hours. CM duration is not stated.</x:v>
      </x:c>
    </x:row>
    <x:row r="111">
      <x:c r="A111" s="83" t="str">
        <x:v>SZ-107</x:v>
      </x:c>
      <x:c r="B111" s="83" t="str">
        <x:v>GA_IT_2040</x:v>
      </x:c>
      <x:c r="C111" s="83" t="n">
        <x:v>2040</x:v>
      </x:c>
      <x:c r="D111" s="83" t="str">
        <x:v>GA-IT 2040</x:v>
      </x:c>
      <x:c r="E111" s="83" t="str">
        <x:v>Centro Sud</x:v>
      </x:c>
      <x:c r="F111" s="83" t="str">
        <x:v>Totale</x:v>
      </x:c>
      <x:c r="G111" s="197" t="n">
        <x:v>23.1</x:v>
      </x:c>
      <x:c r="H111" s="203" t="b">
        <x:v>1</x:v>
      </x:c>
      <x:c r="I111" s="197"/>
      <x:c r="J111" s="197"/>
      <x:c r="K111" s="197" t="str">
        <x:f>IF(AND(G111&lt;&gt;"",J111&lt;&gt;""),G111/J111,"")</x:f>
      </x:c>
      <x:c r="L111" s="197" t="str">
        <x:f>IF(AND(G111&lt;&gt;"",I111&lt;&gt;""),G111/I111,"")</x:f>
      </x:c>
      <x:c r="M111" s="83" t="str">
        <x:v>S09</x:v>
      </x:c>
      <x:c r="N111" s="83" t="str">
        <x:v>Documento di Descrizione degli Scenari 2024</x:v>
      </x:c>
      <x:c r="O111" s="83" t="n">
        <x:v>63</x:v>
      </x:c>
      <x:c r="P111" s="83" t="str">
        <x:v>60-61</x:v>
      </x:c>
      <x:c r="Q111" s="83" t="str">
        <x:v>Tabella 16</x:v>
      </x:c>
      <x:c r="R111" s="83" t="str">
        <x:v>Assunzione di scenario</x:v>
      </x:c>
      <x:c r="S111" s="83" t="str">
        <x:v>Direct table extraction</x:v>
      </x:c>
      <x:c r="T111" s="83" t="str">
        <x:v>A — Direct</x:v>
      </x:c>
      <x:c r="U111" s="83" t="str">
        <x:v>Energy capacity by zone and class; derive power only where duration is specified.</x:v>
      </x:c>
      <x:c r="V111" s="83" t="str">
        <x:v>Small-scale source classes are 2 or 4 hours; utility-scale is 8 hours. CM duration is not stated.</x:v>
      </x:c>
    </x:row>
    <x:row r="112">
      <x:c r="A112" s="83" t="str">
        <x:v>SZ-108</x:v>
      </x:c>
      <x:c r="B112" s="83" t="str">
        <x:v>PNIEC_SLOW_2040</x:v>
      </x:c>
      <x:c r="C112" s="83" t="n">
        <x:v>2040</x:v>
      </x:c>
      <x:c r="D112" s="83" t="str">
        <x:v>PNIEC Slow 2040</x:v>
      </x:c>
      <x:c r="E112" s="83" t="str">
        <x:v>Centro Sud</x:v>
      </x:c>
      <x:c r="F112" s="83" t="str">
        <x:v>Totale</x:v>
      </x:c>
      <x:c r="G112" s="197" t="n">
        <x:v>16.9</x:v>
      </x:c>
      <x:c r="H112" s="203" t="b">
        <x:v>1</x:v>
      </x:c>
      <x:c r="I112" s="197"/>
      <x:c r="J112" s="197"/>
      <x:c r="K112" s="197" t="str">
        <x:f>IF(AND(G112&lt;&gt;"",J112&lt;&gt;""),G112/J112,"")</x:f>
      </x:c>
      <x:c r="L112" s="197" t="str">
        <x:f>IF(AND(G112&lt;&gt;"",I112&lt;&gt;""),G112/I112,"")</x:f>
      </x:c>
      <x:c r="M112" s="83" t="str">
        <x:v>S09</x:v>
      </x:c>
      <x:c r="N112" s="83" t="str">
        <x:v>Documento di Descrizione degli Scenari 2024</x:v>
      </x:c>
      <x:c r="O112" s="83" t="n">
        <x:v>63</x:v>
      </x:c>
      <x:c r="P112" s="83" t="str">
        <x:v>60-61</x:v>
      </x:c>
      <x:c r="Q112" s="83" t="str">
        <x:v>Tabella 16</x:v>
      </x:c>
      <x:c r="R112" s="83" t="str">
        <x:v>Assunzione di scenario</x:v>
      </x:c>
      <x:c r="S112" s="83" t="str">
        <x:v>Direct table extraction</x:v>
      </x:c>
      <x:c r="T112" s="83" t="str">
        <x:v>A — Direct</x:v>
      </x:c>
      <x:c r="U112" s="83" t="str">
        <x:v>Energy capacity by zone and class; derive power only where duration is specified.</x:v>
      </x:c>
      <x:c r="V112" s="83" t="str">
        <x:v>Small-scale source classes are 2 or 4 hours; utility-scale is 8 hours. CM duration is not stated.</x:v>
      </x:c>
    </x:row>
    <x:row r="113">
      <x:c r="A113" s="83" t="str">
        <x:v>SZ-109</x:v>
      </x:c>
      <x:c r="B113" s="83" t="str">
        <x:v>HIST_2023</x:v>
      </x:c>
      <x:c r="C113" s="83" t="n">
        <x:v>2023</x:v>
      </x:c>
      <x:c r="D113" s="83" t="str">
        <x:v>Storico 2023</x:v>
      </x:c>
      <x:c r="E113" s="83" t="str">
        <x:v>Sud</x:v>
      </x:c>
      <x:c r="F113" s="83" t="str">
        <x:v>Small Scale</x:v>
      </x:c>
      <x:c r="G113" s="197" t="n">
        <x:v>0.4</x:v>
      </x:c>
      <x:c r="H113" s="203" t="b">
        <x:v>1</x:v>
      </x:c>
      <x:c r="I113" s="197" t="n">
        <x:v>2</x:v>
      </x:c>
      <x:c r="J113" s="197" t="n">
        <x:v>4</x:v>
      </x:c>
      <x:c r="K113" s="197" t="n">
        <x:f>IF(AND(G113&lt;&gt;"",J113&lt;&gt;""),G113/J113,"")</x:f>
        <x:v>0.1</x:v>
      </x:c>
      <x:c r="L113" s="197" t="n">
        <x:f>IF(AND(G113&lt;&gt;"",I113&lt;&gt;""),G113/I113,"")</x:f>
        <x:v>0.2</x:v>
      </x:c>
      <x:c r="M113" s="83" t="str">
        <x:v>S09</x:v>
      </x:c>
      <x:c r="N113" s="83" t="str">
        <x:v>Documento di Descrizione degli Scenari 2024</x:v>
      </x:c>
      <x:c r="O113" s="83" t="n">
        <x:v>63</x:v>
      </x:c>
      <x:c r="P113" s="83" t="str">
        <x:v>60-61</x:v>
      </x:c>
      <x:c r="Q113" s="83" t="str">
        <x:v>Tabella 16</x:v>
      </x:c>
      <x:c r="R113" s="83" t="str">
        <x:v>Dato osservato storico nel DDS</x:v>
      </x:c>
      <x:c r="S113" s="83" t="str">
        <x:v>Direct table extraction</x:v>
      </x:c>
      <x:c r="T113" s="83" t="str">
        <x:v>A — Direct</x:v>
      </x:c>
      <x:c r="U113" s="83" t="str">
        <x:v>Energy capacity by zone and class; derive power only where duration is specified.</x:v>
      </x:c>
      <x:c r="V113" s="83" t="str">
        <x:v>Small-scale source classes are 2 or 4 hours; utility-scale is 8 hours. CM duration is not stated.</x:v>
      </x:c>
    </x:row>
    <x:row r="114">
      <x:c r="A114" s="83" t="str">
        <x:v>SZ-110</x:v>
      </x:c>
      <x:c r="B114" s="83" t="str">
        <x:v>PNIEC_POLICY_2030</x:v>
      </x:c>
      <x:c r="C114" s="83" t="n">
        <x:v>2030</x:v>
      </x:c>
      <x:c r="D114" s="83" t="str">
        <x:v>PNIEC Policy 2030</x:v>
      </x:c>
      <x:c r="E114" s="83" t="str">
        <x:v>Sud</x:v>
      </x:c>
      <x:c r="F114" s="83" t="str">
        <x:v>Small Scale</x:v>
      </x:c>
      <x:c r="G114" s="197" t="n">
        <x:v>0.7</x:v>
      </x:c>
      <x:c r="H114" s="203" t="b">
        <x:v>1</x:v>
      </x:c>
      <x:c r="I114" s="197" t="n">
        <x:v>2</x:v>
      </x:c>
      <x:c r="J114" s="197" t="n">
        <x:v>4</x:v>
      </x:c>
      <x:c r="K114" s="197" t="n">
        <x:f>IF(AND(G114&lt;&gt;"",J114&lt;&gt;""),G114/J114,"")</x:f>
        <x:v>0.175</x:v>
      </x:c>
      <x:c r="L114" s="197" t="n">
        <x:f>IF(AND(G114&lt;&gt;"",I114&lt;&gt;""),G114/I114,"")</x:f>
        <x:v>0.35</x:v>
      </x:c>
      <x:c r="M114" s="83" t="str">
        <x:v>S09</x:v>
      </x:c>
      <x:c r="N114" s="83" t="str">
        <x:v>Documento di Descrizione degli Scenari 2024</x:v>
      </x:c>
      <x:c r="O114" s="83" t="n">
        <x:v>63</x:v>
      </x:c>
      <x:c r="P114" s="83" t="str">
        <x:v>60-61</x:v>
      </x:c>
      <x:c r="Q114" s="83" t="str">
        <x:v>Tabella 16</x:v>
      </x:c>
      <x:c r="R114" s="83" t="str">
        <x:v>Assunzione di scenario</x:v>
      </x:c>
      <x:c r="S114" s="83" t="str">
        <x:v>Direct table extraction</x:v>
      </x:c>
      <x:c r="T114" s="83" t="str">
        <x:v>A — Direct</x:v>
      </x:c>
      <x:c r="U114" s="83" t="str">
        <x:v>Energy capacity by zone and class; derive power only where duration is specified.</x:v>
      </x:c>
      <x:c r="V114" s="83" t="str">
        <x:v>Small-scale source classes are 2 or 4 hours; utility-scale is 8 hours. CM duration is not stated.</x:v>
      </x:c>
    </x:row>
    <x:row r="115">
      <x:c r="A115" s="83" t="str">
        <x:v>SZ-111</x:v>
      </x:c>
      <x:c r="B115" s="83" t="str">
        <x:v>PNIEC_SLOW_2030</x:v>
      </x:c>
      <x:c r="C115" s="83" t="n">
        <x:v>2030</x:v>
      </x:c>
      <x:c r="D115" s="83" t="str">
        <x:v>PNIEC Slow 2030</x:v>
      </x:c>
      <x:c r="E115" s="83" t="str">
        <x:v>Sud</x:v>
      </x:c>
      <x:c r="F115" s="83" t="str">
        <x:v>Small Scale</x:v>
      </x:c>
      <x:c r="G115" s="197" t="n">
        <x:v>0.7</x:v>
      </x:c>
      <x:c r="H115" s="203" t="b">
        <x:v>1</x:v>
      </x:c>
      <x:c r="I115" s="197" t="n">
        <x:v>2</x:v>
      </x:c>
      <x:c r="J115" s="197" t="n">
        <x:v>4</x:v>
      </x:c>
      <x:c r="K115" s="197" t="n">
        <x:f>IF(AND(G115&lt;&gt;"",J115&lt;&gt;""),G115/J115,"")</x:f>
        <x:v>0.175</x:v>
      </x:c>
      <x:c r="L115" s="197" t="n">
        <x:f>IF(AND(G115&lt;&gt;"",I115&lt;&gt;""),G115/I115,"")</x:f>
        <x:v>0.35</x:v>
      </x:c>
      <x:c r="M115" s="83" t="str">
        <x:v>S09</x:v>
      </x:c>
      <x:c r="N115" s="83" t="str">
        <x:v>Documento di Descrizione degli Scenari 2024</x:v>
      </x:c>
      <x:c r="O115" s="83" t="n">
        <x:v>63</x:v>
      </x:c>
      <x:c r="P115" s="83" t="str">
        <x:v>60-61</x:v>
      </x:c>
      <x:c r="Q115" s="83" t="str">
        <x:v>Tabella 16</x:v>
      </x:c>
      <x:c r="R115" s="83" t="str">
        <x:v>Assunzione di scenario</x:v>
      </x:c>
      <x:c r="S115" s="83" t="str">
        <x:v>Direct table extraction</x:v>
      </x:c>
      <x:c r="T115" s="83" t="str">
        <x:v>A — Direct</x:v>
      </x:c>
      <x:c r="U115" s="83" t="str">
        <x:v>Energy capacity by zone and class; derive power only where duration is specified.</x:v>
      </x:c>
      <x:c r="V115" s="83" t="str">
        <x:v>Small-scale source classes are 2 or 4 hours; utility-scale is 8 hours. CM duration is not stated.</x:v>
      </x:c>
    </x:row>
    <x:row r="116">
      <x:c r="A116" s="83" t="str">
        <x:v>SZ-112</x:v>
      </x:c>
      <x:c r="B116" s="83" t="str">
        <x:v>DE_IT_2035</x:v>
      </x:c>
      <x:c r="C116" s="83" t="n">
        <x:v>2035</x:v>
      </x:c>
      <x:c r="D116" s="83" t="str">
        <x:v>DE-IT 2035</x:v>
      </x:c>
      <x:c r="E116" s="83" t="str">
        <x:v>Sud</x:v>
      </x:c>
      <x:c r="F116" s="83" t="str">
        <x:v>Small Scale</x:v>
      </x:c>
      <x:c r="G116" s="197" t="n">
        <x:v>0.7</x:v>
      </x:c>
      <x:c r="H116" s="203" t="b">
        <x:v>1</x:v>
      </x:c>
      <x:c r="I116" s="197" t="n">
        <x:v>2</x:v>
      </x:c>
      <x:c r="J116" s="197" t="n">
        <x:v>4</x:v>
      </x:c>
      <x:c r="K116" s="197" t="n">
        <x:f>IF(AND(G116&lt;&gt;"",J116&lt;&gt;""),G116/J116,"")</x:f>
        <x:v>0.175</x:v>
      </x:c>
      <x:c r="L116" s="197" t="n">
        <x:f>IF(AND(G116&lt;&gt;"",I116&lt;&gt;""),G116/I116,"")</x:f>
        <x:v>0.35</x:v>
      </x:c>
      <x:c r="M116" s="83" t="str">
        <x:v>S09</x:v>
      </x:c>
      <x:c r="N116" s="83" t="str">
        <x:v>Documento di Descrizione degli Scenari 2024</x:v>
      </x:c>
      <x:c r="O116" s="83" t="n">
        <x:v>63</x:v>
      </x:c>
      <x:c r="P116" s="83" t="str">
        <x:v>60-61</x:v>
      </x:c>
      <x:c r="Q116" s="83" t="str">
        <x:v>Tabella 16</x:v>
      </x:c>
      <x:c r="R116" s="83" t="str">
        <x:v>Assunzione di scenario</x:v>
      </x:c>
      <x:c r="S116" s="83" t="str">
        <x:v>Direct table extraction</x:v>
      </x:c>
      <x:c r="T116" s="83" t="str">
        <x:v>A — Direct</x:v>
      </x:c>
      <x:c r="U116" s="83" t="str">
        <x:v>Energy capacity by zone and class; derive power only where duration is specified.</x:v>
      </x:c>
      <x:c r="V116" s="83" t="str">
        <x:v>Small-scale source classes are 2 or 4 hours; utility-scale is 8 hours. CM duration is not stated.</x:v>
      </x:c>
    </x:row>
    <x:row r="117">
      <x:c r="A117" s="83" t="str">
        <x:v>SZ-113</x:v>
      </x:c>
      <x:c r="B117" s="83" t="str">
        <x:v>GA_IT_2035</x:v>
      </x:c>
      <x:c r="C117" s="83" t="n">
        <x:v>2035</x:v>
      </x:c>
      <x:c r="D117" s="83" t="str">
        <x:v>GA-IT 2035</x:v>
      </x:c>
      <x:c r="E117" s="83" t="str">
        <x:v>Sud</x:v>
      </x:c>
      <x:c r="F117" s="83" t="str">
        <x:v>Small Scale</x:v>
      </x:c>
      <x:c r="G117" s="197" t="n">
        <x:v>0.8</x:v>
      </x:c>
      <x:c r="H117" s="203" t="b">
        <x:v>1</x:v>
      </x:c>
      <x:c r="I117" s="197" t="n">
        <x:v>2</x:v>
      </x:c>
      <x:c r="J117" s="197" t="n">
        <x:v>4</x:v>
      </x:c>
      <x:c r="K117" s="197" t="n">
        <x:f>IF(AND(G117&lt;&gt;"",J117&lt;&gt;""),G117/J117,"")</x:f>
        <x:v>0.2</x:v>
      </x:c>
      <x:c r="L117" s="197" t="n">
        <x:f>IF(AND(G117&lt;&gt;"",I117&lt;&gt;""),G117/I117,"")</x:f>
        <x:v>0.4</x:v>
      </x:c>
      <x:c r="M117" s="83" t="str">
        <x:v>S09</x:v>
      </x:c>
      <x:c r="N117" s="83" t="str">
        <x:v>Documento di Descrizione degli Scenari 2024</x:v>
      </x:c>
      <x:c r="O117" s="83" t="n">
        <x:v>63</x:v>
      </x:c>
      <x:c r="P117" s="83" t="str">
        <x:v>60-61</x:v>
      </x:c>
      <x:c r="Q117" s="83" t="str">
        <x:v>Tabella 16</x:v>
      </x:c>
      <x:c r="R117" s="83" t="str">
        <x:v>Assunzione di scenario</x:v>
      </x:c>
      <x:c r="S117" s="83" t="str">
        <x:v>Direct table extraction</x:v>
      </x:c>
      <x:c r="T117" s="83" t="str">
        <x:v>A — Direct</x:v>
      </x:c>
      <x:c r="U117" s="83" t="str">
        <x:v>Energy capacity by zone and class; derive power only where duration is specified.</x:v>
      </x:c>
      <x:c r="V117" s="83" t="str">
        <x:v>Small-scale source classes are 2 or 4 hours; utility-scale is 8 hours. CM duration is not stated.</x:v>
      </x:c>
    </x:row>
    <x:row r="118">
      <x:c r="A118" s="83" t="str">
        <x:v>SZ-114</x:v>
      </x:c>
      <x:c r="B118" s="83" t="str">
        <x:v>PNIEC_SLOW_2035</x:v>
      </x:c>
      <x:c r="C118" s="83" t="n">
        <x:v>2035</x:v>
      </x:c>
      <x:c r="D118" s="83" t="str">
        <x:v>PNIEC Slow 2035</x:v>
      </x:c>
      <x:c r="E118" s="83" t="str">
        <x:v>Sud</x:v>
      </x:c>
      <x:c r="F118" s="83" t="str">
        <x:v>Small Scale</x:v>
      </x:c>
      <x:c r="G118" s="197" t="n">
        <x:v>0.7</x:v>
      </x:c>
      <x:c r="H118" s="203" t="b">
        <x:v>1</x:v>
      </x:c>
      <x:c r="I118" s="197" t="n">
        <x:v>2</x:v>
      </x:c>
      <x:c r="J118" s="197" t="n">
        <x:v>4</x:v>
      </x:c>
      <x:c r="K118" s="197" t="n">
        <x:f>IF(AND(G118&lt;&gt;"",J118&lt;&gt;""),G118/J118,"")</x:f>
        <x:v>0.175</x:v>
      </x:c>
      <x:c r="L118" s="197" t="n">
        <x:f>IF(AND(G118&lt;&gt;"",I118&lt;&gt;""),G118/I118,"")</x:f>
        <x:v>0.35</x:v>
      </x:c>
      <x:c r="M118" s="83" t="str">
        <x:v>S09</x:v>
      </x:c>
      <x:c r="N118" s="83" t="str">
        <x:v>Documento di Descrizione degli Scenari 2024</x:v>
      </x:c>
      <x:c r="O118" s="83" t="n">
        <x:v>63</x:v>
      </x:c>
      <x:c r="P118" s="83" t="str">
        <x:v>60-61</x:v>
      </x:c>
      <x:c r="Q118" s="83" t="str">
        <x:v>Tabella 16</x:v>
      </x:c>
      <x:c r="R118" s="83" t="str">
        <x:v>Assunzione di scenario</x:v>
      </x:c>
      <x:c r="S118" s="83" t="str">
        <x:v>Direct table extraction</x:v>
      </x:c>
      <x:c r="T118" s="83" t="str">
        <x:v>A — Direct</x:v>
      </x:c>
      <x:c r="U118" s="83" t="str">
        <x:v>Energy capacity by zone and class; derive power only where duration is specified.</x:v>
      </x:c>
      <x:c r="V118" s="83" t="str">
        <x:v>Small-scale source classes are 2 or 4 hours; utility-scale is 8 hours. CM duration is not stated.</x:v>
      </x:c>
    </x:row>
    <x:row r="119">
      <x:c r="A119" s="83" t="str">
        <x:v>SZ-115</x:v>
      </x:c>
      <x:c r="B119" s="83" t="str">
        <x:v>DE_IT_2040</x:v>
      </x:c>
      <x:c r="C119" s="83" t="n">
        <x:v>2040</x:v>
      </x:c>
      <x:c r="D119" s="83" t="str">
        <x:v>DE-IT 2040</x:v>
      </x:c>
      <x:c r="E119" s="83" t="str">
        <x:v>Sud</x:v>
      </x:c>
      <x:c r="F119" s="83" t="str">
        <x:v>Small Scale</x:v>
      </x:c>
      <x:c r="G119" s="197" t="n">
        <x:v>0.9</x:v>
      </x:c>
      <x:c r="H119" s="203" t="b">
        <x:v>1</x:v>
      </x:c>
      <x:c r="I119" s="197" t="n">
        <x:v>2</x:v>
      </x:c>
      <x:c r="J119" s="197" t="n">
        <x:v>4</x:v>
      </x:c>
      <x:c r="K119" s="197" t="n">
        <x:f>IF(AND(G119&lt;&gt;"",J119&lt;&gt;""),G119/J119,"")</x:f>
        <x:v>0.225</x:v>
      </x:c>
      <x:c r="L119" s="197" t="n">
        <x:f>IF(AND(G119&lt;&gt;"",I119&lt;&gt;""),G119/I119,"")</x:f>
        <x:v>0.45</x:v>
      </x:c>
      <x:c r="M119" s="83" t="str">
        <x:v>S09</x:v>
      </x:c>
      <x:c r="N119" s="83" t="str">
        <x:v>Documento di Descrizione degli Scenari 2024</x:v>
      </x:c>
      <x:c r="O119" s="83" t="n">
        <x:v>63</x:v>
      </x:c>
      <x:c r="P119" s="83" t="str">
        <x:v>60-61</x:v>
      </x:c>
      <x:c r="Q119" s="83" t="str">
        <x:v>Tabella 16</x:v>
      </x:c>
      <x:c r="R119" s="83" t="str">
        <x:v>Assunzione di scenario</x:v>
      </x:c>
      <x:c r="S119" s="83" t="str">
        <x:v>Direct table extraction</x:v>
      </x:c>
      <x:c r="T119" s="83" t="str">
        <x:v>A — Direct</x:v>
      </x:c>
      <x:c r="U119" s="83" t="str">
        <x:v>Energy capacity by zone and class; derive power only where duration is specified.</x:v>
      </x:c>
      <x:c r="V119" s="83" t="str">
        <x:v>Small-scale source classes are 2 or 4 hours; utility-scale is 8 hours. CM duration is not stated.</x:v>
      </x:c>
    </x:row>
    <x:row r="120">
      <x:c r="A120" s="83" t="str">
        <x:v>SZ-116</x:v>
      </x:c>
      <x:c r="B120" s="83" t="str">
        <x:v>GA_IT_2040</x:v>
      </x:c>
      <x:c r="C120" s="83" t="n">
        <x:v>2040</x:v>
      </x:c>
      <x:c r="D120" s="83" t="str">
        <x:v>GA-IT 2040</x:v>
      </x:c>
      <x:c r="E120" s="83" t="str">
        <x:v>Sud</x:v>
      </x:c>
      <x:c r="F120" s="83" t="str">
        <x:v>Small Scale</x:v>
      </x:c>
      <x:c r="G120" s="197" t="n">
        <x:v>0.9</x:v>
      </x:c>
      <x:c r="H120" s="203" t="b">
        <x:v>1</x:v>
      </x:c>
      <x:c r="I120" s="197" t="n">
        <x:v>2</x:v>
      </x:c>
      <x:c r="J120" s="197" t="n">
        <x:v>4</x:v>
      </x:c>
      <x:c r="K120" s="197" t="n">
        <x:f>IF(AND(G120&lt;&gt;"",J120&lt;&gt;""),G120/J120,"")</x:f>
        <x:v>0.225</x:v>
      </x:c>
      <x:c r="L120" s="197" t="n">
        <x:f>IF(AND(G120&lt;&gt;"",I120&lt;&gt;""),G120/I120,"")</x:f>
        <x:v>0.45</x:v>
      </x:c>
      <x:c r="M120" s="83" t="str">
        <x:v>S09</x:v>
      </x:c>
      <x:c r="N120" s="83" t="str">
        <x:v>Documento di Descrizione degli Scenari 2024</x:v>
      </x:c>
      <x:c r="O120" s="83" t="n">
        <x:v>63</x:v>
      </x:c>
      <x:c r="P120" s="83" t="str">
        <x:v>60-61</x:v>
      </x:c>
      <x:c r="Q120" s="83" t="str">
        <x:v>Tabella 16</x:v>
      </x:c>
      <x:c r="R120" s="83" t="str">
        <x:v>Assunzione di scenario</x:v>
      </x:c>
      <x:c r="S120" s="83" t="str">
        <x:v>Direct table extraction</x:v>
      </x:c>
      <x:c r="T120" s="83" t="str">
        <x:v>A — Direct</x:v>
      </x:c>
      <x:c r="U120" s="83" t="str">
        <x:v>Energy capacity by zone and class; derive power only where duration is specified.</x:v>
      </x:c>
      <x:c r="V120" s="83" t="str">
        <x:v>Small-scale source classes are 2 or 4 hours; utility-scale is 8 hours. CM duration is not stated.</x:v>
      </x:c>
    </x:row>
    <x:row r="121">
      <x:c r="A121" s="83" t="str">
        <x:v>SZ-117</x:v>
      </x:c>
      <x:c r="B121" s="83" t="str">
        <x:v>PNIEC_SLOW_2040</x:v>
      </x:c>
      <x:c r="C121" s="83" t="n">
        <x:v>2040</x:v>
      </x:c>
      <x:c r="D121" s="83" t="str">
        <x:v>PNIEC Slow 2040</x:v>
      </x:c>
      <x:c r="E121" s="83" t="str">
        <x:v>Sud</x:v>
      </x:c>
      <x:c r="F121" s="83" t="str">
        <x:v>Small Scale</x:v>
      </x:c>
      <x:c r="G121" s="197" t="n">
        <x:v>0.8</x:v>
      </x:c>
      <x:c r="H121" s="203" t="b">
        <x:v>1</x:v>
      </x:c>
      <x:c r="I121" s="197" t="n">
        <x:v>2</x:v>
      </x:c>
      <x:c r="J121" s="197" t="n">
        <x:v>4</x:v>
      </x:c>
      <x:c r="K121" s="197" t="n">
        <x:f>IF(AND(G121&lt;&gt;"",J121&lt;&gt;""),G121/J121,"")</x:f>
        <x:v>0.2</x:v>
      </x:c>
      <x:c r="L121" s="197" t="n">
        <x:f>IF(AND(G121&lt;&gt;"",I121&lt;&gt;""),G121/I121,"")</x:f>
        <x:v>0.4</x:v>
      </x:c>
      <x:c r="M121" s="83" t="str">
        <x:v>S09</x:v>
      </x:c>
      <x:c r="N121" s="83" t="str">
        <x:v>Documento di Descrizione degli Scenari 2024</x:v>
      </x:c>
      <x:c r="O121" s="83" t="n">
        <x:v>63</x:v>
      </x:c>
      <x:c r="P121" s="83" t="str">
        <x:v>60-61</x:v>
      </x:c>
      <x:c r="Q121" s="83" t="str">
        <x:v>Tabella 16</x:v>
      </x:c>
      <x:c r="R121" s="83" t="str">
        <x:v>Assunzione di scenario</x:v>
      </x:c>
      <x:c r="S121" s="83" t="str">
        <x:v>Direct table extraction</x:v>
      </x:c>
      <x:c r="T121" s="83" t="str">
        <x:v>A — Direct</x:v>
      </x:c>
      <x:c r="U121" s="83" t="str">
        <x:v>Energy capacity by zone and class; derive power only where duration is specified.</x:v>
      </x:c>
      <x:c r="V121" s="83" t="str">
        <x:v>Small-scale source classes are 2 or 4 hours; utility-scale is 8 hours. CM duration is not stated.</x:v>
      </x:c>
    </x:row>
    <x:row r="122">
      <x:c r="A122" s="83" t="str">
        <x:v>SZ-118</x:v>
      </x:c>
      <x:c r="B122" s="83" t="str">
        <x:v>HIST_2023</x:v>
      </x:c>
      <x:c r="C122" s="83" t="n">
        <x:v>2023</x:v>
      </x:c>
      <x:c r="D122" s="83" t="str">
        <x:v>Storico 2023</x:v>
      </x:c>
      <x:c r="E122" s="83" t="str">
        <x:v>Sud</x:v>
      </x:c>
      <x:c r="F122" s="83" t="str">
        <x:v>Utility Scale</x:v>
      </x:c>
      <x:c r="G122" s="197" t="n">
        <x:v>0</x:v>
      </x:c>
      <x:c r="H122" s="203" t="b">
        <x:v>1</x:v>
      </x:c>
      <x:c r="I122" s="197" t="n">
        <x:v>8</x:v>
      </x:c>
      <x:c r="J122" s="197" t="n">
        <x:v>8</x:v>
      </x:c>
      <x:c r="K122" s="197" t="str">
        <x:f>IF(AND(G122&lt;&gt;"",J122&lt;&gt;""),G122/J122,"")</x:f>
      </x:c>
      <x:c r="L122" s="197" t="str">
        <x:f>IF(AND(G122&lt;&gt;"",I122&lt;&gt;""),G122/I122,"")</x:f>
      </x:c>
      <x:c r="M122" s="83" t="str">
        <x:v>S09</x:v>
      </x:c>
      <x:c r="N122" s="83" t="str">
        <x:v>Documento di Descrizione degli Scenari 2024</x:v>
      </x:c>
      <x:c r="O122" s="83" t="n">
        <x:v>63</x:v>
      </x:c>
      <x:c r="P122" s="83" t="str">
        <x:v>60-61</x:v>
      </x:c>
      <x:c r="Q122" s="83" t="str">
        <x:v>Tabella 16</x:v>
      </x:c>
      <x:c r="R122" s="83" t="str">
        <x:v>Dato osservato storico nel DDS</x:v>
      </x:c>
      <x:c r="S122" s="83" t="str">
        <x:v>Direct table extraction</x:v>
      </x:c>
      <x:c r="T122" s="83" t="str">
        <x:v>A — Direct</x:v>
      </x:c>
      <x:c r="U122" s="83" t="str">
        <x:v>Energy capacity by zone and class; derive power only where duration is specified.</x:v>
      </x:c>
      <x:c r="V122" s="83" t="str">
        <x:v>Small-scale source classes are 2 or 4 hours; utility-scale is 8 hours. CM duration is not stated.</x:v>
      </x:c>
    </x:row>
    <x:row r="123">
      <x:c r="A123" s="83" t="str">
        <x:v>SZ-119</x:v>
      </x:c>
      <x:c r="B123" s="83" t="str">
        <x:v>PNIEC_POLICY_2030</x:v>
      </x:c>
      <x:c r="C123" s="83" t="n">
        <x:v>2030</x:v>
      </x:c>
      <x:c r="D123" s="83" t="str">
        <x:v>PNIEC Policy 2030</x:v>
      </x:c>
      <x:c r="E123" s="83" t="str">
        <x:v>Sud</x:v>
      </x:c>
      <x:c r="F123" s="83" t="str">
        <x:v>Utility Scale</x:v>
      </x:c>
      <x:c r="G123" s="197" t="n">
        <x:v>16.8</x:v>
      </x:c>
      <x:c r="H123" s="203" t="b">
        <x:v>1</x:v>
      </x:c>
      <x:c r="I123" s="197" t="n">
        <x:v>8</x:v>
      </x:c>
      <x:c r="J123" s="197" t="n">
        <x:v>8</x:v>
      </x:c>
      <x:c r="K123" s="197" t="n">
        <x:f>IF(AND(G123&lt;&gt;"",J123&lt;&gt;""),G123/J123,"")</x:f>
        <x:v>2.1</x:v>
      </x:c>
      <x:c r="L123" s="197" t="n">
        <x:f>IF(AND(G123&lt;&gt;"",I123&lt;&gt;""),G123/I123,"")</x:f>
        <x:v>2.1</x:v>
      </x:c>
      <x:c r="M123" s="83" t="str">
        <x:v>S09</x:v>
      </x:c>
      <x:c r="N123" s="83" t="str">
        <x:v>Documento di Descrizione degli Scenari 2024</x:v>
      </x:c>
      <x:c r="O123" s="83" t="n">
        <x:v>63</x:v>
      </x:c>
      <x:c r="P123" s="83" t="str">
        <x:v>60-61</x:v>
      </x:c>
      <x:c r="Q123" s="83" t="str">
        <x:v>Tabella 16</x:v>
      </x:c>
      <x:c r="R123" s="83" t="str">
        <x:v>Assunzione di scenario</x:v>
      </x:c>
      <x:c r="S123" s="83" t="str">
        <x:v>Direct table extraction</x:v>
      </x:c>
      <x:c r="T123" s="83" t="str">
        <x:v>A — Direct</x:v>
      </x:c>
      <x:c r="U123" s="83" t="str">
        <x:v>Energy capacity by zone and class; derive power only where duration is specified.</x:v>
      </x:c>
      <x:c r="V123" s="83" t="str">
        <x:v>Small-scale source classes are 2 or 4 hours; utility-scale is 8 hours. CM duration is not stated.</x:v>
      </x:c>
    </x:row>
    <x:row r="124">
      <x:c r="A124" s="83" t="str">
        <x:v>SZ-120</x:v>
      </x:c>
      <x:c r="B124" s="83" t="str">
        <x:v>PNIEC_SLOW_2030</x:v>
      </x:c>
      <x:c r="C124" s="83" t="n">
        <x:v>2030</x:v>
      </x:c>
      <x:c r="D124" s="83" t="str">
        <x:v>PNIEC Slow 2030</x:v>
      </x:c>
      <x:c r="E124" s="83" t="str">
        <x:v>Sud</x:v>
      </x:c>
      <x:c r="F124" s="83" t="str">
        <x:v>Utility Scale</x:v>
      </x:c>
      <x:c r="G124" s="197" t="n">
        <x:v>8.4</x:v>
      </x:c>
      <x:c r="H124" s="203" t="b">
        <x:v>1</x:v>
      </x:c>
      <x:c r="I124" s="197" t="n">
        <x:v>8</x:v>
      </x:c>
      <x:c r="J124" s="197" t="n">
        <x:v>8</x:v>
      </x:c>
      <x:c r="K124" s="197" t="n">
        <x:f>IF(AND(G124&lt;&gt;"",J124&lt;&gt;""),G124/J124,"")</x:f>
        <x:v>1.05</x:v>
      </x:c>
      <x:c r="L124" s="197" t="n">
        <x:f>IF(AND(G124&lt;&gt;"",I124&lt;&gt;""),G124/I124,"")</x:f>
        <x:v>1.05</x:v>
      </x:c>
      <x:c r="M124" s="83" t="str">
        <x:v>S09</x:v>
      </x:c>
      <x:c r="N124" s="83" t="str">
        <x:v>Documento di Descrizione degli Scenari 2024</x:v>
      </x:c>
      <x:c r="O124" s="83" t="n">
        <x:v>63</x:v>
      </x:c>
      <x:c r="P124" s="83" t="str">
        <x:v>60-61</x:v>
      </x:c>
      <x:c r="Q124" s="83" t="str">
        <x:v>Tabella 16</x:v>
      </x:c>
      <x:c r="R124" s="83" t="str">
        <x:v>Assunzione di scenario</x:v>
      </x:c>
      <x:c r="S124" s="83" t="str">
        <x:v>Direct table extraction</x:v>
      </x:c>
      <x:c r="T124" s="83" t="str">
        <x:v>A — Direct</x:v>
      </x:c>
      <x:c r="U124" s="83" t="str">
        <x:v>Energy capacity by zone and class; derive power only where duration is specified.</x:v>
      </x:c>
      <x:c r="V124" s="83" t="str">
        <x:v>Small-scale source classes are 2 or 4 hours; utility-scale is 8 hours. CM duration is not stated.</x:v>
      </x:c>
    </x:row>
    <x:row r="125">
      <x:c r="A125" s="83" t="str">
        <x:v>SZ-121</x:v>
      </x:c>
      <x:c r="B125" s="83" t="str">
        <x:v>DE_IT_2035</x:v>
      </x:c>
      <x:c r="C125" s="83" t="n">
        <x:v>2035</x:v>
      </x:c>
      <x:c r="D125" s="83" t="str">
        <x:v>DE-IT 2035</x:v>
      </x:c>
      <x:c r="E125" s="83" t="str">
        <x:v>Sud</x:v>
      </x:c>
      <x:c r="F125" s="83" t="str">
        <x:v>Utility Scale</x:v>
      </x:c>
      <x:c r="G125" s="197" t="n">
        <x:v>35.3</x:v>
      </x:c>
      <x:c r="H125" s="203" t="b">
        <x:v>1</x:v>
      </x:c>
      <x:c r="I125" s="197" t="n">
        <x:v>8</x:v>
      </x:c>
      <x:c r="J125" s="197" t="n">
        <x:v>8</x:v>
      </x:c>
      <x:c r="K125" s="197" t="n">
        <x:f>IF(AND(G125&lt;&gt;"",J125&lt;&gt;""),G125/J125,"")</x:f>
        <x:v>4.4125</x:v>
      </x:c>
      <x:c r="L125" s="197" t="n">
        <x:f>IF(AND(G125&lt;&gt;"",I125&lt;&gt;""),G125/I125,"")</x:f>
        <x:v>4.4125</x:v>
      </x:c>
      <x:c r="M125" s="83" t="str">
        <x:v>S09</x:v>
      </x:c>
      <x:c r="N125" s="83" t="str">
        <x:v>Documento di Descrizione degli Scenari 2024</x:v>
      </x:c>
      <x:c r="O125" s="83" t="n">
        <x:v>63</x:v>
      </x:c>
      <x:c r="P125" s="83" t="str">
        <x:v>60-61</x:v>
      </x:c>
      <x:c r="Q125" s="83" t="str">
        <x:v>Tabella 16</x:v>
      </x:c>
      <x:c r="R125" s="83" t="str">
        <x:v>Assunzione di scenario</x:v>
      </x:c>
      <x:c r="S125" s="83" t="str">
        <x:v>Direct table extraction</x:v>
      </x:c>
      <x:c r="T125" s="83" t="str">
        <x:v>A — Direct</x:v>
      </x:c>
      <x:c r="U125" s="83" t="str">
        <x:v>Energy capacity by zone and class; derive power only where duration is specified.</x:v>
      </x:c>
      <x:c r="V125" s="83" t="str">
        <x:v>Small-scale source classes are 2 or 4 hours; utility-scale is 8 hours. CM duration is not stated.</x:v>
      </x:c>
    </x:row>
    <x:row r="126">
      <x:c r="A126" s="83" t="str">
        <x:v>SZ-122</x:v>
      </x:c>
      <x:c r="B126" s="83" t="str">
        <x:v>GA_IT_2035</x:v>
      </x:c>
      <x:c r="C126" s="83" t="n">
        <x:v>2035</x:v>
      </x:c>
      <x:c r="D126" s="83" t="str">
        <x:v>GA-IT 2035</x:v>
      </x:c>
      <x:c r="E126" s="83" t="str">
        <x:v>Sud</x:v>
      </x:c>
      <x:c r="F126" s="83" t="str">
        <x:v>Utility Scale</x:v>
      </x:c>
      <x:c r="G126" s="197" t="n">
        <x:v>23.2</x:v>
      </x:c>
      <x:c r="H126" s="203" t="b">
        <x:v>1</x:v>
      </x:c>
      <x:c r="I126" s="197" t="n">
        <x:v>8</x:v>
      </x:c>
      <x:c r="J126" s="197" t="n">
        <x:v>8</x:v>
      </x:c>
      <x:c r="K126" s="197" t="n">
        <x:f>IF(AND(G126&lt;&gt;"",J126&lt;&gt;""),G126/J126,"")</x:f>
        <x:v>2.9</x:v>
      </x:c>
      <x:c r="L126" s="197" t="n">
        <x:f>IF(AND(G126&lt;&gt;"",I126&lt;&gt;""),G126/I126,"")</x:f>
        <x:v>2.9</x:v>
      </x:c>
      <x:c r="M126" s="83" t="str">
        <x:v>S09</x:v>
      </x:c>
      <x:c r="N126" s="83" t="str">
        <x:v>Documento di Descrizione degli Scenari 2024</x:v>
      </x:c>
      <x:c r="O126" s="83" t="n">
        <x:v>63</x:v>
      </x:c>
      <x:c r="P126" s="83" t="str">
        <x:v>60-61</x:v>
      </x:c>
      <x:c r="Q126" s="83" t="str">
        <x:v>Tabella 16</x:v>
      </x:c>
      <x:c r="R126" s="83" t="str">
        <x:v>Assunzione di scenario</x:v>
      </x:c>
      <x:c r="S126" s="83" t="str">
        <x:v>Direct table extraction</x:v>
      </x:c>
      <x:c r="T126" s="83" t="str">
        <x:v>A — Direct</x:v>
      </x:c>
      <x:c r="U126" s="83" t="str">
        <x:v>Energy capacity by zone and class; derive power only where duration is specified.</x:v>
      </x:c>
      <x:c r="V126" s="83" t="str">
        <x:v>Small-scale source classes are 2 or 4 hours; utility-scale is 8 hours. CM duration is not stated.</x:v>
      </x:c>
    </x:row>
    <x:row r="127">
      <x:c r="A127" s="83" t="str">
        <x:v>SZ-123</x:v>
      </x:c>
      <x:c r="B127" s="83" t="str">
        <x:v>PNIEC_SLOW_2035</x:v>
      </x:c>
      <x:c r="C127" s="83" t="n">
        <x:v>2035</x:v>
      </x:c>
      <x:c r="D127" s="83" t="str">
        <x:v>PNIEC Slow 2035</x:v>
      </x:c>
      <x:c r="E127" s="83" t="str">
        <x:v>Sud</x:v>
      </x:c>
      <x:c r="F127" s="83" t="str">
        <x:v>Utility Scale</x:v>
      </x:c>
      <x:c r="G127" s="197" t="n">
        <x:v>17.8</x:v>
      </x:c>
      <x:c r="H127" s="203" t="b">
        <x:v>1</x:v>
      </x:c>
      <x:c r="I127" s="197" t="n">
        <x:v>8</x:v>
      </x:c>
      <x:c r="J127" s="197" t="n">
        <x:v>8</x:v>
      </x:c>
      <x:c r="K127" s="197" t="n">
        <x:f>IF(AND(G127&lt;&gt;"",J127&lt;&gt;""),G127/J127,"")</x:f>
        <x:v>2.225</x:v>
      </x:c>
      <x:c r="L127" s="197" t="n">
        <x:f>IF(AND(G127&lt;&gt;"",I127&lt;&gt;""),G127/I127,"")</x:f>
        <x:v>2.225</x:v>
      </x:c>
      <x:c r="M127" s="83" t="str">
        <x:v>S09</x:v>
      </x:c>
      <x:c r="N127" s="83" t="str">
        <x:v>Documento di Descrizione degli Scenari 2024</x:v>
      </x:c>
      <x:c r="O127" s="83" t="n">
        <x:v>63</x:v>
      </x:c>
      <x:c r="P127" s="83" t="str">
        <x:v>60-61</x:v>
      </x:c>
      <x:c r="Q127" s="83" t="str">
        <x:v>Tabella 16</x:v>
      </x:c>
      <x:c r="R127" s="83" t="str">
        <x:v>Assunzione di scenario</x:v>
      </x:c>
      <x:c r="S127" s="83" t="str">
        <x:v>Direct table extraction</x:v>
      </x:c>
      <x:c r="T127" s="83" t="str">
        <x:v>A — Direct</x:v>
      </x:c>
      <x:c r="U127" s="83" t="str">
        <x:v>Energy capacity by zone and class; derive power only where duration is specified.</x:v>
      </x:c>
      <x:c r="V127" s="83" t="str">
        <x:v>Small-scale source classes are 2 or 4 hours; utility-scale is 8 hours. CM duration is not stated.</x:v>
      </x:c>
    </x:row>
    <x:row r="128">
      <x:c r="A128" s="83" t="str">
        <x:v>SZ-124</x:v>
      </x:c>
      <x:c r="B128" s="83" t="str">
        <x:v>DE_IT_2040</x:v>
      </x:c>
      <x:c r="C128" s="83" t="n">
        <x:v>2040</x:v>
      </x:c>
      <x:c r="D128" s="83" t="str">
        <x:v>DE-IT 2040</x:v>
      </x:c>
      <x:c r="E128" s="83" t="str">
        <x:v>Sud</x:v>
      </x:c>
      <x:c r="F128" s="83" t="str">
        <x:v>Utility Scale</x:v>
      </x:c>
      <x:c r="G128" s="197" t="n">
        <x:v>47.7</x:v>
      </x:c>
      <x:c r="H128" s="203" t="b">
        <x:v>1</x:v>
      </x:c>
      <x:c r="I128" s="197" t="n">
        <x:v>8</x:v>
      </x:c>
      <x:c r="J128" s="197" t="n">
        <x:v>8</x:v>
      </x:c>
      <x:c r="K128" s="197" t="n">
        <x:f>IF(AND(G128&lt;&gt;"",J128&lt;&gt;""),G128/J128,"")</x:f>
        <x:v>5.9625</x:v>
      </x:c>
      <x:c r="L128" s="197" t="n">
        <x:f>IF(AND(G128&lt;&gt;"",I128&lt;&gt;""),G128/I128,"")</x:f>
        <x:v>5.9625</x:v>
      </x:c>
      <x:c r="M128" s="83" t="str">
        <x:v>S09</x:v>
      </x:c>
      <x:c r="N128" s="83" t="str">
        <x:v>Documento di Descrizione degli Scenari 2024</x:v>
      </x:c>
      <x:c r="O128" s="83" t="n">
        <x:v>63</x:v>
      </x:c>
      <x:c r="P128" s="83" t="str">
        <x:v>60-61</x:v>
      </x:c>
      <x:c r="Q128" s="83" t="str">
        <x:v>Tabella 16</x:v>
      </x:c>
      <x:c r="R128" s="83" t="str">
        <x:v>Assunzione di scenario</x:v>
      </x:c>
      <x:c r="S128" s="83" t="str">
        <x:v>Direct table extraction</x:v>
      </x:c>
      <x:c r="T128" s="83" t="str">
        <x:v>A — Direct</x:v>
      </x:c>
      <x:c r="U128" s="83" t="str">
        <x:v>Energy capacity by zone and class; derive power only where duration is specified.</x:v>
      </x:c>
      <x:c r="V128" s="83" t="str">
        <x:v>Small-scale source classes are 2 or 4 hours; utility-scale is 8 hours. CM duration is not stated.</x:v>
      </x:c>
    </x:row>
    <x:row r="129">
      <x:c r="A129" s="83" t="str">
        <x:v>SZ-125</x:v>
      </x:c>
      <x:c r="B129" s="83" t="str">
        <x:v>GA_IT_2040</x:v>
      </x:c>
      <x:c r="C129" s="83" t="n">
        <x:v>2040</x:v>
      </x:c>
      <x:c r="D129" s="83" t="str">
        <x:v>GA-IT 2040</x:v>
      </x:c>
      <x:c r="E129" s="83" t="str">
        <x:v>Sud</x:v>
      </x:c>
      <x:c r="F129" s="83" t="str">
        <x:v>Utility Scale</x:v>
      </x:c>
      <x:c r="G129" s="197" t="n">
        <x:v>36.8</x:v>
      </x:c>
      <x:c r="H129" s="203" t="b">
        <x:v>1</x:v>
      </x:c>
      <x:c r="I129" s="197" t="n">
        <x:v>8</x:v>
      </x:c>
      <x:c r="J129" s="197" t="n">
        <x:v>8</x:v>
      </x:c>
      <x:c r="K129" s="197" t="n">
        <x:f>IF(AND(G129&lt;&gt;"",J129&lt;&gt;""),G129/J129,"")</x:f>
        <x:v>4.6</x:v>
      </x:c>
      <x:c r="L129" s="197" t="n">
        <x:f>IF(AND(G129&lt;&gt;"",I129&lt;&gt;""),G129/I129,"")</x:f>
        <x:v>4.6</x:v>
      </x:c>
      <x:c r="M129" s="83" t="str">
        <x:v>S09</x:v>
      </x:c>
      <x:c r="N129" s="83" t="str">
        <x:v>Documento di Descrizione degli Scenari 2024</x:v>
      </x:c>
      <x:c r="O129" s="83" t="n">
        <x:v>63</x:v>
      </x:c>
      <x:c r="P129" s="83" t="str">
        <x:v>60-61</x:v>
      </x:c>
      <x:c r="Q129" s="83" t="str">
        <x:v>Tabella 16</x:v>
      </x:c>
      <x:c r="R129" s="83" t="str">
        <x:v>Assunzione di scenario</x:v>
      </x:c>
      <x:c r="S129" s="83" t="str">
        <x:v>Direct table extraction</x:v>
      </x:c>
      <x:c r="T129" s="83" t="str">
        <x:v>A — Direct</x:v>
      </x:c>
      <x:c r="U129" s="83" t="str">
        <x:v>Energy capacity by zone and class; derive power only where duration is specified.</x:v>
      </x:c>
      <x:c r="V129" s="83" t="str">
        <x:v>Small-scale source classes are 2 or 4 hours; utility-scale is 8 hours. CM duration is not stated.</x:v>
      </x:c>
    </x:row>
    <x:row r="130">
      <x:c r="A130" s="83" t="str">
        <x:v>SZ-126</x:v>
      </x:c>
      <x:c r="B130" s="83" t="str">
        <x:v>PNIEC_SLOW_2040</x:v>
      </x:c>
      <x:c r="C130" s="83" t="n">
        <x:v>2040</x:v>
      </x:c>
      <x:c r="D130" s="83" t="str">
        <x:v>PNIEC Slow 2040</x:v>
      </x:c>
      <x:c r="E130" s="83" t="str">
        <x:v>Sud</x:v>
      </x:c>
      <x:c r="F130" s="83" t="str">
        <x:v>Utility Scale</x:v>
      </x:c>
      <x:c r="G130" s="197" t="n">
        <x:v>27.7</x:v>
      </x:c>
      <x:c r="H130" s="203" t="b">
        <x:v>1</x:v>
      </x:c>
      <x:c r="I130" s="197" t="n">
        <x:v>8</x:v>
      </x:c>
      <x:c r="J130" s="197" t="n">
        <x:v>8</x:v>
      </x:c>
      <x:c r="K130" s="197" t="n">
        <x:f>IF(AND(G130&lt;&gt;"",J130&lt;&gt;""),G130/J130,"")</x:f>
        <x:v>3.4625</x:v>
      </x:c>
      <x:c r="L130" s="197" t="n">
        <x:f>IF(AND(G130&lt;&gt;"",I130&lt;&gt;""),G130/I130,"")</x:f>
        <x:v>3.4625</x:v>
      </x:c>
      <x:c r="M130" s="83" t="str">
        <x:v>S09</x:v>
      </x:c>
      <x:c r="N130" s="83" t="str">
        <x:v>Documento di Descrizione degli Scenari 2024</x:v>
      </x:c>
      <x:c r="O130" s="83" t="n">
        <x:v>63</x:v>
      </x:c>
      <x:c r="P130" s="83" t="str">
        <x:v>60-61</x:v>
      </x:c>
      <x:c r="Q130" s="83" t="str">
        <x:v>Tabella 16</x:v>
      </x:c>
      <x:c r="R130" s="83" t="str">
        <x:v>Assunzione di scenario</x:v>
      </x:c>
      <x:c r="S130" s="83" t="str">
        <x:v>Direct table extraction</x:v>
      </x:c>
      <x:c r="T130" s="83" t="str">
        <x:v>A — Direct</x:v>
      </x:c>
      <x:c r="U130" s="83" t="str">
        <x:v>Energy capacity by zone and class; derive power only where duration is specified.</x:v>
      </x:c>
      <x:c r="V130" s="83" t="str">
        <x:v>Small-scale source classes are 2 or 4 hours; utility-scale is 8 hours. CM duration is not stated.</x:v>
      </x:c>
    </x:row>
    <x:row r="131">
      <x:c r="A131" s="83" t="str">
        <x:v>SZ-127</x:v>
      </x:c>
      <x:c r="B131" s="83" t="str">
        <x:v>HIST_2023</x:v>
      </x:c>
      <x:c r="C131" s="83" t="n">
        <x:v>2023</x:v>
      </x:c>
      <x:c r="D131" s="83" t="str">
        <x:v>Storico 2023</x:v>
      </x:c>
      <x:c r="E131" s="83" t="str">
        <x:v>Sud</x:v>
      </x:c>
      <x:c r="F131" s="83" t="str">
        <x:v>CM</x:v>
      </x:c>
      <x:c r="G131" s="197" t="n">
        <x:v>0</x:v>
      </x:c>
      <x:c r="H131" s="203" t="b">
        <x:v>1</x:v>
      </x:c>
      <x:c r="I131" s="197"/>
      <x:c r="J131" s="197"/>
      <x:c r="K131" s="197" t="str">
        <x:f>IF(AND(G131&lt;&gt;"",J131&lt;&gt;""),G131/J131,"")</x:f>
      </x:c>
      <x:c r="L131" s="197" t="str">
        <x:f>IF(AND(G131&lt;&gt;"",I131&lt;&gt;""),G131/I131,"")</x:f>
      </x:c>
      <x:c r="M131" s="83" t="str">
        <x:v>S09</x:v>
      </x:c>
      <x:c r="N131" s="83" t="str">
        <x:v>Documento di Descrizione degli Scenari 2024</x:v>
      </x:c>
      <x:c r="O131" s="83" t="n">
        <x:v>63</x:v>
      </x:c>
      <x:c r="P131" s="83" t="str">
        <x:v>60-61</x:v>
      </x:c>
      <x:c r="Q131" s="83" t="str">
        <x:v>Tabella 16</x:v>
      </x:c>
      <x:c r="R131" s="83" t="str">
        <x:v>Dato osservato storico nel DDS</x:v>
      </x:c>
      <x:c r="S131" s="83" t="str">
        <x:v>Direct table extraction</x:v>
      </x:c>
      <x:c r="T131" s="83" t="str">
        <x:v>A — Direct</x:v>
      </x:c>
      <x:c r="U131" s="83" t="str">
        <x:v>Energy capacity by zone and class; derive power only where duration is specified.</x:v>
      </x:c>
      <x:c r="V131" s="83" t="str">
        <x:v>Small-scale source classes are 2 or 4 hours; utility-scale is 8 hours. CM duration is not stated.</x:v>
      </x:c>
    </x:row>
    <x:row r="132">
      <x:c r="A132" s="83" t="str">
        <x:v>SZ-128</x:v>
      </x:c>
      <x:c r="B132" s="83" t="str">
        <x:v>PNIEC_POLICY_2030</x:v>
      </x:c>
      <x:c r="C132" s="83" t="n">
        <x:v>2030</x:v>
      </x:c>
      <x:c r="D132" s="83" t="str">
        <x:v>PNIEC Policy 2030</x:v>
      </x:c>
      <x:c r="E132" s="83" t="str">
        <x:v>Sud</x:v>
      </x:c>
      <x:c r="F132" s="83" t="str">
        <x:v>CM</x:v>
      </x:c>
      <x:c r="G132" s="197" t="n">
        <x:v>0.1</x:v>
      </x:c>
      <x:c r="H132" s="203" t="b">
        <x:v>1</x:v>
      </x:c>
      <x:c r="I132" s="197"/>
      <x:c r="J132" s="197"/>
      <x:c r="K132" s="197" t="str">
        <x:f>IF(AND(G132&lt;&gt;"",J132&lt;&gt;""),G132/J132,"")</x:f>
      </x:c>
      <x:c r="L132" s="197" t="str">
        <x:f>IF(AND(G132&lt;&gt;"",I132&lt;&gt;""),G132/I132,"")</x:f>
      </x:c>
      <x:c r="M132" s="83" t="str">
        <x:v>S09</x:v>
      </x:c>
      <x:c r="N132" s="83" t="str">
        <x:v>Documento di Descrizione degli Scenari 2024</x:v>
      </x:c>
      <x:c r="O132" s="83" t="n">
        <x:v>63</x:v>
      </x:c>
      <x:c r="P132" s="83" t="str">
        <x:v>60-61</x:v>
      </x:c>
      <x:c r="Q132" s="83" t="str">
        <x:v>Tabella 16</x:v>
      </x:c>
      <x:c r="R132" s="83" t="str">
        <x:v>Assunzione di scenario</x:v>
      </x:c>
      <x:c r="S132" s="83" t="str">
        <x:v>Direct table extraction</x:v>
      </x:c>
      <x:c r="T132" s="83" t="str">
        <x:v>A — Direct</x:v>
      </x:c>
      <x:c r="U132" s="83" t="str">
        <x:v>Energy capacity by zone and class; derive power only where duration is specified.</x:v>
      </x:c>
      <x:c r="V132" s="83" t="str">
        <x:v>Small-scale source classes are 2 or 4 hours; utility-scale is 8 hours. CM duration is not stated.</x:v>
      </x:c>
    </x:row>
    <x:row r="133">
      <x:c r="A133" s="83" t="str">
        <x:v>SZ-129</x:v>
      </x:c>
      <x:c r="B133" s="83" t="str">
        <x:v>PNIEC_SLOW_2030</x:v>
      </x:c>
      <x:c r="C133" s="83" t="n">
        <x:v>2030</x:v>
      </x:c>
      <x:c r="D133" s="83" t="str">
        <x:v>PNIEC Slow 2030</x:v>
      </x:c>
      <x:c r="E133" s="83" t="str">
        <x:v>Sud</x:v>
      </x:c>
      <x:c r="F133" s="83" t="str">
        <x:v>CM</x:v>
      </x:c>
      <x:c r="G133" s="197" t="n">
        <x:v>0.1</x:v>
      </x:c>
      <x:c r="H133" s="203" t="b">
        <x:v>1</x:v>
      </x:c>
      <x:c r="I133" s="197"/>
      <x:c r="J133" s="197"/>
      <x:c r="K133" s="197" t="str">
        <x:f>IF(AND(G133&lt;&gt;"",J133&lt;&gt;""),G133/J133,"")</x:f>
      </x:c>
      <x:c r="L133" s="197" t="str">
        <x:f>IF(AND(G133&lt;&gt;"",I133&lt;&gt;""),G133/I133,"")</x:f>
      </x:c>
      <x:c r="M133" s="83" t="str">
        <x:v>S09</x:v>
      </x:c>
      <x:c r="N133" s="83" t="str">
        <x:v>Documento di Descrizione degli Scenari 2024</x:v>
      </x:c>
      <x:c r="O133" s="83" t="n">
        <x:v>63</x:v>
      </x:c>
      <x:c r="P133" s="83" t="str">
        <x:v>60-61</x:v>
      </x:c>
      <x:c r="Q133" s="83" t="str">
        <x:v>Tabella 16</x:v>
      </x:c>
      <x:c r="R133" s="83" t="str">
        <x:v>Assunzione di scenario</x:v>
      </x:c>
      <x:c r="S133" s="83" t="str">
        <x:v>Direct table extraction</x:v>
      </x:c>
      <x:c r="T133" s="83" t="str">
        <x:v>A — Direct</x:v>
      </x:c>
      <x:c r="U133" s="83" t="str">
        <x:v>Energy capacity by zone and class; derive power only where duration is specified.</x:v>
      </x:c>
      <x:c r="V133" s="83" t="str">
        <x:v>Small-scale source classes are 2 or 4 hours; utility-scale is 8 hours. CM duration is not stated.</x:v>
      </x:c>
    </x:row>
    <x:row r="134">
      <x:c r="A134" s="83" t="str">
        <x:v>SZ-130</x:v>
      </x:c>
      <x:c r="B134" s="83" t="str">
        <x:v>DE_IT_2035</x:v>
      </x:c>
      <x:c r="C134" s="83" t="n">
        <x:v>2035</x:v>
      </x:c>
      <x:c r="D134" s="83" t="str">
        <x:v>DE-IT 2035</x:v>
      </x:c>
      <x:c r="E134" s="83" t="str">
        <x:v>Sud</x:v>
      </x:c>
      <x:c r="F134" s="83" t="str">
        <x:v>CM</x:v>
      </x:c>
      <x:c r="G134" s="197" t="n">
        <x:v>0.1</x:v>
      </x:c>
      <x:c r="H134" s="203" t="b">
        <x:v>1</x:v>
      </x:c>
      <x:c r="I134" s="197"/>
      <x:c r="J134" s="197"/>
      <x:c r="K134" s="197" t="str">
        <x:f>IF(AND(G134&lt;&gt;"",J134&lt;&gt;""),G134/J134,"")</x:f>
      </x:c>
      <x:c r="L134" s="197" t="str">
        <x:f>IF(AND(G134&lt;&gt;"",I134&lt;&gt;""),G134/I134,"")</x:f>
      </x:c>
      <x:c r="M134" s="83" t="str">
        <x:v>S09</x:v>
      </x:c>
      <x:c r="N134" s="83" t="str">
        <x:v>Documento di Descrizione degli Scenari 2024</x:v>
      </x:c>
      <x:c r="O134" s="83" t="n">
        <x:v>63</x:v>
      </x:c>
      <x:c r="P134" s="83" t="str">
        <x:v>60-61</x:v>
      </x:c>
      <x:c r="Q134" s="83" t="str">
        <x:v>Tabella 16</x:v>
      </x:c>
      <x:c r="R134" s="83" t="str">
        <x:v>Assunzione di scenario</x:v>
      </x:c>
      <x:c r="S134" s="83" t="str">
        <x:v>Direct table extraction</x:v>
      </x:c>
      <x:c r="T134" s="83" t="str">
        <x:v>A — Direct</x:v>
      </x:c>
      <x:c r="U134" s="83" t="str">
        <x:v>Energy capacity by zone and class; derive power only where duration is specified.</x:v>
      </x:c>
      <x:c r="V134" s="83" t="str">
        <x:v>Small-scale source classes are 2 or 4 hours; utility-scale is 8 hours. CM duration is not stated.</x:v>
      </x:c>
    </x:row>
    <x:row r="135">
      <x:c r="A135" s="83" t="str">
        <x:v>SZ-131</x:v>
      </x:c>
      <x:c r="B135" s="83" t="str">
        <x:v>GA_IT_2035</x:v>
      </x:c>
      <x:c r="C135" s="83" t="n">
        <x:v>2035</x:v>
      </x:c>
      <x:c r="D135" s="83" t="str">
        <x:v>GA-IT 2035</x:v>
      </x:c>
      <x:c r="E135" s="83" t="str">
        <x:v>Sud</x:v>
      </x:c>
      <x:c r="F135" s="83" t="str">
        <x:v>CM</x:v>
      </x:c>
      <x:c r="G135" s="197" t="n">
        <x:v>0.1</x:v>
      </x:c>
      <x:c r="H135" s="203" t="b">
        <x:v>1</x:v>
      </x:c>
      <x:c r="I135" s="197"/>
      <x:c r="J135" s="197"/>
      <x:c r="K135" s="197" t="str">
        <x:f>IF(AND(G135&lt;&gt;"",J135&lt;&gt;""),G135/J135,"")</x:f>
      </x:c>
      <x:c r="L135" s="197" t="str">
        <x:f>IF(AND(G135&lt;&gt;"",I135&lt;&gt;""),G135/I135,"")</x:f>
      </x:c>
      <x:c r="M135" s="83" t="str">
        <x:v>S09</x:v>
      </x:c>
      <x:c r="N135" s="83" t="str">
        <x:v>Documento di Descrizione degli Scenari 2024</x:v>
      </x:c>
      <x:c r="O135" s="83" t="n">
        <x:v>63</x:v>
      </x:c>
      <x:c r="P135" s="83" t="str">
        <x:v>60-61</x:v>
      </x:c>
      <x:c r="Q135" s="83" t="str">
        <x:v>Tabella 16</x:v>
      </x:c>
      <x:c r="R135" s="83" t="str">
        <x:v>Assunzione di scenario</x:v>
      </x:c>
      <x:c r="S135" s="83" t="str">
        <x:v>Direct table extraction</x:v>
      </x:c>
      <x:c r="T135" s="83" t="str">
        <x:v>A — Direct</x:v>
      </x:c>
      <x:c r="U135" s="83" t="str">
        <x:v>Energy capacity by zone and class; derive power only where duration is specified.</x:v>
      </x:c>
      <x:c r="V135" s="83" t="str">
        <x:v>Small-scale source classes are 2 or 4 hours; utility-scale is 8 hours. CM duration is not stated.</x:v>
      </x:c>
    </x:row>
    <x:row r="136">
      <x:c r="A136" s="83" t="str">
        <x:v>SZ-132</x:v>
      </x:c>
      <x:c r="B136" s="83" t="str">
        <x:v>PNIEC_SLOW_2035</x:v>
      </x:c>
      <x:c r="C136" s="83" t="n">
        <x:v>2035</x:v>
      </x:c>
      <x:c r="D136" s="83" t="str">
        <x:v>PNIEC Slow 2035</x:v>
      </x:c>
      <x:c r="E136" s="83" t="str">
        <x:v>Sud</x:v>
      </x:c>
      <x:c r="F136" s="83" t="str">
        <x:v>CM</x:v>
      </x:c>
      <x:c r="G136" s="197" t="n">
        <x:v>0.1</x:v>
      </x:c>
      <x:c r="H136" s="203" t="b">
        <x:v>1</x:v>
      </x:c>
      <x:c r="I136" s="197"/>
      <x:c r="J136" s="197"/>
      <x:c r="K136" s="197" t="str">
        <x:f>IF(AND(G136&lt;&gt;"",J136&lt;&gt;""),G136/J136,"")</x:f>
      </x:c>
      <x:c r="L136" s="197" t="str">
        <x:f>IF(AND(G136&lt;&gt;"",I136&lt;&gt;""),G136/I136,"")</x:f>
      </x:c>
      <x:c r="M136" s="83" t="str">
        <x:v>S09</x:v>
      </x:c>
      <x:c r="N136" s="83" t="str">
        <x:v>Documento di Descrizione degli Scenari 2024</x:v>
      </x:c>
      <x:c r="O136" s="83" t="n">
        <x:v>63</x:v>
      </x:c>
      <x:c r="P136" s="83" t="str">
        <x:v>60-61</x:v>
      </x:c>
      <x:c r="Q136" s="83" t="str">
        <x:v>Tabella 16</x:v>
      </x:c>
      <x:c r="R136" s="83" t="str">
        <x:v>Assunzione di scenario</x:v>
      </x:c>
      <x:c r="S136" s="83" t="str">
        <x:v>Direct table extraction</x:v>
      </x:c>
      <x:c r="T136" s="83" t="str">
        <x:v>A — Direct</x:v>
      </x:c>
      <x:c r="U136" s="83" t="str">
        <x:v>Energy capacity by zone and class; derive power only where duration is specified.</x:v>
      </x:c>
      <x:c r="V136" s="83" t="str">
        <x:v>Small-scale source classes are 2 or 4 hours; utility-scale is 8 hours. CM duration is not stated.</x:v>
      </x:c>
    </x:row>
    <x:row r="137">
      <x:c r="A137" s="83" t="str">
        <x:v>SZ-133</x:v>
      </x:c>
      <x:c r="B137" s="83" t="str">
        <x:v>DE_IT_2040</x:v>
      </x:c>
      <x:c r="C137" s="83" t="n">
        <x:v>2040</x:v>
      </x:c>
      <x:c r="D137" s="83" t="str">
        <x:v>DE-IT 2040</x:v>
      </x:c>
      <x:c r="E137" s="83" t="str">
        <x:v>Sud</x:v>
      </x:c>
      <x:c r="F137" s="83" t="str">
        <x:v>CM</x:v>
      </x:c>
      <x:c r="G137" s="197" t="n">
        <x:v>0.1</x:v>
      </x:c>
      <x:c r="H137" s="203" t="b">
        <x:v>1</x:v>
      </x:c>
      <x:c r="I137" s="197"/>
      <x:c r="J137" s="197"/>
      <x:c r="K137" s="197" t="str">
        <x:f>IF(AND(G137&lt;&gt;"",J137&lt;&gt;""),G137/J137,"")</x:f>
      </x:c>
      <x:c r="L137" s="197" t="str">
        <x:f>IF(AND(G137&lt;&gt;"",I137&lt;&gt;""),G137/I137,"")</x:f>
      </x:c>
      <x:c r="M137" s="83" t="str">
        <x:v>S09</x:v>
      </x:c>
      <x:c r="N137" s="83" t="str">
        <x:v>Documento di Descrizione degli Scenari 2024</x:v>
      </x:c>
      <x:c r="O137" s="83" t="n">
        <x:v>63</x:v>
      </x:c>
      <x:c r="P137" s="83" t="str">
        <x:v>60-61</x:v>
      </x:c>
      <x:c r="Q137" s="83" t="str">
        <x:v>Tabella 16</x:v>
      </x:c>
      <x:c r="R137" s="83" t="str">
        <x:v>Assunzione di scenario</x:v>
      </x:c>
      <x:c r="S137" s="83" t="str">
        <x:v>Direct table extraction</x:v>
      </x:c>
      <x:c r="T137" s="83" t="str">
        <x:v>A — Direct</x:v>
      </x:c>
      <x:c r="U137" s="83" t="str">
        <x:v>Energy capacity by zone and class; derive power only where duration is specified.</x:v>
      </x:c>
      <x:c r="V137" s="83" t="str">
        <x:v>Small-scale source classes are 2 or 4 hours; utility-scale is 8 hours. CM duration is not stated.</x:v>
      </x:c>
    </x:row>
    <x:row r="138">
      <x:c r="A138" s="83" t="str">
        <x:v>SZ-134</x:v>
      </x:c>
      <x:c r="B138" s="83" t="str">
        <x:v>GA_IT_2040</x:v>
      </x:c>
      <x:c r="C138" s="83" t="n">
        <x:v>2040</x:v>
      </x:c>
      <x:c r="D138" s="83" t="str">
        <x:v>GA-IT 2040</x:v>
      </x:c>
      <x:c r="E138" s="83" t="str">
        <x:v>Sud</x:v>
      </x:c>
      <x:c r="F138" s="83" t="str">
        <x:v>CM</x:v>
      </x:c>
      <x:c r="G138" s="197" t="n">
        <x:v>0.1</x:v>
      </x:c>
      <x:c r="H138" s="203" t="b">
        <x:v>1</x:v>
      </x:c>
      <x:c r="I138" s="197"/>
      <x:c r="J138" s="197"/>
      <x:c r="K138" s="197" t="str">
        <x:f>IF(AND(G138&lt;&gt;"",J138&lt;&gt;""),G138/J138,"")</x:f>
      </x:c>
      <x:c r="L138" s="197" t="str">
        <x:f>IF(AND(G138&lt;&gt;"",I138&lt;&gt;""),G138/I138,"")</x:f>
      </x:c>
      <x:c r="M138" s="83" t="str">
        <x:v>S09</x:v>
      </x:c>
      <x:c r="N138" s="83" t="str">
        <x:v>Documento di Descrizione degli Scenari 2024</x:v>
      </x:c>
      <x:c r="O138" s="83" t="n">
        <x:v>63</x:v>
      </x:c>
      <x:c r="P138" s="83" t="str">
        <x:v>60-61</x:v>
      </x:c>
      <x:c r="Q138" s="83" t="str">
        <x:v>Tabella 16</x:v>
      </x:c>
      <x:c r="R138" s="83" t="str">
        <x:v>Assunzione di scenario</x:v>
      </x:c>
      <x:c r="S138" s="83" t="str">
        <x:v>Direct table extraction</x:v>
      </x:c>
      <x:c r="T138" s="83" t="str">
        <x:v>A — Direct</x:v>
      </x:c>
      <x:c r="U138" s="83" t="str">
        <x:v>Energy capacity by zone and class; derive power only where duration is specified.</x:v>
      </x:c>
      <x:c r="V138" s="83" t="str">
        <x:v>Small-scale source classes are 2 or 4 hours; utility-scale is 8 hours. CM duration is not stated.</x:v>
      </x:c>
    </x:row>
    <x:row r="139">
      <x:c r="A139" s="83" t="str">
        <x:v>SZ-135</x:v>
      </x:c>
      <x:c r="B139" s="83" t="str">
        <x:v>PNIEC_SLOW_2040</x:v>
      </x:c>
      <x:c r="C139" s="83" t="n">
        <x:v>2040</x:v>
      </x:c>
      <x:c r="D139" s="83" t="str">
        <x:v>PNIEC Slow 2040</x:v>
      </x:c>
      <x:c r="E139" s="83" t="str">
        <x:v>Sud</x:v>
      </x:c>
      <x:c r="F139" s="83" t="str">
        <x:v>CM</x:v>
      </x:c>
      <x:c r="G139" s="197" t="n">
        <x:v>0.1</x:v>
      </x:c>
      <x:c r="H139" s="203" t="b">
        <x:v>1</x:v>
      </x:c>
      <x:c r="I139" s="197"/>
      <x:c r="J139" s="197"/>
      <x:c r="K139" s="197" t="str">
        <x:f>IF(AND(G139&lt;&gt;"",J139&lt;&gt;""),G139/J139,"")</x:f>
      </x:c>
      <x:c r="L139" s="197" t="str">
        <x:f>IF(AND(G139&lt;&gt;"",I139&lt;&gt;""),G139/I139,"")</x:f>
      </x:c>
      <x:c r="M139" s="83" t="str">
        <x:v>S09</x:v>
      </x:c>
      <x:c r="N139" s="83" t="str">
        <x:v>Documento di Descrizione degli Scenari 2024</x:v>
      </x:c>
      <x:c r="O139" s="83" t="n">
        <x:v>63</x:v>
      </x:c>
      <x:c r="P139" s="83" t="str">
        <x:v>60-61</x:v>
      </x:c>
      <x:c r="Q139" s="83" t="str">
        <x:v>Tabella 16</x:v>
      </x:c>
      <x:c r="R139" s="83" t="str">
        <x:v>Assunzione di scenario</x:v>
      </x:c>
      <x:c r="S139" s="83" t="str">
        <x:v>Direct table extraction</x:v>
      </x:c>
      <x:c r="T139" s="83" t="str">
        <x:v>A — Direct</x:v>
      </x:c>
      <x:c r="U139" s="83" t="str">
        <x:v>Energy capacity by zone and class; derive power only where duration is specified.</x:v>
      </x:c>
      <x:c r="V139" s="83" t="str">
        <x:v>Small-scale source classes are 2 or 4 hours; utility-scale is 8 hours. CM duration is not stated.</x:v>
      </x:c>
    </x:row>
    <x:row r="140">
      <x:c r="A140" s="83" t="str">
        <x:v>SZ-136</x:v>
      </x:c>
      <x:c r="B140" s="83" t="str">
        <x:v>HIST_2023</x:v>
      </x:c>
      <x:c r="C140" s="83" t="n">
        <x:v>2023</x:v>
      </x:c>
      <x:c r="D140" s="83" t="str">
        <x:v>Storico 2023</x:v>
      </x:c>
      <x:c r="E140" s="83" t="str">
        <x:v>Sud</x:v>
      </x:c>
      <x:c r="F140" s="83" t="str">
        <x:v>Totale</x:v>
      </x:c>
      <x:c r="G140" s="197" t="n">
        <x:v>0.4</x:v>
      </x:c>
      <x:c r="H140" s="203" t="b">
        <x:v>1</x:v>
      </x:c>
      <x:c r="I140" s="197"/>
      <x:c r="J140" s="197"/>
      <x:c r="K140" s="197" t="str">
        <x:f>IF(AND(G140&lt;&gt;"",J140&lt;&gt;""),G140/J140,"")</x:f>
      </x:c>
      <x:c r="L140" s="197" t="str">
        <x:f>IF(AND(G140&lt;&gt;"",I140&lt;&gt;""),G140/I140,"")</x:f>
      </x:c>
      <x:c r="M140" s="83" t="str">
        <x:v>S09</x:v>
      </x:c>
      <x:c r="N140" s="83" t="str">
        <x:v>Documento di Descrizione degli Scenari 2024</x:v>
      </x:c>
      <x:c r="O140" s="83" t="n">
        <x:v>63</x:v>
      </x:c>
      <x:c r="P140" s="83" t="str">
        <x:v>60-61</x:v>
      </x:c>
      <x:c r="Q140" s="83" t="str">
        <x:v>Tabella 16</x:v>
      </x:c>
      <x:c r="R140" s="83" t="str">
        <x:v>Dato osservato storico nel DDS</x:v>
      </x:c>
      <x:c r="S140" s="83" t="str">
        <x:v>Direct table extraction</x:v>
      </x:c>
      <x:c r="T140" s="83" t="str">
        <x:v>A — Direct</x:v>
      </x:c>
      <x:c r="U140" s="83" t="str">
        <x:v>Energy capacity by zone and class; derive power only where duration is specified.</x:v>
      </x:c>
      <x:c r="V140" s="83" t="str">
        <x:v>Small-scale source classes are 2 or 4 hours; utility-scale is 8 hours. CM duration is not stated.</x:v>
      </x:c>
    </x:row>
    <x:row r="141">
      <x:c r="A141" s="83" t="str">
        <x:v>SZ-137</x:v>
      </x:c>
      <x:c r="B141" s="83" t="str">
        <x:v>PNIEC_POLICY_2030</x:v>
      </x:c>
      <x:c r="C141" s="83" t="n">
        <x:v>2030</x:v>
      </x:c>
      <x:c r="D141" s="83" t="str">
        <x:v>PNIEC Policy 2030</x:v>
      </x:c>
      <x:c r="E141" s="83" t="str">
        <x:v>Sud</x:v>
      </x:c>
      <x:c r="F141" s="83" t="str">
        <x:v>Totale</x:v>
      </x:c>
      <x:c r="G141" s="197" t="n">
        <x:v>17.6</x:v>
      </x:c>
      <x:c r="H141" s="203" t="b">
        <x:v>1</x:v>
      </x:c>
      <x:c r="I141" s="197"/>
      <x:c r="J141" s="197"/>
      <x:c r="K141" s="197" t="str">
        <x:f>IF(AND(G141&lt;&gt;"",J141&lt;&gt;""),G141/J141,"")</x:f>
      </x:c>
      <x:c r="L141" s="197" t="str">
        <x:f>IF(AND(G141&lt;&gt;"",I141&lt;&gt;""),G141/I141,"")</x:f>
      </x:c>
      <x:c r="M141" s="83" t="str">
        <x:v>S09</x:v>
      </x:c>
      <x:c r="N141" s="83" t="str">
        <x:v>Documento di Descrizione degli Scenari 2024</x:v>
      </x:c>
      <x:c r="O141" s="83" t="n">
        <x:v>63</x:v>
      </x:c>
      <x:c r="P141" s="83" t="str">
        <x:v>60-61</x:v>
      </x:c>
      <x:c r="Q141" s="83" t="str">
        <x:v>Tabella 16</x:v>
      </x:c>
      <x:c r="R141" s="83" t="str">
        <x:v>Assunzione di scenario</x:v>
      </x:c>
      <x:c r="S141" s="83" t="str">
        <x:v>Direct table extraction</x:v>
      </x:c>
      <x:c r="T141" s="83" t="str">
        <x:v>A — Direct</x:v>
      </x:c>
      <x:c r="U141" s="83" t="str">
        <x:v>Energy capacity by zone and class; derive power only where duration is specified.</x:v>
      </x:c>
      <x:c r="V141" s="83" t="str">
        <x:v>Small-scale source classes are 2 or 4 hours; utility-scale is 8 hours. CM duration is not stated.</x:v>
      </x:c>
    </x:row>
    <x:row r="142">
      <x:c r="A142" s="83" t="str">
        <x:v>SZ-138</x:v>
      </x:c>
      <x:c r="B142" s="83" t="str">
        <x:v>PNIEC_SLOW_2030</x:v>
      </x:c>
      <x:c r="C142" s="83" t="n">
        <x:v>2030</x:v>
      </x:c>
      <x:c r="D142" s="83" t="str">
        <x:v>PNIEC Slow 2030</x:v>
      </x:c>
      <x:c r="E142" s="83" t="str">
        <x:v>Sud</x:v>
      </x:c>
      <x:c r="F142" s="83" t="str">
        <x:v>Totale</x:v>
      </x:c>
      <x:c r="G142" s="197" t="n">
        <x:v>9.2</x:v>
      </x:c>
      <x:c r="H142" s="203" t="b">
        <x:v>1</x:v>
      </x:c>
      <x:c r="I142" s="197"/>
      <x:c r="J142" s="197"/>
      <x:c r="K142" s="197" t="str">
        <x:f>IF(AND(G142&lt;&gt;"",J142&lt;&gt;""),G142/J142,"")</x:f>
      </x:c>
      <x:c r="L142" s="197" t="str">
        <x:f>IF(AND(G142&lt;&gt;"",I142&lt;&gt;""),G142/I142,"")</x:f>
      </x:c>
      <x:c r="M142" s="83" t="str">
        <x:v>S09</x:v>
      </x:c>
      <x:c r="N142" s="83" t="str">
        <x:v>Documento di Descrizione degli Scenari 2024</x:v>
      </x:c>
      <x:c r="O142" s="83" t="n">
        <x:v>63</x:v>
      </x:c>
      <x:c r="P142" s="83" t="str">
        <x:v>60-61</x:v>
      </x:c>
      <x:c r="Q142" s="83" t="str">
        <x:v>Tabella 16</x:v>
      </x:c>
      <x:c r="R142" s="83" t="str">
        <x:v>Assunzione di scenario</x:v>
      </x:c>
      <x:c r="S142" s="83" t="str">
        <x:v>Direct table extraction</x:v>
      </x:c>
      <x:c r="T142" s="83" t="str">
        <x:v>A — Direct</x:v>
      </x:c>
      <x:c r="U142" s="83" t="str">
        <x:v>Energy capacity by zone and class; derive power only where duration is specified.</x:v>
      </x:c>
      <x:c r="V142" s="83" t="str">
        <x:v>Small-scale source classes are 2 or 4 hours; utility-scale is 8 hours. CM duration is not stated.</x:v>
      </x:c>
    </x:row>
    <x:row r="143">
      <x:c r="A143" s="83" t="str">
        <x:v>SZ-139</x:v>
      </x:c>
      <x:c r="B143" s="83" t="str">
        <x:v>DE_IT_2035</x:v>
      </x:c>
      <x:c r="C143" s="83" t="n">
        <x:v>2035</x:v>
      </x:c>
      <x:c r="D143" s="83" t="str">
        <x:v>DE-IT 2035</x:v>
      </x:c>
      <x:c r="E143" s="83" t="str">
        <x:v>Sud</x:v>
      </x:c>
      <x:c r="F143" s="83" t="str">
        <x:v>Totale</x:v>
      </x:c>
      <x:c r="G143" s="197" t="n">
        <x:v>36.2</x:v>
      </x:c>
      <x:c r="H143" s="203" t="b">
        <x:v>1</x:v>
      </x:c>
      <x:c r="I143" s="197"/>
      <x:c r="J143" s="197"/>
      <x:c r="K143" s="197" t="str">
        <x:f>IF(AND(G143&lt;&gt;"",J143&lt;&gt;""),G143/J143,"")</x:f>
      </x:c>
      <x:c r="L143" s="197" t="str">
        <x:f>IF(AND(G143&lt;&gt;"",I143&lt;&gt;""),G143/I143,"")</x:f>
      </x:c>
      <x:c r="M143" s="83" t="str">
        <x:v>S09</x:v>
      </x:c>
      <x:c r="N143" s="83" t="str">
        <x:v>Documento di Descrizione degli Scenari 2024</x:v>
      </x:c>
      <x:c r="O143" s="83" t="n">
        <x:v>63</x:v>
      </x:c>
      <x:c r="P143" s="83" t="str">
        <x:v>60-61</x:v>
      </x:c>
      <x:c r="Q143" s="83" t="str">
        <x:v>Tabella 16</x:v>
      </x:c>
      <x:c r="R143" s="83" t="str">
        <x:v>Assunzione di scenario</x:v>
      </x:c>
      <x:c r="S143" s="83" t="str">
        <x:v>Direct table extraction</x:v>
      </x:c>
      <x:c r="T143" s="83" t="str">
        <x:v>A — Direct</x:v>
      </x:c>
      <x:c r="U143" s="83" t="str">
        <x:v>Energy capacity by zone and class; derive power only where duration is specified.</x:v>
      </x:c>
      <x:c r="V143" s="83" t="str">
        <x:v>Small-scale source classes are 2 or 4 hours; utility-scale is 8 hours. CM duration is not stated.</x:v>
      </x:c>
    </x:row>
    <x:row r="144">
      <x:c r="A144" s="83" t="str">
        <x:v>SZ-140</x:v>
      </x:c>
      <x:c r="B144" s="83" t="str">
        <x:v>GA_IT_2035</x:v>
      </x:c>
      <x:c r="C144" s="83" t="n">
        <x:v>2035</x:v>
      </x:c>
      <x:c r="D144" s="83" t="str">
        <x:v>GA-IT 2035</x:v>
      </x:c>
      <x:c r="E144" s="83" t="str">
        <x:v>Sud</x:v>
      </x:c>
      <x:c r="F144" s="83" t="str">
        <x:v>Totale</x:v>
      </x:c>
      <x:c r="G144" s="197" t="n">
        <x:v>24.1</x:v>
      </x:c>
      <x:c r="H144" s="203" t="b">
        <x:v>1</x:v>
      </x:c>
      <x:c r="I144" s="197"/>
      <x:c r="J144" s="197"/>
      <x:c r="K144" s="197" t="str">
        <x:f>IF(AND(G144&lt;&gt;"",J144&lt;&gt;""),G144/J144,"")</x:f>
      </x:c>
      <x:c r="L144" s="197" t="str">
        <x:f>IF(AND(G144&lt;&gt;"",I144&lt;&gt;""),G144/I144,"")</x:f>
      </x:c>
      <x:c r="M144" s="83" t="str">
        <x:v>S09</x:v>
      </x:c>
      <x:c r="N144" s="83" t="str">
        <x:v>Documento di Descrizione degli Scenari 2024</x:v>
      </x:c>
      <x:c r="O144" s="83" t="n">
        <x:v>63</x:v>
      </x:c>
      <x:c r="P144" s="83" t="str">
        <x:v>60-61</x:v>
      </x:c>
      <x:c r="Q144" s="83" t="str">
        <x:v>Tabella 16</x:v>
      </x:c>
      <x:c r="R144" s="83" t="str">
        <x:v>Assunzione di scenario</x:v>
      </x:c>
      <x:c r="S144" s="83" t="str">
        <x:v>Direct table extraction</x:v>
      </x:c>
      <x:c r="T144" s="83" t="str">
        <x:v>A — Direct</x:v>
      </x:c>
      <x:c r="U144" s="83" t="str">
        <x:v>Energy capacity by zone and class; derive power only where duration is specified.</x:v>
      </x:c>
      <x:c r="V144" s="83" t="str">
        <x:v>Small-scale source classes are 2 or 4 hours; utility-scale is 8 hours. CM duration is not stated.</x:v>
      </x:c>
    </x:row>
    <x:row r="145">
      <x:c r="A145" s="83" t="str">
        <x:v>SZ-141</x:v>
      </x:c>
      <x:c r="B145" s="83" t="str">
        <x:v>PNIEC_SLOW_2035</x:v>
      </x:c>
      <x:c r="C145" s="83" t="n">
        <x:v>2035</x:v>
      </x:c>
      <x:c r="D145" s="83" t="str">
        <x:v>PNIEC Slow 2035</x:v>
      </x:c>
      <x:c r="E145" s="83" t="str">
        <x:v>Sud</x:v>
      </x:c>
      <x:c r="F145" s="83" t="str">
        <x:v>Totale</x:v>
      </x:c>
      <x:c r="G145" s="197" t="n">
        <x:v>18.7</x:v>
      </x:c>
      <x:c r="H145" s="203" t="b">
        <x:v>1</x:v>
      </x:c>
      <x:c r="I145" s="197"/>
      <x:c r="J145" s="197"/>
      <x:c r="K145" s="197" t="str">
        <x:f>IF(AND(G145&lt;&gt;"",J145&lt;&gt;""),G145/J145,"")</x:f>
      </x:c>
      <x:c r="L145" s="197" t="str">
        <x:f>IF(AND(G145&lt;&gt;"",I145&lt;&gt;""),G145/I145,"")</x:f>
      </x:c>
      <x:c r="M145" s="83" t="str">
        <x:v>S09</x:v>
      </x:c>
      <x:c r="N145" s="83" t="str">
        <x:v>Documento di Descrizione degli Scenari 2024</x:v>
      </x:c>
      <x:c r="O145" s="83" t="n">
        <x:v>63</x:v>
      </x:c>
      <x:c r="P145" s="83" t="str">
        <x:v>60-61</x:v>
      </x:c>
      <x:c r="Q145" s="83" t="str">
        <x:v>Tabella 16</x:v>
      </x:c>
      <x:c r="R145" s="83" t="str">
        <x:v>Assunzione di scenario</x:v>
      </x:c>
      <x:c r="S145" s="83" t="str">
        <x:v>Direct table extraction</x:v>
      </x:c>
      <x:c r="T145" s="83" t="str">
        <x:v>A — Direct</x:v>
      </x:c>
      <x:c r="U145" s="83" t="str">
        <x:v>Energy capacity by zone and class; derive power only where duration is specified.</x:v>
      </x:c>
      <x:c r="V145" s="83" t="str">
        <x:v>Small-scale source classes are 2 or 4 hours; utility-scale is 8 hours. CM duration is not stated.</x:v>
      </x:c>
    </x:row>
    <x:row r="146">
      <x:c r="A146" s="83" t="str">
        <x:v>SZ-142</x:v>
      </x:c>
      <x:c r="B146" s="83" t="str">
        <x:v>DE_IT_2040</x:v>
      </x:c>
      <x:c r="C146" s="83" t="n">
        <x:v>2040</x:v>
      </x:c>
      <x:c r="D146" s="83" t="str">
        <x:v>DE-IT 2040</x:v>
      </x:c>
      <x:c r="E146" s="83" t="str">
        <x:v>Sud</x:v>
      </x:c>
      <x:c r="F146" s="83" t="str">
        <x:v>Totale</x:v>
      </x:c>
      <x:c r="G146" s="197" t="n">
        <x:v>48.7</x:v>
      </x:c>
      <x:c r="H146" s="203" t="b">
        <x:v>1</x:v>
      </x:c>
      <x:c r="I146" s="197"/>
      <x:c r="J146" s="197"/>
      <x:c r="K146" s="197" t="str">
        <x:f>IF(AND(G146&lt;&gt;"",J146&lt;&gt;""),G146/J146,"")</x:f>
      </x:c>
      <x:c r="L146" s="197" t="str">
        <x:f>IF(AND(G146&lt;&gt;"",I146&lt;&gt;""),G146/I146,"")</x:f>
      </x:c>
      <x:c r="M146" s="83" t="str">
        <x:v>S09</x:v>
      </x:c>
      <x:c r="N146" s="83" t="str">
        <x:v>Documento di Descrizione degli Scenari 2024</x:v>
      </x:c>
      <x:c r="O146" s="83" t="n">
        <x:v>63</x:v>
      </x:c>
      <x:c r="P146" s="83" t="str">
        <x:v>60-61</x:v>
      </x:c>
      <x:c r="Q146" s="83" t="str">
        <x:v>Tabella 16</x:v>
      </x:c>
      <x:c r="R146" s="83" t="str">
        <x:v>Assunzione di scenario</x:v>
      </x:c>
      <x:c r="S146" s="83" t="str">
        <x:v>Direct table extraction</x:v>
      </x:c>
      <x:c r="T146" s="83" t="str">
        <x:v>A — Direct</x:v>
      </x:c>
      <x:c r="U146" s="83" t="str">
        <x:v>Energy capacity by zone and class; derive power only where duration is specified.</x:v>
      </x:c>
      <x:c r="V146" s="83" t="str">
        <x:v>Small-scale source classes are 2 or 4 hours; utility-scale is 8 hours. CM duration is not stated.</x:v>
      </x:c>
    </x:row>
    <x:row r="147">
      <x:c r="A147" s="83" t="str">
        <x:v>SZ-143</x:v>
      </x:c>
      <x:c r="B147" s="83" t="str">
        <x:v>GA_IT_2040</x:v>
      </x:c>
      <x:c r="C147" s="83" t="n">
        <x:v>2040</x:v>
      </x:c>
      <x:c r="D147" s="83" t="str">
        <x:v>GA-IT 2040</x:v>
      </x:c>
      <x:c r="E147" s="83" t="str">
        <x:v>Sud</x:v>
      </x:c>
      <x:c r="F147" s="83" t="str">
        <x:v>Totale</x:v>
      </x:c>
      <x:c r="G147" s="197" t="n">
        <x:v>37.8</x:v>
      </x:c>
      <x:c r="H147" s="203" t="b">
        <x:v>1</x:v>
      </x:c>
      <x:c r="I147" s="197"/>
      <x:c r="J147" s="197"/>
      <x:c r="K147" s="197" t="str">
        <x:f>IF(AND(G147&lt;&gt;"",J147&lt;&gt;""),G147/J147,"")</x:f>
      </x:c>
      <x:c r="L147" s="197" t="str">
        <x:f>IF(AND(G147&lt;&gt;"",I147&lt;&gt;""),G147/I147,"")</x:f>
      </x:c>
      <x:c r="M147" s="83" t="str">
        <x:v>S09</x:v>
      </x:c>
      <x:c r="N147" s="83" t="str">
        <x:v>Documento di Descrizione degli Scenari 2024</x:v>
      </x:c>
      <x:c r="O147" s="83" t="n">
        <x:v>63</x:v>
      </x:c>
      <x:c r="P147" s="83" t="str">
        <x:v>60-61</x:v>
      </x:c>
      <x:c r="Q147" s="83" t="str">
        <x:v>Tabella 16</x:v>
      </x:c>
      <x:c r="R147" s="83" t="str">
        <x:v>Assunzione di scenario</x:v>
      </x:c>
      <x:c r="S147" s="83" t="str">
        <x:v>Direct table extraction</x:v>
      </x:c>
      <x:c r="T147" s="83" t="str">
        <x:v>A — Direct</x:v>
      </x:c>
      <x:c r="U147" s="83" t="str">
        <x:v>Energy capacity by zone and class; derive power only where duration is specified.</x:v>
      </x:c>
      <x:c r="V147" s="83" t="str">
        <x:v>Small-scale source classes are 2 or 4 hours; utility-scale is 8 hours. CM duration is not stated.</x:v>
      </x:c>
    </x:row>
    <x:row r="148">
      <x:c r="A148" s="83" t="str">
        <x:v>SZ-144</x:v>
      </x:c>
      <x:c r="B148" s="83" t="str">
        <x:v>PNIEC_SLOW_2040</x:v>
      </x:c>
      <x:c r="C148" s="83" t="n">
        <x:v>2040</x:v>
      </x:c>
      <x:c r="D148" s="83" t="str">
        <x:v>PNIEC Slow 2040</x:v>
      </x:c>
      <x:c r="E148" s="83" t="str">
        <x:v>Sud</x:v>
      </x:c>
      <x:c r="F148" s="83" t="str">
        <x:v>Totale</x:v>
      </x:c>
      <x:c r="G148" s="197" t="n">
        <x:v>28.6</x:v>
      </x:c>
      <x:c r="H148" s="203" t="b">
        <x:v>1</x:v>
      </x:c>
      <x:c r="I148" s="197"/>
      <x:c r="J148" s="197"/>
      <x:c r="K148" s="197" t="str">
        <x:f>IF(AND(G148&lt;&gt;"",J148&lt;&gt;""),G148/J148,"")</x:f>
      </x:c>
      <x:c r="L148" s="197" t="str">
        <x:f>IF(AND(G148&lt;&gt;"",I148&lt;&gt;""),G148/I148,"")</x:f>
      </x:c>
      <x:c r="M148" s="83" t="str">
        <x:v>S09</x:v>
      </x:c>
      <x:c r="N148" s="83" t="str">
        <x:v>Documento di Descrizione degli Scenari 2024</x:v>
      </x:c>
      <x:c r="O148" s="83" t="n">
        <x:v>63</x:v>
      </x:c>
      <x:c r="P148" s="83" t="str">
        <x:v>60-61</x:v>
      </x:c>
      <x:c r="Q148" s="83" t="str">
        <x:v>Tabella 16</x:v>
      </x:c>
      <x:c r="R148" s="83" t="str">
        <x:v>Assunzione di scenario</x:v>
      </x:c>
      <x:c r="S148" s="83" t="str">
        <x:v>Direct table extraction</x:v>
      </x:c>
      <x:c r="T148" s="83" t="str">
        <x:v>A — Direct</x:v>
      </x:c>
      <x:c r="U148" s="83" t="str">
        <x:v>Energy capacity by zone and class; derive power only where duration is specified.</x:v>
      </x:c>
      <x:c r="V148" s="83" t="str">
        <x:v>Small-scale source classes are 2 or 4 hours; utility-scale is 8 hours. CM duration is not stated.</x:v>
      </x:c>
    </x:row>
    <x:row r="149">
      <x:c r="A149" s="83" t="str">
        <x:v>SZ-145</x:v>
      </x:c>
      <x:c r="B149" s="83" t="str">
        <x:v>HIST_2023</x:v>
      </x:c>
      <x:c r="C149" s="83" t="n">
        <x:v>2023</x:v>
      </x:c>
      <x:c r="D149" s="83" t="str">
        <x:v>Storico 2023</x:v>
      </x:c>
      <x:c r="E149" s="83" t="str">
        <x:v>Calabria</x:v>
      </x:c>
      <x:c r="F149" s="83" t="str">
        <x:v>Small Scale</x:v>
      </x:c>
      <x:c r="G149" s="197" t="n">
        <x:v>0.2</x:v>
      </x:c>
      <x:c r="H149" s="203" t="b">
        <x:v>1</x:v>
      </x:c>
      <x:c r="I149" s="197" t="n">
        <x:v>2</x:v>
      </x:c>
      <x:c r="J149" s="197" t="n">
        <x:v>4</x:v>
      </x:c>
      <x:c r="K149" s="197" t="n">
        <x:f>IF(AND(G149&lt;&gt;"",J149&lt;&gt;""),G149/J149,"")</x:f>
        <x:v>0.05</x:v>
      </x:c>
      <x:c r="L149" s="197" t="n">
        <x:f>IF(AND(G149&lt;&gt;"",I149&lt;&gt;""),G149/I149,"")</x:f>
        <x:v>0.1</x:v>
      </x:c>
      <x:c r="M149" s="83" t="str">
        <x:v>S09</x:v>
      </x:c>
      <x:c r="N149" s="83" t="str">
        <x:v>Documento di Descrizione degli Scenari 2024</x:v>
      </x:c>
      <x:c r="O149" s="83" t="n">
        <x:v>63</x:v>
      </x:c>
      <x:c r="P149" s="83" t="str">
        <x:v>60-61</x:v>
      </x:c>
      <x:c r="Q149" s="83" t="str">
        <x:v>Tabella 16</x:v>
      </x:c>
      <x:c r="R149" s="83" t="str">
        <x:v>Dato osservato storico nel DDS</x:v>
      </x:c>
      <x:c r="S149" s="83" t="str">
        <x:v>Direct table extraction</x:v>
      </x:c>
      <x:c r="T149" s="83" t="str">
        <x:v>A — Direct</x:v>
      </x:c>
      <x:c r="U149" s="83" t="str">
        <x:v>Energy capacity by zone and class; derive power only where duration is specified.</x:v>
      </x:c>
      <x:c r="V149" s="83" t="str">
        <x:v>Small-scale source classes are 2 or 4 hours; utility-scale is 8 hours. CM duration is not stated.</x:v>
      </x:c>
    </x:row>
    <x:row r="150">
      <x:c r="A150" s="83" t="str">
        <x:v>SZ-146</x:v>
      </x:c>
      <x:c r="B150" s="83" t="str">
        <x:v>PNIEC_POLICY_2030</x:v>
      </x:c>
      <x:c r="C150" s="83" t="n">
        <x:v>2030</x:v>
      </x:c>
      <x:c r="D150" s="83" t="str">
        <x:v>PNIEC Policy 2030</x:v>
      </x:c>
      <x:c r="E150" s="83" t="str">
        <x:v>Calabria</x:v>
      </x:c>
      <x:c r="F150" s="83" t="str">
        <x:v>Small Scale</x:v>
      </x:c>
      <x:c r="G150" s="197" t="n">
        <x:v>0.3</x:v>
      </x:c>
      <x:c r="H150" s="203" t="b">
        <x:v>1</x:v>
      </x:c>
      <x:c r="I150" s="197" t="n">
        <x:v>2</x:v>
      </x:c>
      <x:c r="J150" s="197" t="n">
        <x:v>4</x:v>
      </x:c>
      <x:c r="K150" s="197" t="n">
        <x:f>IF(AND(G150&lt;&gt;"",J150&lt;&gt;""),G150/J150,"")</x:f>
        <x:v>0.075</x:v>
      </x:c>
      <x:c r="L150" s="197" t="n">
        <x:f>IF(AND(G150&lt;&gt;"",I150&lt;&gt;""),G150/I150,"")</x:f>
        <x:v>0.15</x:v>
      </x:c>
      <x:c r="M150" s="83" t="str">
        <x:v>S09</x:v>
      </x:c>
      <x:c r="N150" s="83" t="str">
        <x:v>Documento di Descrizione degli Scenari 2024</x:v>
      </x:c>
      <x:c r="O150" s="83" t="n">
        <x:v>63</x:v>
      </x:c>
      <x:c r="P150" s="83" t="str">
        <x:v>60-61</x:v>
      </x:c>
      <x:c r="Q150" s="83" t="str">
        <x:v>Tabella 16</x:v>
      </x:c>
      <x:c r="R150" s="83" t="str">
        <x:v>Assunzione di scenario</x:v>
      </x:c>
      <x:c r="S150" s="83" t="str">
        <x:v>Direct table extraction</x:v>
      </x:c>
      <x:c r="T150" s="83" t="str">
        <x:v>A — Direct</x:v>
      </x:c>
      <x:c r="U150" s="83" t="str">
        <x:v>Energy capacity by zone and class; derive power only where duration is specified.</x:v>
      </x:c>
      <x:c r="V150" s="83" t="str">
        <x:v>Small-scale source classes are 2 or 4 hours; utility-scale is 8 hours. CM duration is not stated.</x:v>
      </x:c>
    </x:row>
    <x:row r="151">
      <x:c r="A151" s="83" t="str">
        <x:v>SZ-147</x:v>
      </x:c>
      <x:c r="B151" s="83" t="str">
        <x:v>PNIEC_SLOW_2030</x:v>
      </x:c>
      <x:c r="C151" s="83" t="n">
        <x:v>2030</x:v>
      </x:c>
      <x:c r="D151" s="83" t="str">
        <x:v>PNIEC Slow 2030</x:v>
      </x:c>
      <x:c r="E151" s="83" t="str">
        <x:v>Calabria</x:v>
      </x:c>
      <x:c r="F151" s="83" t="str">
        <x:v>Small Scale</x:v>
      </x:c>
      <x:c r="G151" s="197" t="n">
        <x:v>0.4</x:v>
      </x:c>
      <x:c r="H151" s="203" t="b">
        <x:v>1</x:v>
      </x:c>
      <x:c r="I151" s="197" t="n">
        <x:v>2</x:v>
      </x:c>
      <x:c r="J151" s="197" t="n">
        <x:v>4</x:v>
      </x:c>
      <x:c r="K151" s="197" t="n">
        <x:f>IF(AND(G151&lt;&gt;"",J151&lt;&gt;""),G151/J151,"")</x:f>
        <x:v>0.1</x:v>
      </x:c>
      <x:c r="L151" s="197" t="n">
        <x:f>IF(AND(G151&lt;&gt;"",I151&lt;&gt;""),G151/I151,"")</x:f>
        <x:v>0.2</x:v>
      </x:c>
      <x:c r="M151" s="83" t="str">
        <x:v>S09</x:v>
      </x:c>
      <x:c r="N151" s="83" t="str">
        <x:v>Documento di Descrizione degli Scenari 2024</x:v>
      </x:c>
      <x:c r="O151" s="83" t="n">
        <x:v>63</x:v>
      </x:c>
      <x:c r="P151" s="83" t="str">
        <x:v>60-61</x:v>
      </x:c>
      <x:c r="Q151" s="83" t="str">
        <x:v>Tabella 16</x:v>
      </x:c>
      <x:c r="R151" s="83" t="str">
        <x:v>Assunzione di scenario</x:v>
      </x:c>
      <x:c r="S151" s="83" t="str">
        <x:v>Direct table extraction</x:v>
      </x:c>
      <x:c r="T151" s="83" t="str">
        <x:v>A — Direct</x:v>
      </x:c>
      <x:c r="U151" s="83" t="str">
        <x:v>Energy capacity by zone and class; derive power only where duration is specified.</x:v>
      </x:c>
      <x:c r="V151" s="83" t="str">
        <x:v>Small-scale source classes are 2 or 4 hours; utility-scale is 8 hours. CM duration is not stated.</x:v>
      </x:c>
    </x:row>
    <x:row r="152">
      <x:c r="A152" s="83" t="str">
        <x:v>SZ-148</x:v>
      </x:c>
      <x:c r="B152" s="83" t="str">
        <x:v>DE_IT_2035</x:v>
      </x:c>
      <x:c r="C152" s="83" t="n">
        <x:v>2035</x:v>
      </x:c>
      <x:c r="D152" s="83" t="str">
        <x:v>DE-IT 2035</x:v>
      </x:c>
      <x:c r="E152" s="83" t="str">
        <x:v>Calabria</x:v>
      </x:c>
      <x:c r="F152" s="83" t="str">
        <x:v>Small Scale</x:v>
      </x:c>
      <x:c r="G152" s="197" t="n">
        <x:v>0.4</x:v>
      </x:c>
      <x:c r="H152" s="203" t="b">
        <x:v>1</x:v>
      </x:c>
      <x:c r="I152" s="197" t="n">
        <x:v>2</x:v>
      </x:c>
      <x:c r="J152" s="197" t="n">
        <x:v>4</x:v>
      </x:c>
      <x:c r="K152" s="197" t="n">
        <x:f>IF(AND(G152&lt;&gt;"",J152&lt;&gt;""),G152/J152,"")</x:f>
        <x:v>0.1</x:v>
      </x:c>
      <x:c r="L152" s="197" t="n">
        <x:f>IF(AND(G152&lt;&gt;"",I152&lt;&gt;""),G152/I152,"")</x:f>
        <x:v>0.2</x:v>
      </x:c>
      <x:c r="M152" s="83" t="str">
        <x:v>S09</x:v>
      </x:c>
      <x:c r="N152" s="83" t="str">
        <x:v>Documento di Descrizione degli Scenari 2024</x:v>
      </x:c>
      <x:c r="O152" s="83" t="n">
        <x:v>63</x:v>
      </x:c>
      <x:c r="P152" s="83" t="str">
        <x:v>60-61</x:v>
      </x:c>
      <x:c r="Q152" s="83" t="str">
        <x:v>Tabella 16</x:v>
      </x:c>
      <x:c r="R152" s="83" t="str">
        <x:v>Assunzione di scenario</x:v>
      </x:c>
      <x:c r="S152" s="83" t="str">
        <x:v>Direct table extraction</x:v>
      </x:c>
      <x:c r="T152" s="83" t="str">
        <x:v>A — Direct</x:v>
      </x:c>
      <x:c r="U152" s="83" t="str">
        <x:v>Energy capacity by zone and class; derive power only where duration is specified.</x:v>
      </x:c>
      <x:c r="V152" s="83" t="str">
        <x:v>Small-scale source classes are 2 or 4 hours; utility-scale is 8 hours. CM duration is not stated.</x:v>
      </x:c>
    </x:row>
    <x:row r="153">
      <x:c r="A153" s="83" t="str">
        <x:v>SZ-149</x:v>
      </x:c>
      <x:c r="B153" s="83" t="str">
        <x:v>GA_IT_2035</x:v>
      </x:c>
      <x:c r="C153" s="83" t="n">
        <x:v>2035</x:v>
      </x:c>
      <x:c r="D153" s="83" t="str">
        <x:v>GA-IT 2035</x:v>
      </x:c>
      <x:c r="E153" s="83" t="str">
        <x:v>Calabria</x:v>
      </x:c>
      <x:c r="F153" s="83" t="str">
        <x:v>Small Scale</x:v>
      </x:c>
      <x:c r="G153" s="197" t="n">
        <x:v>0.4</x:v>
      </x:c>
      <x:c r="H153" s="203" t="b">
        <x:v>1</x:v>
      </x:c>
      <x:c r="I153" s="197" t="n">
        <x:v>2</x:v>
      </x:c>
      <x:c r="J153" s="197" t="n">
        <x:v>4</x:v>
      </x:c>
      <x:c r="K153" s="197" t="n">
        <x:f>IF(AND(G153&lt;&gt;"",J153&lt;&gt;""),G153/J153,"")</x:f>
        <x:v>0.1</x:v>
      </x:c>
      <x:c r="L153" s="197" t="n">
        <x:f>IF(AND(G153&lt;&gt;"",I153&lt;&gt;""),G153/I153,"")</x:f>
        <x:v>0.2</x:v>
      </x:c>
      <x:c r="M153" s="83" t="str">
        <x:v>S09</x:v>
      </x:c>
      <x:c r="N153" s="83" t="str">
        <x:v>Documento di Descrizione degli Scenari 2024</x:v>
      </x:c>
      <x:c r="O153" s="83" t="n">
        <x:v>63</x:v>
      </x:c>
      <x:c r="P153" s="83" t="str">
        <x:v>60-61</x:v>
      </x:c>
      <x:c r="Q153" s="83" t="str">
        <x:v>Tabella 16</x:v>
      </x:c>
      <x:c r="R153" s="83" t="str">
        <x:v>Assunzione di scenario</x:v>
      </x:c>
      <x:c r="S153" s="83" t="str">
        <x:v>Direct table extraction</x:v>
      </x:c>
      <x:c r="T153" s="83" t="str">
        <x:v>A — Direct</x:v>
      </x:c>
      <x:c r="U153" s="83" t="str">
        <x:v>Energy capacity by zone and class; derive power only where duration is specified.</x:v>
      </x:c>
      <x:c r="V153" s="83" t="str">
        <x:v>Small-scale source classes are 2 or 4 hours; utility-scale is 8 hours. CM duration is not stated.</x:v>
      </x:c>
    </x:row>
    <x:row r="154">
      <x:c r="A154" s="83" t="str">
        <x:v>SZ-150</x:v>
      </x:c>
      <x:c r="B154" s="83" t="str">
        <x:v>PNIEC_SLOW_2035</x:v>
      </x:c>
      <x:c r="C154" s="83" t="n">
        <x:v>2035</x:v>
      </x:c>
      <x:c r="D154" s="83" t="str">
        <x:v>PNIEC Slow 2035</x:v>
      </x:c>
      <x:c r="E154" s="83" t="str">
        <x:v>Calabria</x:v>
      </x:c>
      <x:c r="F154" s="83" t="str">
        <x:v>Small Scale</x:v>
      </x:c>
      <x:c r="G154" s="197" t="n">
        <x:v>0.4</x:v>
      </x:c>
      <x:c r="H154" s="203" t="b">
        <x:v>1</x:v>
      </x:c>
      <x:c r="I154" s="197" t="n">
        <x:v>2</x:v>
      </x:c>
      <x:c r="J154" s="197" t="n">
        <x:v>4</x:v>
      </x:c>
      <x:c r="K154" s="197" t="n">
        <x:f>IF(AND(G154&lt;&gt;"",J154&lt;&gt;""),G154/J154,"")</x:f>
        <x:v>0.1</x:v>
      </x:c>
      <x:c r="L154" s="197" t="n">
        <x:f>IF(AND(G154&lt;&gt;"",I154&lt;&gt;""),G154/I154,"")</x:f>
        <x:v>0.2</x:v>
      </x:c>
      <x:c r="M154" s="83" t="str">
        <x:v>S09</x:v>
      </x:c>
      <x:c r="N154" s="83" t="str">
        <x:v>Documento di Descrizione degli Scenari 2024</x:v>
      </x:c>
      <x:c r="O154" s="83" t="n">
        <x:v>63</x:v>
      </x:c>
      <x:c r="P154" s="83" t="str">
        <x:v>60-61</x:v>
      </x:c>
      <x:c r="Q154" s="83" t="str">
        <x:v>Tabella 16</x:v>
      </x:c>
      <x:c r="R154" s="83" t="str">
        <x:v>Assunzione di scenario</x:v>
      </x:c>
      <x:c r="S154" s="83" t="str">
        <x:v>Direct table extraction</x:v>
      </x:c>
      <x:c r="T154" s="83" t="str">
        <x:v>A — Direct</x:v>
      </x:c>
      <x:c r="U154" s="83" t="str">
        <x:v>Energy capacity by zone and class; derive power only where duration is specified.</x:v>
      </x:c>
      <x:c r="V154" s="83" t="str">
        <x:v>Small-scale source classes are 2 or 4 hours; utility-scale is 8 hours. CM duration is not stated.</x:v>
      </x:c>
    </x:row>
    <x:row r="155">
      <x:c r="A155" s="83" t="str">
        <x:v>SZ-151</x:v>
      </x:c>
      <x:c r="B155" s="83" t="str">
        <x:v>DE_IT_2040</x:v>
      </x:c>
      <x:c r="C155" s="83" t="n">
        <x:v>2040</x:v>
      </x:c>
      <x:c r="D155" s="83" t="str">
        <x:v>DE-IT 2040</x:v>
      </x:c>
      <x:c r="E155" s="83" t="str">
        <x:v>Calabria</x:v>
      </x:c>
      <x:c r="F155" s="83" t="str">
        <x:v>Small Scale</x:v>
      </x:c>
      <x:c r="G155" s="197" t="n">
        <x:v>0.4</x:v>
      </x:c>
      <x:c r="H155" s="203" t="b">
        <x:v>1</x:v>
      </x:c>
      <x:c r="I155" s="197" t="n">
        <x:v>2</x:v>
      </x:c>
      <x:c r="J155" s="197" t="n">
        <x:v>4</x:v>
      </x:c>
      <x:c r="K155" s="197" t="n">
        <x:f>IF(AND(G155&lt;&gt;"",J155&lt;&gt;""),G155/J155,"")</x:f>
        <x:v>0.1</x:v>
      </x:c>
      <x:c r="L155" s="197" t="n">
        <x:f>IF(AND(G155&lt;&gt;"",I155&lt;&gt;""),G155/I155,"")</x:f>
        <x:v>0.2</x:v>
      </x:c>
      <x:c r="M155" s="83" t="str">
        <x:v>S09</x:v>
      </x:c>
      <x:c r="N155" s="83" t="str">
        <x:v>Documento di Descrizione degli Scenari 2024</x:v>
      </x:c>
      <x:c r="O155" s="83" t="n">
        <x:v>63</x:v>
      </x:c>
      <x:c r="P155" s="83" t="str">
        <x:v>60-61</x:v>
      </x:c>
      <x:c r="Q155" s="83" t="str">
        <x:v>Tabella 16</x:v>
      </x:c>
      <x:c r="R155" s="83" t="str">
        <x:v>Assunzione di scenario</x:v>
      </x:c>
      <x:c r="S155" s="83" t="str">
        <x:v>Direct table extraction</x:v>
      </x:c>
      <x:c r="T155" s="83" t="str">
        <x:v>A — Direct</x:v>
      </x:c>
      <x:c r="U155" s="83" t="str">
        <x:v>Energy capacity by zone and class; derive power only where duration is specified.</x:v>
      </x:c>
      <x:c r="V155" s="83" t="str">
        <x:v>Small-scale source classes are 2 or 4 hours; utility-scale is 8 hours. CM duration is not stated.</x:v>
      </x:c>
    </x:row>
    <x:row r="156">
      <x:c r="A156" s="83" t="str">
        <x:v>SZ-152</x:v>
      </x:c>
      <x:c r="B156" s="83" t="str">
        <x:v>GA_IT_2040</x:v>
      </x:c>
      <x:c r="C156" s="83" t="n">
        <x:v>2040</x:v>
      </x:c>
      <x:c r="D156" s="83" t="str">
        <x:v>GA-IT 2040</x:v>
      </x:c>
      <x:c r="E156" s="83" t="str">
        <x:v>Calabria</x:v>
      </x:c>
      <x:c r="F156" s="83" t="str">
        <x:v>Small Scale</x:v>
      </x:c>
      <x:c r="G156" s="197" t="n">
        <x:v>0.5</x:v>
      </x:c>
      <x:c r="H156" s="203" t="b">
        <x:v>1</x:v>
      </x:c>
      <x:c r="I156" s="197" t="n">
        <x:v>2</x:v>
      </x:c>
      <x:c r="J156" s="197" t="n">
        <x:v>4</x:v>
      </x:c>
      <x:c r="K156" s="197" t="n">
        <x:f>IF(AND(G156&lt;&gt;"",J156&lt;&gt;""),G156/J156,"")</x:f>
        <x:v>0.125</x:v>
      </x:c>
      <x:c r="L156" s="197" t="n">
        <x:f>IF(AND(G156&lt;&gt;"",I156&lt;&gt;""),G156/I156,"")</x:f>
        <x:v>0.25</x:v>
      </x:c>
      <x:c r="M156" s="83" t="str">
        <x:v>S09</x:v>
      </x:c>
      <x:c r="N156" s="83" t="str">
        <x:v>Documento di Descrizione degli Scenari 2024</x:v>
      </x:c>
      <x:c r="O156" s="83" t="n">
        <x:v>63</x:v>
      </x:c>
      <x:c r="P156" s="83" t="str">
        <x:v>60-61</x:v>
      </x:c>
      <x:c r="Q156" s="83" t="str">
        <x:v>Tabella 16</x:v>
      </x:c>
      <x:c r="R156" s="83" t="str">
        <x:v>Assunzione di scenario</x:v>
      </x:c>
      <x:c r="S156" s="83" t="str">
        <x:v>Direct table extraction</x:v>
      </x:c>
      <x:c r="T156" s="83" t="str">
        <x:v>A — Direct</x:v>
      </x:c>
      <x:c r="U156" s="83" t="str">
        <x:v>Energy capacity by zone and class; derive power only where duration is specified.</x:v>
      </x:c>
      <x:c r="V156" s="83" t="str">
        <x:v>Small-scale source classes are 2 or 4 hours; utility-scale is 8 hours. CM duration is not stated.</x:v>
      </x:c>
    </x:row>
    <x:row r="157">
      <x:c r="A157" s="83" t="str">
        <x:v>SZ-153</x:v>
      </x:c>
      <x:c r="B157" s="83" t="str">
        <x:v>PNIEC_SLOW_2040</x:v>
      </x:c>
      <x:c r="C157" s="83" t="n">
        <x:v>2040</x:v>
      </x:c>
      <x:c r="D157" s="83" t="str">
        <x:v>PNIEC Slow 2040</x:v>
      </x:c>
      <x:c r="E157" s="83" t="str">
        <x:v>Calabria</x:v>
      </x:c>
      <x:c r="F157" s="83" t="str">
        <x:v>Small Scale</x:v>
      </x:c>
      <x:c r="G157" s="197" t="n">
        <x:v>0.4</x:v>
      </x:c>
      <x:c r="H157" s="203" t="b">
        <x:v>1</x:v>
      </x:c>
      <x:c r="I157" s="197" t="n">
        <x:v>2</x:v>
      </x:c>
      <x:c r="J157" s="197" t="n">
        <x:v>4</x:v>
      </x:c>
      <x:c r="K157" s="197" t="n">
        <x:f>IF(AND(G157&lt;&gt;"",J157&lt;&gt;""),G157/J157,"")</x:f>
        <x:v>0.1</x:v>
      </x:c>
      <x:c r="L157" s="197" t="n">
        <x:f>IF(AND(G157&lt;&gt;"",I157&lt;&gt;""),G157/I157,"")</x:f>
        <x:v>0.2</x:v>
      </x:c>
      <x:c r="M157" s="83" t="str">
        <x:v>S09</x:v>
      </x:c>
      <x:c r="N157" s="83" t="str">
        <x:v>Documento di Descrizione degli Scenari 2024</x:v>
      </x:c>
      <x:c r="O157" s="83" t="n">
        <x:v>63</x:v>
      </x:c>
      <x:c r="P157" s="83" t="str">
        <x:v>60-61</x:v>
      </x:c>
      <x:c r="Q157" s="83" t="str">
        <x:v>Tabella 16</x:v>
      </x:c>
      <x:c r="R157" s="83" t="str">
        <x:v>Assunzione di scenario</x:v>
      </x:c>
      <x:c r="S157" s="83" t="str">
        <x:v>Direct table extraction</x:v>
      </x:c>
      <x:c r="T157" s="83" t="str">
        <x:v>A — Direct</x:v>
      </x:c>
      <x:c r="U157" s="83" t="str">
        <x:v>Energy capacity by zone and class; derive power only where duration is specified.</x:v>
      </x:c>
      <x:c r="V157" s="83" t="str">
        <x:v>Small-scale source classes are 2 or 4 hours; utility-scale is 8 hours. CM duration is not stated.</x:v>
      </x:c>
    </x:row>
    <x:row r="158">
      <x:c r="A158" s="83" t="str">
        <x:v>SZ-154</x:v>
      </x:c>
      <x:c r="B158" s="83" t="str">
        <x:v>HIST_2023</x:v>
      </x:c>
      <x:c r="C158" s="83" t="n">
        <x:v>2023</x:v>
      </x:c>
      <x:c r="D158" s="83" t="str">
        <x:v>Storico 2023</x:v>
      </x:c>
      <x:c r="E158" s="83" t="str">
        <x:v>Calabria</x:v>
      </x:c>
      <x:c r="F158" s="83" t="str">
        <x:v>Utility Scale</x:v>
      </x:c>
      <x:c r="G158" s="197" t="n">
        <x:v>0</x:v>
      </x:c>
      <x:c r="H158" s="203" t="b">
        <x:v>1</x:v>
      </x:c>
      <x:c r="I158" s="197" t="n">
        <x:v>8</x:v>
      </x:c>
      <x:c r="J158" s="197" t="n">
        <x:v>8</x:v>
      </x:c>
      <x:c r="K158" s="197" t="str">
        <x:f>IF(AND(G158&lt;&gt;"",J158&lt;&gt;""),G158/J158,"")</x:f>
      </x:c>
      <x:c r="L158" s="197" t="str">
        <x:f>IF(AND(G158&lt;&gt;"",I158&lt;&gt;""),G158/I158,"")</x:f>
      </x:c>
      <x:c r="M158" s="83" t="str">
        <x:v>S09</x:v>
      </x:c>
      <x:c r="N158" s="83" t="str">
        <x:v>Documento di Descrizione degli Scenari 2024</x:v>
      </x:c>
      <x:c r="O158" s="83" t="n">
        <x:v>63</x:v>
      </x:c>
      <x:c r="P158" s="83" t="str">
        <x:v>60-61</x:v>
      </x:c>
      <x:c r="Q158" s="83" t="str">
        <x:v>Tabella 16</x:v>
      </x:c>
      <x:c r="R158" s="83" t="str">
        <x:v>Dato osservato storico nel DDS</x:v>
      </x:c>
      <x:c r="S158" s="83" t="str">
        <x:v>Direct table extraction</x:v>
      </x:c>
      <x:c r="T158" s="83" t="str">
        <x:v>A — Direct</x:v>
      </x:c>
      <x:c r="U158" s="83" t="str">
        <x:v>Energy capacity by zone and class; derive power only where duration is specified.</x:v>
      </x:c>
      <x:c r="V158" s="83" t="str">
        <x:v>Small-scale source classes are 2 or 4 hours; utility-scale is 8 hours. CM duration is not stated.</x:v>
      </x:c>
    </x:row>
    <x:row r="159">
      <x:c r="A159" s="83" t="str">
        <x:v>SZ-155</x:v>
      </x:c>
      <x:c r="B159" s="83" t="str">
        <x:v>PNIEC_POLICY_2030</x:v>
      </x:c>
      <x:c r="C159" s="83" t="n">
        <x:v>2030</x:v>
      </x:c>
      <x:c r="D159" s="83" t="str">
        <x:v>PNIEC Policy 2030</x:v>
      </x:c>
      <x:c r="E159" s="83" t="str">
        <x:v>Calabria</x:v>
      </x:c>
      <x:c r="F159" s="83" t="str">
        <x:v>Utility Scale</x:v>
      </x:c>
      <x:c r="G159" s="197" t="n">
        <x:v>3.2</x:v>
      </x:c>
      <x:c r="H159" s="203" t="b">
        <x:v>1</x:v>
      </x:c>
      <x:c r="I159" s="197" t="n">
        <x:v>8</x:v>
      </x:c>
      <x:c r="J159" s="197" t="n">
        <x:v>8</x:v>
      </x:c>
      <x:c r="K159" s="197" t="n">
        <x:f>IF(AND(G159&lt;&gt;"",J159&lt;&gt;""),G159/J159,"")</x:f>
        <x:v>0.4</x:v>
      </x:c>
      <x:c r="L159" s="197" t="n">
        <x:f>IF(AND(G159&lt;&gt;"",I159&lt;&gt;""),G159/I159,"")</x:f>
        <x:v>0.4</x:v>
      </x:c>
      <x:c r="M159" s="83" t="str">
        <x:v>S09</x:v>
      </x:c>
      <x:c r="N159" s="83" t="str">
        <x:v>Documento di Descrizione degli Scenari 2024</x:v>
      </x:c>
      <x:c r="O159" s="83" t="n">
        <x:v>63</x:v>
      </x:c>
      <x:c r="P159" s="83" t="str">
        <x:v>60-61</x:v>
      </x:c>
      <x:c r="Q159" s="83" t="str">
        <x:v>Tabella 16</x:v>
      </x:c>
      <x:c r="R159" s="83" t="str">
        <x:v>Assunzione di scenario</x:v>
      </x:c>
      <x:c r="S159" s="83" t="str">
        <x:v>Direct table extraction</x:v>
      </x:c>
      <x:c r="T159" s="83" t="str">
        <x:v>A — Direct</x:v>
      </x:c>
      <x:c r="U159" s="83" t="str">
        <x:v>Energy capacity by zone and class; derive power only where duration is specified.</x:v>
      </x:c>
      <x:c r="V159" s="83" t="str">
        <x:v>Small-scale source classes are 2 or 4 hours; utility-scale is 8 hours. CM duration is not stated.</x:v>
      </x:c>
    </x:row>
    <x:row r="160">
      <x:c r="A160" s="83" t="str">
        <x:v>SZ-156</x:v>
      </x:c>
      <x:c r="B160" s="83" t="str">
        <x:v>PNIEC_SLOW_2030</x:v>
      </x:c>
      <x:c r="C160" s="83" t="n">
        <x:v>2030</x:v>
      </x:c>
      <x:c r="D160" s="83" t="str">
        <x:v>PNIEC Slow 2030</x:v>
      </x:c>
      <x:c r="E160" s="83" t="str">
        <x:v>Calabria</x:v>
      </x:c>
      <x:c r="F160" s="83" t="str">
        <x:v>Utility Scale</x:v>
      </x:c>
      <x:c r="G160" s="197" t="n">
        <x:v>1.8</x:v>
      </x:c>
      <x:c r="H160" s="203" t="b">
        <x:v>1</x:v>
      </x:c>
      <x:c r="I160" s="197" t="n">
        <x:v>8</x:v>
      </x:c>
      <x:c r="J160" s="197" t="n">
        <x:v>8</x:v>
      </x:c>
      <x:c r="K160" s="197" t="n">
        <x:f>IF(AND(G160&lt;&gt;"",J160&lt;&gt;""),G160/J160,"")</x:f>
        <x:v>0.225</x:v>
      </x:c>
      <x:c r="L160" s="197" t="n">
        <x:f>IF(AND(G160&lt;&gt;"",I160&lt;&gt;""),G160/I160,"")</x:f>
        <x:v>0.225</x:v>
      </x:c>
      <x:c r="M160" s="83" t="str">
        <x:v>S09</x:v>
      </x:c>
      <x:c r="N160" s="83" t="str">
        <x:v>Documento di Descrizione degli Scenari 2024</x:v>
      </x:c>
      <x:c r="O160" s="83" t="n">
        <x:v>63</x:v>
      </x:c>
      <x:c r="P160" s="83" t="str">
        <x:v>60-61</x:v>
      </x:c>
      <x:c r="Q160" s="83" t="str">
        <x:v>Tabella 16</x:v>
      </x:c>
      <x:c r="R160" s="83" t="str">
        <x:v>Assunzione di scenario</x:v>
      </x:c>
      <x:c r="S160" s="83" t="str">
        <x:v>Direct table extraction</x:v>
      </x:c>
      <x:c r="T160" s="83" t="str">
        <x:v>A — Direct</x:v>
      </x:c>
      <x:c r="U160" s="83" t="str">
        <x:v>Energy capacity by zone and class; derive power only where duration is specified.</x:v>
      </x:c>
      <x:c r="V160" s="83" t="str">
        <x:v>Small-scale source classes are 2 or 4 hours; utility-scale is 8 hours. CM duration is not stated.</x:v>
      </x:c>
    </x:row>
    <x:row r="161">
      <x:c r="A161" s="83" t="str">
        <x:v>SZ-157</x:v>
      </x:c>
      <x:c r="B161" s="83" t="str">
        <x:v>DE_IT_2035</x:v>
      </x:c>
      <x:c r="C161" s="83" t="n">
        <x:v>2035</x:v>
      </x:c>
      <x:c r="D161" s="83" t="str">
        <x:v>DE-IT 2035</x:v>
      </x:c>
      <x:c r="E161" s="83" t="str">
        <x:v>Calabria</x:v>
      </x:c>
      <x:c r="F161" s="83" t="str">
        <x:v>Utility Scale</x:v>
      </x:c>
      <x:c r="G161" s="197" t="n">
        <x:v>7.2</x:v>
      </x:c>
      <x:c r="H161" s="203" t="b">
        <x:v>1</x:v>
      </x:c>
      <x:c r="I161" s="197" t="n">
        <x:v>8</x:v>
      </x:c>
      <x:c r="J161" s="197" t="n">
        <x:v>8</x:v>
      </x:c>
      <x:c r="K161" s="197" t="n">
        <x:f>IF(AND(G161&lt;&gt;"",J161&lt;&gt;""),G161/J161,"")</x:f>
        <x:v>0.9</x:v>
      </x:c>
      <x:c r="L161" s="197" t="n">
        <x:f>IF(AND(G161&lt;&gt;"",I161&lt;&gt;""),G161/I161,"")</x:f>
        <x:v>0.9</x:v>
      </x:c>
      <x:c r="M161" s="83" t="str">
        <x:v>S09</x:v>
      </x:c>
      <x:c r="N161" s="83" t="str">
        <x:v>Documento di Descrizione degli Scenari 2024</x:v>
      </x:c>
      <x:c r="O161" s="83" t="n">
        <x:v>63</x:v>
      </x:c>
      <x:c r="P161" s="83" t="str">
        <x:v>60-61</x:v>
      </x:c>
      <x:c r="Q161" s="83" t="str">
        <x:v>Tabella 16</x:v>
      </x:c>
      <x:c r="R161" s="83" t="str">
        <x:v>Assunzione di scenario</x:v>
      </x:c>
      <x:c r="S161" s="83" t="str">
        <x:v>Direct table extraction</x:v>
      </x:c>
      <x:c r="T161" s="83" t="str">
        <x:v>A — Direct</x:v>
      </x:c>
      <x:c r="U161" s="83" t="str">
        <x:v>Energy capacity by zone and class; derive power only where duration is specified.</x:v>
      </x:c>
      <x:c r="V161" s="83" t="str">
        <x:v>Small-scale source classes are 2 or 4 hours; utility-scale is 8 hours. CM duration is not stated.</x:v>
      </x:c>
    </x:row>
    <x:row r="162">
      <x:c r="A162" s="83" t="str">
        <x:v>SZ-158</x:v>
      </x:c>
      <x:c r="B162" s="83" t="str">
        <x:v>GA_IT_2035</x:v>
      </x:c>
      <x:c r="C162" s="83" t="n">
        <x:v>2035</x:v>
      </x:c>
      <x:c r="D162" s="83" t="str">
        <x:v>GA-IT 2035</x:v>
      </x:c>
      <x:c r="E162" s="83" t="str">
        <x:v>Calabria</x:v>
      </x:c>
      <x:c r="F162" s="83" t="str">
        <x:v>Utility Scale</x:v>
      </x:c>
      <x:c r="G162" s="197" t="n">
        <x:v>5</x:v>
      </x:c>
      <x:c r="H162" s="203" t="b">
        <x:v>1</x:v>
      </x:c>
      <x:c r="I162" s="197" t="n">
        <x:v>8</x:v>
      </x:c>
      <x:c r="J162" s="197" t="n">
        <x:v>8</x:v>
      </x:c>
      <x:c r="K162" s="197" t="n">
        <x:f>IF(AND(G162&lt;&gt;"",J162&lt;&gt;""),G162/J162,"")</x:f>
        <x:v>0.625</x:v>
      </x:c>
      <x:c r="L162" s="197" t="n">
        <x:f>IF(AND(G162&lt;&gt;"",I162&lt;&gt;""),G162/I162,"")</x:f>
        <x:v>0.625</x:v>
      </x:c>
      <x:c r="M162" s="83" t="str">
        <x:v>S09</x:v>
      </x:c>
      <x:c r="N162" s="83" t="str">
        <x:v>Documento di Descrizione degli Scenari 2024</x:v>
      </x:c>
      <x:c r="O162" s="83" t="n">
        <x:v>63</x:v>
      </x:c>
      <x:c r="P162" s="83" t="str">
        <x:v>60-61</x:v>
      </x:c>
      <x:c r="Q162" s="83" t="str">
        <x:v>Tabella 16</x:v>
      </x:c>
      <x:c r="R162" s="83" t="str">
        <x:v>Assunzione di scenario</x:v>
      </x:c>
      <x:c r="S162" s="83" t="str">
        <x:v>Direct table extraction</x:v>
      </x:c>
      <x:c r="T162" s="83" t="str">
        <x:v>A — Direct</x:v>
      </x:c>
      <x:c r="U162" s="83" t="str">
        <x:v>Energy capacity by zone and class; derive power only where duration is specified.</x:v>
      </x:c>
      <x:c r="V162" s="83" t="str">
        <x:v>Small-scale source classes are 2 or 4 hours; utility-scale is 8 hours. CM duration is not stated.</x:v>
      </x:c>
    </x:row>
    <x:row r="163">
      <x:c r="A163" s="83" t="str">
        <x:v>SZ-159</x:v>
      </x:c>
      <x:c r="B163" s="83" t="str">
        <x:v>PNIEC_SLOW_2035</x:v>
      </x:c>
      <x:c r="C163" s="83" t="n">
        <x:v>2035</x:v>
      </x:c>
      <x:c r="D163" s="83" t="str">
        <x:v>PNIEC Slow 2035</x:v>
      </x:c>
      <x:c r="E163" s="83" t="str">
        <x:v>Calabria</x:v>
      </x:c>
      <x:c r="F163" s="83" t="str">
        <x:v>Utility Scale</x:v>
      </x:c>
      <x:c r="G163" s="197" t="n">
        <x:v>5.5</x:v>
      </x:c>
      <x:c r="H163" s="203" t="b">
        <x:v>1</x:v>
      </x:c>
      <x:c r="I163" s="197" t="n">
        <x:v>8</x:v>
      </x:c>
      <x:c r="J163" s="197" t="n">
        <x:v>8</x:v>
      </x:c>
      <x:c r="K163" s="197" t="n">
        <x:f>IF(AND(G163&lt;&gt;"",J163&lt;&gt;""),G163/J163,"")</x:f>
        <x:v>0.6875</x:v>
      </x:c>
      <x:c r="L163" s="197" t="n">
        <x:f>IF(AND(G163&lt;&gt;"",I163&lt;&gt;""),G163/I163,"")</x:f>
        <x:v>0.6875</x:v>
      </x:c>
      <x:c r="M163" s="83" t="str">
        <x:v>S09</x:v>
      </x:c>
      <x:c r="N163" s="83" t="str">
        <x:v>Documento di Descrizione degli Scenari 2024</x:v>
      </x:c>
      <x:c r="O163" s="83" t="n">
        <x:v>63</x:v>
      </x:c>
      <x:c r="P163" s="83" t="str">
        <x:v>60-61</x:v>
      </x:c>
      <x:c r="Q163" s="83" t="str">
        <x:v>Tabella 16</x:v>
      </x:c>
      <x:c r="R163" s="83" t="str">
        <x:v>Assunzione di scenario</x:v>
      </x:c>
      <x:c r="S163" s="83" t="str">
        <x:v>Direct table extraction</x:v>
      </x:c>
      <x:c r="T163" s="83" t="str">
        <x:v>A — Direct</x:v>
      </x:c>
      <x:c r="U163" s="83" t="str">
        <x:v>Energy capacity by zone and class; derive power only where duration is specified.</x:v>
      </x:c>
      <x:c r="V163" s="83" t="str">
        <x:v>Small-scale source classes are 2 or 4 hours; utility-scale is 8 hours. CM duration is not stated.</x:v>
      </x:c>
    </x:row>
    <x:row r="164">
      <x:c r="A164" s="83" t="str">
        <x:v>SZ-160</x:v>
      </x:c>
      <x:c r="B164" s="83" t="str">
        <x:v>DE_IT_2040</x:v>
      </x:c>
      <x:c r="C164" s="83" t="n">
        <x:v>2040</x:v>
      </x:c>
      <x:c r="D164" s="83" t="str">
        <x:v>DE-IT 2040</x:v>
      </x:c>
      <x:c r="E164" s="83" t="str">
        <x:v>Calabria</x:v>
      </x:c>
      <x:c r="F164" s="83" t="str">
        <x:v>Utility Scale</x:v>
      </x:c>
      <x:c r="G164" s="197" t="n">
        <x:v>10.4</x:v>
      </x:c>
      <x:c r="H164" s="203" t="b">
        <x:v>1</x:v>
      </x:c>
      <x:c r="I164" s="197" t="n">
        <x:v>8</x:v>
      </x:c>
      <x:c r="J164" s="197" t="n">
        <x:v>8</x:v>
      </x:c>
      <x:c r="K164" s="197" t="n">
        <x:f>IF(AND(G164&lt;&gt;"",J164&lt;&gt;""),G164/J164,"")</x:f>
        <x:v>1.3</x:v>
      </x:c>
      <x:c r="L164" s="197" t="n">
        <x:f>IF(AND(G164&lt;&gt;"",I164&lt;&gt;""),G164/I164,"")</x:f>
        <x:v>1.3</x:v>
      </x:c>
      <x:c r="M164" s="83" t="str">
        <x:v>S09</x:v>
      </x:c>
      <x:c r="N164" s="83" t="str">
        <x:v>Documento di Descrizione degli Scenari 2024</x:v>
      </x:c>
      <x:c r="O164" s="83" t="n">
        <x:v>63</x:v>
      </x:c>
      <x:c r="P164" s="83" t="str">
        <x:v>60-61</x:v>
      </x:c>
      <x:c r="Q164" s="83" t="str">
        <x:v>Tabella 16</x:v>
      </x:c>
      <x:c r="R164" s="83" t="str">
        <x:v>Assunzione di scenario</x:v>
      </x:c>
      <x:c r="S164" s="83" t="str">
        <x:v>Direct table extraction</x:v>
      </x:c>
      <x:c r="T164" s="83" t="str">
        <x:v>A — Direct</x:v>
      </x:c>
      <x:c r="U164" s="83" t="str">
        <x:v>Energy capacity by zone and class; derive power only where duration is specified.</x:v>
      </x:c>
      <x:c r="V164" s="83" t="str">
        <x:v>Small-scale source classes are 2 or 4 hours; utility-scale is 8 hours. CM duration is not stated.</x:v>
      </x:c>
    </x:row>
    <x:row r="165">
      <x:c r="A165" s="83" t="str">
        <x:v>SZ-161</x:v>
      </x:c>
      <x:c r="B165" s="83" t="str">
        <x:v>GA_IT_2040</x:v>
      </x:c>
      <x:c r="C165" s="83" t="n">
        <x:v>2040</x:v>
      </x:c>
      <x:c r="D165" s="83" t="str">
        <x:v>GA-IT 2040</x:v>
      </x:c>
      <x:c r="E165" s="83" t="str">
        <x:v>Calabria</x:v>
      </x:c>
      <x:c r="F165" s="83" t="str">
        <x:v>Utility Scale</x:v>
      </x:c>
      <x:c r="G165" s="197" t="n">
        <x:v>8.5</x:v>
      </x:c>
      <x:c r="H165" s="203" t="b">
        <x:v>1</x:v>
      </x:c>
      <x:c r="I165" s="197" t="n">
        <x:v>8</x:v>
      </x:c>
      <x:c r="J165" s="197" t="n">
        <x:v>8</x:v>
      </x:c>
      <x:c r="K165" s="197" t="n">
        <x:f>IF(AND(G165&lt;&gt;"",J165&lt;&gt;""),G165/J165,"")</x:f>
        <x:v>1.0625</x:v>
      </x:c>
      <x:c r="L165" s="197" t="n">
        <x:f>IF(AND(G165&lt;&gt;"",I165&lt;&gt;""),G165/I165,"")</x:f>
        <x:v>1.0625</x:v>
      </x:c>
      <x:c r="M165" s="83" t="str">
        <x:v>S09</x:v>
      </x:c>
      <x:c r="N165" s="83" t="str">
        <x:v>Documento di Descrizione degli Scenari 2024</x:v>
      </x:c>
      <x:c r="O165" s="83" t="n">
        <x:v>63</x:v>
      </x:c>
      <x:c r="P165" s="83" t="str">
        <x:v>60-61</x:v>
      </x:c>
      <x:c r="Q165" s="83" t="str">
        <x:v>Tabella 16</x:v>
      </x:c>
      <x:c r="R165" s="83" t="str">
        <x:v>Assunzione di scenario</x:v>
      </x:c>
      <x:c r="S165" s="83" t="str">
        <x:v>Direct table extraction</x:v>
      </x:c>
      <x:c r="T165" s="83" t="str">
        <x:v>A — Direct</x:v>
      </x:c>
      <x:c r="U165" s="83" t="str">
        <x:v>Energy capacity by zone and class; derive power only where duration is specified.</x:v>
      </x:c>
      <x:c r="V165" s="83" t="str">
        <x:v>Small-scale source classes are 2 or 4 hours; utility-scale is 8 hours. CM duration is not stated.</x:v>
      </x:c>
    </x:row>
    <x:row r="166">
      <x:c r="A166" s="83" t="str">
        <x:v>SZ-162</x:v>
      </x:c>
      <x:c r="B166" s="83" t="str">
        <x:v>PNIEC_SLOW_2040</x:v>
      </x:c>
      <x:c r="C166" s="83" t="n">
        <x:v>2040</x:v>
      </x:c>
      <x:c r="D166" s="83" t="str">
        <x:v>PNIEC Slow 2040</x:v>
      </x:c>
      <x:c r="E166" s="83" t="str">
        <x:v>Calabria</x:v>
      </x:c>
      <x:c r="F166" s="83" t="str">
        <x:v>Utility Scale</x:v>
      </x:c>
      <x:c r="G166" s="197" t="n">
        <x:v>9.6</x:v>
      </x:c>
      <x:c r="H166" s="203" t="b">
        <x:v>1</x:v>
      </x:c>
      <x:c r="I166" s="197" t="n">
        <x:v>8</x:v>
      </x:c>
      <x:c r="J166" s="197" t="n">
        <x:v>8</x:v>
      </x:c>
      <x:c r="K166" s="197" t="n">
        <x:f>IF(AND(G166&lt;&gt;"",J166&lt;&gt;""),G166/J166,"")</x:f>
        <x:v>1.2</x:v>
      </x:c>
      <x:c r="L166" s="197" t="n">
        <x:f>IF(AND(G166&lt;&gt;"",I166&lt;&gt;""),G166/I166,"")</x:f>
        <x:v>1.2</x:v>
      </x:c>
      <x:c r="M166" s="83" t="str">
        <x:v>S09</x:v>
      </x:c>
      <x:c r="N166" s="83" t="str">
        <x:v>Documento di Descrizione degli Scenari 2024</x:v>
      </x:c>
      <x:c r="O166" s="83" t="n">
        <x:v>63</x:v>
      </x:c>
      <x:c r="P166" s="83" t="str">
        <x:v>60-61</x:v>
      </x:c>
      <x:c r="Q166" s="83" t="str">
        <x:v>Tabella 16</x:v>
      </x:c>
      <x:c r="R166" s="83" t="str">
        <x:v>Assunzione di scenario</x:v>
      </x:c>
      <x:c r="S166" s="83" t="str">
        <x:v>Direct table extraction</x:v>
      </x:c>
      <x:c r="T166" s="83" t="str">
        <x:v>A — Direct</x:v>
      </x:c>
      <x:c r="U166" s="83" t="str">
        <x:v>Energy capacity by zone and class; derive power only where duration is specified.</x:v>
      </x:c>
      <x:c r="V166" s="83" t="str">
        <x:v>Small-scale source classes are 2 or 4 hours; utility-scale is 8 hours. CM duration is not stated.</x:v>
      </x:c>
    </x:row>
    <x:row r="167">
      <x:c r="A167" s="83" t="str">
        <x:v>SZ-163</x:v>
      </x:c>
      <x:c r="B167" s="83" t="str">
        <x:v>HIST_2023</x:v>
      </x:c>
      <x:c r="C167" s="83" t="n">
        <x:v>2023</x:v>
      </x:c>
      <x:c r="D167" s="83" t="str">
        <x:v>Storico 2023</x:v>
      </x:c>
      <x:c r="E167" s="83" t="str">
        <x:v>Calabria</x:v>
      </x:c>
      <x:c r="F167" s="83" t="str">
        <x:v>CM</x:v>
      </x:c>
      <x:c r="G167" s="197" t="n">
        <x:v>0</x:v>
      </x:c>
      <x:c r="H167" s="203" t="b">
        <x:v>1</x:v>
      </x:c>
      <x:c r="I167" s="197"/>
      <x:c r="J167" s="197"/>
      <x:c r="K167" s="197" t="str">
        <x:f>IF(AND(G167&lt;&gt;"",J167&lt;&gt;""),G167/J167,"")</x:f>
      </x:c>
      <x:c r="L167" s="197" t="str">
        <x:f>IF(AND(G167&lt;&gt;"",I167&lt;&gt;""),G167/I167,"")</x:f>
      </x:c>
      <x:c r="M167" s="83" t="str">
        <x:v>S09</x:v>
      </x:c>
      <x:c r="N167" s="83" t="str">
        <x:v>Documento di Descrizione degli Scenari 2024</x:v>
      </x:c>
      <x:c r="O167" s="83" t="n">
        <x:v>63</x:v>
      </x:c>
      <x:c r="P167" s="83" t="str">
        <x:v>60-61</x:v>
      </x:c>
      <x:c r="Q167" s="83" t="str">
        <x:v>Tabella 16</x:v>
      </x:c>
      <x:c r="R167" s="83" t="str">
        <x:v>Dato osservato storico nel DDS</x:v>
      </x:c>
      <x:c r="S167" s="83" t="str">
        <x:v>Direct table extraction</x:v>
      </x:c>
      <x:c r="T167" s="83" t="str">
        <x:v>A — Direct</x:v>
      </x:c>
      <x:c r="U167" s="83" t="str">
        <x:v>Energy capacity by zone and class; derive power only where duration is specified.</x:v>
      </x:c>
      <x:c r="V167" s="83" t="str">
        <x:v>Small-scale source classes are 2 or 4 hours; utility-scale is 8 hours. CM duration is not stated.</x:v>
      </x:c>
    </x:row>
    <x:row r="168">
      <x:c r="A168" s="83" t="str">
        <x:v>SZ-164</x:v>
      </x:c>
      <x:c r="B168" s="83" t="str">
        <x:v>PNIEC_POLICY_2030</x:v>
      </x:c>
      <x:c r="C168" s="83" t="n">
        <x:v>2030</x:v>
      </x:c>
      <x:c r="D168" s="83" t="str">
        <x:v>PNIEC Policy 2030</x:v>
      </x:c>
      <x:c r="E168" s="83" t="str">
        <x:v>Calabria</x:v>
      </x:c>
      <x:c r="F168" s="83" t="str">
        <x:v>CM</x:v>
      </x:c>
      <x:c r="G168" s="197" t="n">
        <x:v>0</x:v>
      </x:c>
      <x:c r="H168" s="203" t="b">
        <x:v>1</x:v>
      </x:c>
      <x:c r="I168" s="197"/>
      <x:c r="J168" s="197"/>
      <x:c r="K168" s="197" t="str">
        <x:f>IF(AND(G168&lt;&gt;"",J168&lt;&gt;""),G168/J168,"")</x:f>
      </x:c>
      <x:c r="L168" s="197" t="str">
        <x:f>IF(AND(G168&lt;&gt;"",I168&lt;&gt;""),G168/I168,"")</x:f>
      </x:c>
      <x:c r="M168" s="83" t="str">
        <x:v>S09</x:v>
      </x:c>
      <x:c r="N168" s="83" t="str">
        <x:v>Documento di Descrizione degli Scenari 2024</x:v>
      </x:c>
      <x:c r="O168" s="83" t="n">
        <x:v>63</x:v>
      </x:c>
      <x:c r="P168" s="83" t="str">
        <x:v>60-61</x:v>
      </x:c>
      <x:c r="Q168" s="83" t="str">
        <x:v>Tabella 16</x:v>
      </x:c>
      <x:c r="R168" s="83" t="str">
        <x:v>Assunzione di scenario</x:v>
      </x:c>
      <x:c r="S168" s="83" t="str">
        <x:v>Direct table extraction</x:v>
      </x:c>
      <x:c r="T168" s="83" t="str">
        <x:v>A — Direct</x:v>
      </x:c>
      <x:c r="U168" s="83" t="str">
        <x:v>Energy capacity by zone and class; derive power only where duration is specified.</x:v>
      </x:c>
      <x:c r="V168" s="83" t="str">
        <x:v>Small-scale source classes are 2 or 4 hours; utility-scale is 8 hours. CM duration is not stated.</x:v>
      </x:c>
    </x:row>
    <x:row r="169">
      <x:c r="A169" s="83" t="str">
        <x:v>SZ-165</x:v>
      </x:c>
      <x:c r="B169" s="83" t="str">
        <x:v>PNIEC_SLOW_2030</x:v>
      </x:c>
      <x:c r="C169" s="83" t="n">
        <x:v>2030</x:v>
      </x:c>
      <x:c r="D169" s="83" t="str">
        <x:v>PNIEC Slow 2030</x:v>
      </x:c>
      <x:c r="E169" s="83" t="str">
        <x:v>Calabria</x:v>
      </x:c>
      <x:c r="F169" s="83" t="str">
        <x:v>CM</x:v>
      </x:c>
      <x:c r="G169" s="197" t="n">
        <x:v>0</x:v>
      </x:c>
      <x:c r="H169" s="203" t="b">
        <x:v>1</x:v>
      </x:c>
      <x:c r="I169" s="197"/>
      <x:c r="J169" s="197"/>
      <x:c r="K169" s="197" t="str">
        <x:f>IF(AND(G169&lt;&gt;"",J169&lt;&gt;""),G169/J169,"")</x:f>
      </x:c>
      <x:c r="L169" s="197" t="str">
        <x:f>IF(AND(G169&lt;&gt;"",I169&lt;&gt;""),G169/I169,"")</x:f>
      </x:c>
      <x:c r="M169" s="83" t="str">
        <x:v>S09</x:v>
      </x:c>
      <x:c r="N169" s="83" t="str">
        <x:v>Documento di Descrizione degli Scenari 2024</x:v>
      </x:c>
      <x:c r="O169" s="83" t="n">
        <x:v>63</x:v>
      </x:c>
      <x:c r="P169" s="83" t="str">
        <x:v>60-61</x:v>
      </x:c>
      <x:c r="Q169" s="83" t="str">
        <x:v>Tabella 16</x:v>
      </x:c>
      <x:c r="R169" s="83" t="str">
        <x:v>Assunzione di scenario</x:v>
      </x:c>
      <x:c r="S169" s="83" t="str">
        <x:v>Direct table extraction</x:v>
      </x:c>
      <x:c r="T169" s="83" t="str">
        <x:v>A — Direct</x:v>
      </x:c>
      <x:c r="U169" s="83" t="str">
        <x:v>Energy capacity by zone and class; derive power only where duration is specified.</x:v>
      </x:c>
      <x:c r="V169" s="83" t="str">
        <x:v>Small-scale source classes are 2 or 4 hours; utility-scale is 8 hours. CM duration is not stated.</x:v>
      </x:c>
    </x:row>
    <x:row r="170">
      <x:c r="A170" s="83" t="str">
        <x:v>SZ-166</x:v>
      </x:c>
      <x:c r="B170" s="83" t="str">
        <x:v>DE_IT_2035</x:v>
      </x:c>
      <x:c r="C170" s="83" t="n">
        <x:v>2035</x:v>
      </x:c>
      <x:c r="D170" s="83" t="str">
        <x:v>DE-IT 2035</x:v>
      </x:c>
      <x:c r="E170" s="83" t="str">
        <x:v>Calabria</x:v>
      </x:c>
      <x:c r="F170" s="83" t="str">
        <x:v>CM</x:v>
      </x:c>
      <x:c r="G170" s="197" t="n">
        <x:v>0</x:v>
      </x:c>
      <x:c r="H170" s="203" t="b">
        <x:v>1</x:v>
      </x:c>
      <x:c r="I170" s="197"/>
      <x:c r="J170" s="197"/>
      <x:c r="K170" s="197" t="str">
        <x:f>IF(AND(G170&lt;&gt;"",J170&lt;&gt;""),G170/J170,"")</x:f>
      </x:c>
      <x:c r="L170" s="197" t="str">
        <x:f>IF(AND(G170&lt;&gt;"",I170&lt;&gt;""),G170/I170,"")</x:f>
      </x:c>
      <x:c r="M170" s="83" t="str">
        <x:v>S09</x:v>
      </x:c>
      <x:c r="N170" s="83" t="str">
        <x:v>Documento di Descrizione degli Scenari 2024</x:v>
      </x:c>
      <x:c r="O170" s="83" t="n">
        <x:v>63</x:v>
      </x:c>
      <x:c r="P170" s="83" t="str">
        <x:v>60-61</x:v>
      </x:c>
      <x:c r="Q170" s="83" t="str">
        <x:v>Tabella 16</x:v>
      </x:c>
      <x:c r="R170" s="83" t="str">
        <x:v>Assunzione di scenario</x:v>
      </x:c>
      <x:c r="S170" s="83" t="str">
        <x:v>Direct table extraction</x:v>
      </x:c>
      <x:c r="T170" s="83" t="str">
        <x:v>A — Direct</x:v>
      </x:c>
      <x:c r="U170" s="83" t="str">
        <x:v>Energy capacity by zone and class; derive power only where duration is specified.</x:v>
      </x:c>
      <x:c r="V170" s="83" t="str">
        <x:v>Small-scale source classes are 2 or 4 hours; utility-scale is 8 hours. CM duration is not stated.</x:v>
      </x:c>
    </x:row>
    <x:row r="171">
      <x:c r="A171" s="83" t="str">
        <x:v>SZ-167</x:v>
      </x:c>
      <x:c r="B171" s="83" t="str">
        <x:v>GA_IT_2035</x:v>
      </x:c>
      <x:c r="C171" s="83" t="n">
        <x:v>2035</x:v>
      </x:c>
      <x:c r="D171" s="83" t="str">
        <x:v>GA-IT 2035</x:v>
      </x:c>
      <x:c r="E171" s="83" t="str">
        <x:v>Calabria</x:v>
      </x:c>
      <x:c r="F171" s="83" t="str">
        <x:v>CM</x:v>
      </x:c>
      <x:c r="G171" s="197" t="n">
        <x:v>0</x:v>
      </x:c>
      <x:c r="H171" s="203" t="b">
        <x:v>1</x:v>
      </x:c>
      <x:c r="I171" s="197"/>
      <x:c r="J171" s="197"/>
      <x:c r="K171" s="197" t="str">
        <x:f>IF(AND(G171&lt;&gt;"",J171&lt;&gt;""),G171/J171,"")</x:f>
      </x:c>
      <x:c r="L171" s="197" t="str">
        <x:f>IF(AND(G171&lt;&gt;"",I171&lt;&gt;""),G171/I171,"")</x:f>
      </x:c>
      <x:c r="M171" s="83" t="str">
        <x:v>S09</x:v>
      </x:c>
      <x:c r="N171" s="83" t="str">
        <x:v>Documento di Descrizione degli Scenari 2024</x:v>
      </x:c>
      <x:c r="O171" s="83" t="n">
        <x:v>63</x:v>
      </x:c>
      <x:c r="P171" s="83" t="str">
        <x:v>60-61</x:v>
      </x:c>
      <x:c r="Q171" s="83" t="str">
        <x:v>Tabella 16</x:v>
      </x:c>
      <x:c r="R171" s="83" t="str">
        <x:v>Assunzione di scenario</x:v>
      </x:c>
      <x:c r="S171" s="83" t="str">
        <x:v>Direct table extraction</x:v>
      </x:c>
      <x:c r="T171" s="83" t="str">
        <x:v>A — Direct</x:v>
      </x:c>
      <x:c r="U171" s="83" t="str">
        <x:v>Energy capacity by zone and class; derive power only where duration is specified.</x:v>
      </x:c>
      <x:c r="V171" s="83" t="str">
        <x:v>Small-scale source classes are 2 or 4 hours; utility-scale is 8 hours. CM duration is not stated.</x:v>
      </x:c>
    </x:row>
    <x:row r="172">
      <x:c r="A172" s="83" t="str">
        <x:v>SZ-168</x:v>
      </x:c>
      <x:c r="B172" s="83" t="str">
        <x:v>PNIEC_SLOW_2035</x:v>
      </x:c>
      <x:c r="C172" s="83" t="n">
        <x:v>2035</x:v>
      </x:c>
      <x:c r="D172" s="83" t="str">
        <x:v>PNIEC Slow 2035</x:v>
      </x:c>
      <x:c r="E172" s="83" t="str">
        <x:v>Calabria</x:v>
      </x:c>
      <x:c r="F172" s="83" t="str">
        <x:v>CM</x:v>
      </x:c>
      <x:c r="G172" s="197" t="n">
        <x:v>0</x:v>
      </x:c>
      <x:c r="H172" s="203" t="b">
        <x:v>1</x:v>
      </x:c>
      <x:c r="I172" s="197"/>
      <x:c r="J172" s="197"/>
      <x:c r="K172" s="197" t="str">
        <x:f>IF(AND(G172&lt;&gt;"",J172&lt;&gt;""),G172/J172,"")</x:f>
      </x:c>
      <x:c r="L172" s="197" t="str">
        <x:f>IF(AND(G172&lt;&gt;"",I172&lt;&gt;""),G172/I172,"")</x:f>
      </x:c>
      <x:c r="M172" s="83" t="str">
        <x:v>S09</x:v>
      </x:c>
      <x:c r="N172" s="83" t="str">
        <x:v>Documento di Descrizione degli Scenari 2024</x:v>
      </x:c>
      <x:c r="O172" s="83" t="n">
        <x:v>63</x:v>
      </x:c>
      <x:c r="P172" s="83" t="str">
        <x:v>60-61</x:v>
      </x:c>
      <x:c r="Q172" s="83" t="str">
        <x:v>Tabella 16</x:v>
      </x:c>
      <x:c r="R172" s="83" t="str">
        <x:v>Assunzione di scenario</x:v>
      </x:c>
      <x:c r="S172" s="83" t="str">
        <x:v>Direct table extraction</x:v>
      </x:c>
      <x:c r="T172" s="83" t="str">
        <x:v>A — Direct</x:v>
      </x:c>
      <x:c r="U172" s="83" t="str">
        <x:v>Energy capacity by zone and class; derive power only where duration is specified.</x:v>
      </x:c>
      <x:c r="V172" s="83" t="str">
        <x:v>Small-scale source classes are 2 or 4 hours; utility-scale is 8 hours. CM duration is not stated.</x:v>
      </x:c>
    </x:row>
    <x:row r="173">
      <x:c r="A173" s="83" t="str">
        <x:v>SZ-169</x:v>
      </x:c>
      <x:c r="B173" s="83" t="str">
        <x:v>DE_IT_2040</x:v>
      </x:c>
      <x:c r="C173" s="83" t="n">
        <x:v>2040</x:v>
      </x:c>
      <x:c r="D173" s="83" t="str">
        <x:v>DE-IT 2040</x:v>
      </x:c>
      <x:c r="E173" s="83" t="str">
        <x:v>Calabria</x:v>
      </x:c>
      <x:c r="F173" s="83" t="str">
        <x:v>CM</x:v>
      </x:c>
      <x:c r="G173" s="197" t="n">
        <x:v>0</x:v>
      </x:c>
      <x:c r="H173" s="203" t="b">
        <x:v>1</x:v>
      </x:c>
      <x:c r="I173" s="197"/>
      <x:c r="J173" s="197"/>
      <x:c r="K173" s="197" t="str">
        <x:f>IF(AND(G173&lt;&gt;"",J173&lt;&gt;""),G173/J173,"")</x:f>
      </x:c>
      <x:c r="L173" s="197" t="str">
        <x:f>IF(AND(G173&lt;&gt;"",I173&lt;&gt;""),G173/I173,"")</x:f>
      </x:c>
      <x:c r="M173" s="83" t="str">
        <x:v>S09</x:v>
      </x:c>
      <x:c r="N173" s="83" t="str">
        <x:v>Documento di Descrizione degli Scenari 2024</x:v>
      </x:c>
      <x:c r="O173" s="83" t="n">
        <x:v>63</x:v>
      </x:c>
      <x:c r="P173" s="83" t="str">
        <x:v>60-61</x:v>
      </x:c>
      <x:c r="Q173" s="83" t="str">
        <x:v>Tabella 16</x:v>
      </x:c>
      <x:c r="R173" s="83" t="str">
        <x:v>Assunzione di scenario</x:v>
      </x:c>
      <x:c r="S173" s="83" t="str">
        <x:v>Direct table extraction</x:v>
      </x:c>
      <x:c r="T173" s="83" t="str">
        <x:v>A — Direct</x:v>
      </x:c>
      <x:c r="U173" s="83" t="str">
        <x:v>Energy capacity by zone and class; derive power only where duration is specified.</x:v>
      </x:c>
      <x:c r="V173" s="83" t="str">
        <x:v>Small-scale source classes are 2 or 4 hours; utility-scale is 8 hours. CM duration is not stated.</x:v>
      </x:c>
    </x:row>
    <x:row r="174">
      <x:c r="A174" s="83" t="str">
        <x:v>SZ-170</x:v>
      </x:c>
      <x:c r="B174" s="83" t="str">
        <x:v>GA_IT_2040</x:v>
      </x:c>
      <x:c r="C174" s="83" t="n">
        <x:v>2040</x:v>
      </x:c>
      <x:c r="D174" s="83" t="str">
        <x:v>GA-IT 2040</x:v>
      </x:c>
      <x:c r="E174" s="83" t="str">
        <x:v>Calabria</x:v>
      </x:c>
      <x:c r="F174" s="83" t="str">
        <x:v>CM</x:v>
      </x:c>
      <x:c r="G174" s="197" t="n">
        <x:v>0</x:v>
      </x:c>
      <x:c r="H174" s="203" t="b">
        <x:v>1</x:v>
      </x:c>
      <x:c r="I174" s="197"/>
      <x:c r="J174" s="197"/>
      <x:c r="K174" s="197" t="str">
        <x:f>IF(AND(G174&lt;&gt;"",J174&lt;&gt;""),G174/J174,"")</x:f>
      </x:c>
      <x:c r="L174" s="197" t="str">
        <x:f>IF(AND(G174&lt;&gt;"",I174&lt;&gt;""),G174/I174,"")</x:f>
      </x:c>
      <x:c r="M174" s="83" t="str">
        <x:v>S09</x:v>
      </x:c>
      <x:c r="N174" s="83" t="str">
        <x:v>Documento di Descrizione degli Scenari 2024</x:v>
      </x:c>
      <x:c r="O174" s="83" t="n">
        <x:v>63</x:v>
      </x:c>
      <x:c r="P174" s="83" t="str">
        <x:v>60-61</x:v>
      </x:c>
      <x:c r="Q174" s="83" t="str">
        <x:v>Tabella 16</x:v>
      </x:c>
      <x:c r="R174" s="83" t="str">
        <x:v>Assunzione di scenario</x:v>
      </x:c>
      <x:c r="S174" s="83" t="str">
        <x:v>Direct table extraction</x:v>
      </x:c>
      <x:c r="T174" s="83" t="str">
        <x:v>A — Direct</x:v>
      </x:c>
      <x:c r="U174" s="83" t="str">
        <x:v>Energy capacity by zone and class; derive power only where duration is specified.</x:v>
      </x:c>
      <x:c r="V174" s="83" t="str">
        <x:v>Small-scale source classes are 2 or 4 hours; utility-scale is 8 hours. CM duration is not stated.</x:v>
      </x:c>
    </x:row>
    <x:row r="175">
      <x:c r="A175" s="83" t="str">
        <x:v>SZ-171</x:v>
      </x:c>
      <x:c r="B175" s="83" t="str">
        <x:v>PNIEC_SLOW_2040</x:v>
      </x:c>
      <x:c r="C175" s="83" t="n">
        <x:v>2040</x:v>
      </x:c>
      <x:c r="D175" s="83" t="str">
        <x:v>PNIEC Slow 2040</x:v>
      </x:c>
      <x:c r="E175" s="83" t="str">
        <x:v>Calabria</x:v>
      </x:c>
      <x:c r="F175" s="83" t="str">
        <x:v>CM</x:v>
      </x:c>
      <x:c r="G175" s="197" t="n">
        <x:v>0</x:v>
      </x:c>
      <x:c r="H175" s="203" t="b">
        <x:v>1</x:v>
      </x:c>
      <x:c r="I175" s="197"/>
      <x:c r="J175" s="197"/>
      <x:c r="K175" s="197" t="str">
        <x:f>IF(AND(G175&lt;&gt;"",J175&lt;&gt;""),G175/J175,"")</x:f>
      </x:c>
      <x:c r="L175" s="197" t="str">
        <x:f>IF(AND(G175&lt;&gt;"",I175&lt;&gt;""),G175/I175,"")</x:f>
      </x:c>
      <x:c r="M175" s="83" t="str">
        <x:v>S09</x:v>
      </x:c>
      <x:c r="N175" s="83" t="str">
        <x:v>Documento di Descrizione degli Scenari 2024</x:v>
      </x:c>
      <x:c r="O175" s="83" t="n">
        <x:v>63</x:v>
      </x:c>
      <x:c r="P175" s="83" t="str">
        <x:v>60-61</x:v>
      </x:c>
      <x:c r="Q175" s="83" t="str">
        <x:v>Tabella 16</x:v>
      </x:c>
      <x:c r="R175" s="83" t="str">
        <x:v>Assunzione di scenario</x:v>
      </x:c>
      <x:c r="S175" s="83" t="str">
        <x:v>Direct table extraction</x:v>
      </x:c>
      <x:c r="T175" s="83" t="str">
        <x:v>A — Direct</x:v>
      </x:c>
      <x:c r="U175" s="83" t="str">
        <x:v>Energy capacity by zone and class; derive power only where duration is specified.</x:v>
      </x:c>
      <x:c r="V175" s="83" t="str">
        <x:v>Small-scale source classes are 2 or 4 hours; utility-scale is 8 hours. CM duration is not stated.</x:v>
      </x:c>
    </x:row>
    <x:row r="176">
      <x:c r="A176" s="83" t="str">
        <x:v>SZ-172</x:v>
      </x:c>
      <x:c r="B176" s="83" t="str">
        <x:v>HIST_2023</x:v>
      </x:c>
      <x:c r="C176" s="83" t="n">
        <x:v>2023</x:v>
      </x:c>
      <x:c r="D176" s="83" t="str">
        <x:v>Storico 2023</x:v>
      </x:c>
      <x:c r="E176" s="83" t="str">
        <x:v>Calabria</x:v>
      </x:c>
      <x:c r="F176" s="83" t="str">
        <x:v>Totale</x:v>
      </x:c>
      <x:c r="G176" s="197" t="n">
        <x:v>0.2</x:v>
      </x:c>
      <x:c r="H176" s="203" t="b">
        <x:v>1</x:v>
      </x:c>
      <x:c r="I176" s="197"/>
      <x:c r="J176" s="197"/>
      <x:c r="K176" s="197" t="str">
        <x:f>IF(AND(G176&lt;&gt;"",J176&lt;&gt;""),G176/J176,"")</x:f>
      </x:c>
      <x:c r="L176" s="197" t="str">
        <x:f>IF(AND(G176&lt;&gt;"",I176&lt;&gt;""),G176/I176,"")</x:f>
      </x:c>
      <x:c r="M176" s="83" t="str">
        <x:v>S09</x:v>
      </x:c>
      <x:c r="N176" s="83" t="str">
        <x:v>Documento di Descrizione degli Scenari 2024</x:v>
      </x:c>
      <x:c r="O176" s="83" t="n">
        <x:v>63</x:v>
      </x:c>
      <x:c r="P176" s="83" t="str">
        <x:v>60-61</x:v>
      </x:c>
      <x:c r="Q176" s="83" t="str">
        <x:v>Tabella 16</x:v>
      </x:c>
      <x:c r="R176" s="83" t="str">
        <x:v>Dato osservato storico nel DDS</x:v>
      </x:c>
      <x:c r="S176" s="83" t="str">
        <x:v>Direct table extraction</x:v>
      </x:c>
      <x:c r="T176" s="83" t="str">
        <x:v>A — Direct</x:v>
      </x:c>
      <x:c r="U176" s="83" t="str">
        <x:v>Energy capacity by zone and class; derive power only where duration is specified.</x:v>
      </x:c>
      <x:c r="V176" s="83" t="str">
        <x:v>Small-scale source classes are 2 or 4 hours; utility-scale is 8 hours. CM duration is not stated.</x:v>
      </x:c>
    </x:row>
    <x:row r="177">
      <x:c r="A177" s="83" t="str">
        <x:v>SZ-173</x:v>
      </x:c>
      <x:c r="B177" s="83" t="str">
        <x:v>PNIEC_POLICY_2030</x:v>
      </x:c>
      <x:c r="C177" s="83" t="n">
        <x:v>2030</x:v>
      </x:c>
      <x:c r="D177" s="83" t="str">
        <x:v>PNIEC Policy 2030</x:v>
      </x:c>
      <x:c r="E177" s="83" t="str">
        <x:v>Calabria</x:v>
      </x:c>
      <x:c r="F177" s="83" t="str">
        <x:v>Totale</x:v>
      </x:c>
      <x:c r="G177" s="197" t="n">
        <x:v>3.5</x:v>
      </x:c>
      <x:c r="H177" s="203" t="b">
        <x:v>1</x:v>
      </x:c>
      <x:c r="I177" s="197"/>
      <x:c r="J177" s="197"/>
      <x:c r="K177" s="197" t="str">
        <x:f>IF(AND(G177&lt;&gt;"",J177&lt;&gt;""),G177/J177,"")</x:f>
      </x:c>
      <x:c r="L177" s="197" t="str">
        <x:f>IF(AND(G177&lt;&gt;"",I177&lt;&gt;""),G177/I177,"")</x:f>
      </x:c>
      <x:c r="M177" s="83" t="str">
        <x:v>S09</x:v>
      </x:c>
      <x:c r="N177" s="83" t="str">
        <x:v>Documento di Descrizione degli Scenari 2024</x:v>
      </x:c>
      <x:c r="O177" s="83" t="n">
        <x:v>63</x:v>
      </x:c>
      <x:c r="P177" s="83" t="str">
        <x:v>60-61</x:v>
      </x:c>
      <x:c r="Q177" s="83" t="str">
        <x:v>Tabella 16</x:v>
      </x:c>
      <x:c r="R177" s="83" t="str">
        <x:v>Assunzione di scenario</x:v>
      </x:c>
      <x:c r="S177" s="83" t="str">
        <x:v>Direct table extraction</x:v>
      </x:c>
      <x:c r="T177" s="83" t="str">
        <x:v>A — Direct</x:v>
      </x:c>
      <x:c r="U177" s="83" t="str">
        <x:v>Energy capacity by zone and class; derive power only where duration is specified.</x:v>
      </x:c>
      <x:c r="V177" s="83" t="str">
        <x:v>Small-scale source classes are 2 or 4 hours; utility-scale is 8 hours. CM duration is not stated.</x:v>
      </x:c>
    </x:row>
    <x:row r="178">
      <x:c r="A178" s="83" t="str">
        <x:v>SZ-174</x:v>
      </x:c>
      <x:c r="B178" s="83" t="str">
        <x:v>PNIEC_SLOW_2030</x:v>
      </x:c>
      <x:c r="C178" s="83" t="n">
        <x:v>2030</x:v>
      </x:c>
      <x:c r="D178" s="83" t="str">
        <x:v>PNIEC Slow 2030</x:v>
      </x:c>
      <x:c r="E178" s="83" t="str">
        <x:v>Calabria</x:v>
      </x:c>
      <x:c r="F178" s="83" t="str">
        <x:v>Totale</x:v>
      </x:c>
      <x:c r="G178" s="197" t="n">
        <x:v>2.2</x:v>
      </x:c>
      <x:c r="H178" s="203" t="b">
        <x:v>1</x:v>
      </x:c>
      <x:c r="I178" s="197"/>
      <x:c r="J178" s="197"/>
      <x:c r="K178" s="197" t="str">
        <x:f>IF(AND(G178&lt;&gt;"",J178&lt;&gt;""),G178/J178,"")</x:f>
      </x:c>
      <x:c r="L178" s="197" t="str">
        <x:f>IF(AND(G178&lt;&gt;"",I178&lt;&gt;""),G178/I178,"")</x:f>
      </x:c>
      <x:c r="M178" s="83" t="str">
        <x:v>S09</x:v>
      </x:c>
      <x:c r="N178" s="83" t="str">
        <x:v>Documento di Descrizione degli Scenari 2024</x:v>
      </x:c>
      <x:c r="O178" s="83" t="n">
        <x:v>63</x:v>
      </x:c>
      <x:c r="P178" s="83" t="str">
        <x:v>60-61</x:v>
      </x:c>
      <x:c r="Q178" s="83" t="str">
        <x:v>Tabella 16</x:v>
      </x:c>
      <x:c r="R178" s="83" t="str">
        <x:v>Assunzione di scenario</x:v>
      </x:c>
      <x:c r="S178" s="83" t="str">
        <x:v>Direct table extraction</x:v>
      </x:c>
      <x:c r="T178" s="83" t="str">
        <x:v>A — Direct</x:v>
      </x:c>
      <x:c r="U178" s="83" t="str">
        <x:v>Energy capacity by zone and class; derive power only where duration is specified.</x:v>
      </x:c>
      <x:c r="V178" s="83" t="str">
        <x:v>Small-scale source classes are 2 or 4 hours; utility-scale is 8 hours. CM duration is not stated.</x:v>
      </x:c>
    </x:row>
    <x:row r="179">
      <x:c r="A179" s="83" t="str">
        <x:v>SZ-175</x:v>
      </x:c>
      <x:c r="B179" s="83" t="str">
        <x:v>DE_IT_2035</x:v>
      </x:c>
      <x:c r="C179" s="83" t="n">
        <x:v>2035</x:v>
      </x:c>
      <x:c r="D179" s="83" t="str">
        <x:v>DE-IT 2035</x:v>
      </x:c>
      <x:c r="E179" s="83" t="str">
        <x:v>Calabria</x:v>
      </x:c>
      <x:c r="F179" s="83" t="str">
        <x:v>Totale</x:v>
      </x:c>
      <x:c r="G179" s="197" t="n">
        <x:v>7.6</x:v>
      </x:c>
      <x:c r="H179" s="203" t="b">
        <x:v>1</x:v>
      </x:c>
      <x:c r="I179" s="197"/>
      <x:c r="J179" s="197"/>
      <x:c r="K179" s="197" t="str">
        <x:f>IF(AND(G179&lt;&gt;"",J179&lt;&gt;""),G179/J179,"")</x:f>
      </x:c>
      <x:c r="L179" s="197" t="str">
        <x:f>IF(AND(G179&lt;&gt;"",I179&lt;&gt;""),G179/I179,"")</x:f>
      </x:c>
      <x:c r="M179" s="83" t="str">
        <x:v>S09</x:v>
      </x:c>
      <x:c r="N179" s="83" t="str">
        <x:v>Documento di Descrizione degli Scenari 2024</x:v>
      </x:c>
      <x:c r="O179" s="83" t="n">
        <x:v>63</x:v>
      </x:c>
      <x:c r="P179" s="83" t="str">
        <x:v>60-61</x:v>
      </x:c>
      <x:c r="Q179" s="83" t="str">
        <x:v>Tabella 16</x:v>
      </x:c>
      <x:c r="R179" s="83" t="str">
        <x:v>Assunzione di scenario</x:v>
      </x:c>
      <x:c r="S179" s="83" t="str">
        <x:v>Direct table extraction</x:v>
      </x:c>
      <x:c r="T179" s="83" t="str">
        <x:v>A — Direct</x:v>
      </x:c>
      <x:c r="U179" s="83" t="str">
        <x:v>Energy capacity by zone and class; derive power only where duration is specified.</x:v>
      </x:c>
      <x:c r="V179" s="83" t="str">
        <x:v>Small-scale source classes are 2 or 4 hours; utility-scale is 8 hours. CM duration is not stated.</x:v>
      </x:c>
    </x:row>
    <x:row r="180">
      <x:c r="A180" s="83" t="str">
        <x:v>SZ-176</x:v>
      </x:c>
      <x:c r="B180" s="83" t="str">
        <x:v>GA_IT_2035</x:v>
      </x:c>
      <x:c r="C180" s="83" t="n">
        <x:v>2035</x:v>
      </x:c>
      <x:c r="D180" s="83" t="str">
        <x:v>GA-IT 2035</x:v>
      </x:c>
      <x:c r="E180" s="83" t="str">
        <x:v>Calabria</x:v>
      </x:c>
      <x:c r="F180" s="83" t="str">
        <x:v>Totale</x:v>
      </x:c>
      <x:c r="G180" s="197" t="n">
        <x:v>5.4</x:v>
      </x:c>
      <x:c r="H180" s="203" t="b">
        <x:v>1</x:v>
      </x:c>
      <x:c r="I180" s="197"/>
      <x:c r="J180" s="197"/>
      <x:c r="K180" s="197" t="str">
        <x:f>IF(AND(G180&lt;&gt;"",J180&lt;&gt;""),G180/J180,"")</x:f>
      </x:c>
      <x:c r="L180" s="197" t="str">
        <x:f>IF(AND(G180&lt;&gt;"",I180&lt;&gt;""),G180/I180,"")</x:f>
      </x:c>
      <x:c r="M180" s="83" t="str">
        <x:v>S09</x:v>
      </x:c>
      <x:c r="N180" s="83" t="str">
        <x:v>Documento di Descrizione degli Scenari 2024</x:v>
      </x:c>
      <x:c r="O180" s="83" t="n">
        <x:v>63</x:v>
      </x:c>
      <x:c r="P180" s="83" t="str">
        <x:v>60-61</x:v>
      </x:c>
      <x:c r="Q180" s="83" t="str">
        <x:v>Tabella 16</x:v>
      </x:c>
      <x:c r="R180" s="83" t="str">
        <x:v>Assunzione di scenario</x:v>
      </x:c>
      <x:c r="S180" s="83" t="str">
        <x:v>Direct table extraction</x:v>
      </x:c>
      <x:c r="T180" s="83" t="str">
        <x:v>A — Direct</x:v>
      </x:c>
      <x:c r="U180" s="83" t="str">
        <x:v>Energy capacity by zone and class; derive power only where duration is specified.</x:v>
      </x:c>
      <x:c r="V180" s="83" t="str">
        <x:v>Small-scale source classes are 2 or 4 hours; utility-scale is 8 hours. CM duration is not stated.</x:v>
      </x:c>
    </x:row>
    <x:row r="181">
      <x:c r="A181" s="83" t="str">
        <x:v>SZ-177</x:v>
      </x:c>
      <x:c r="B181" s="83" t="str">
        <x:v>PNIEC_SLOW_2035</x:v>
      </x:c>
      <x:c r="C181" s="83" t="n">
        <x:v>2035</x:v>
      </x:c>
      <x:c r="D181" s="83" t="str">
        <x:v>PNIEC Slow 2035</x:v>
      </x:c>
      <x:c r="E181" s="83" t="str">
        <x:v>Calabria</x:v>
      </x:c>
      <x:c r="F181" s="83" t="str">
        <x:v>Totale</x:v>
      </x:c>
      <x:c r="G181" s="197" t="n">
        <x:v>5.9</x:v>
      </x:c>
      <x:c r="H181" s="203" t="b">
        <x:v>1</x:v>
      </x:c>
      <x:c r="I181" s="197"/>
      <x:c r="J181" s="197"/>
      <x:c r="K181" s="197" t="str">
        <x:f>IF(AND(G181&lt;&gt;"",J181&lt;&gt;""),G181/J181,"")</x:f>
      </x:c>
      <x:c r="L181" s="197" t="str">
        <x:f>IF(AND(G181&lt;&gt;"",I181&lt;&gt;""),G181/I181,"")</x:f>
      </x:c>
      <x:c r="M181" s="83" t="str">
        <x:v>S09</x:v>
      </x:c>
      <x:c r="N181" s="83" t="str">
        <x:v>Documento di Descrizione degli Scenari 2024</x:v>
      </x:c>
      <x:c r="O181" s="83" t="n">
        <x:v>63</x:v>
      </x:c>
      <x:c r="P181" s="83" t="str">
        <x:v>60-61</x:v>
      </x:c>
      <x:c r="Q181" s="83" t="str">
        <x:v>Tabella 16</x:v>
      </x:c>
      <x:c r="R181" s="83" t="str">
        <x:v>Assunzione di scenario</x:v>
      </x:c>
      <x:c r="S181" s="83" t="str">
        <x:v>Direct table extraction</x:v>
      </x:c>
      <x:c r="T181" s="83" t="str">
        <x:v>A — Direct</x:v>
      </x:c>
      <x:c r="U181" s="83" t="str">
        <x:v>Energy capacity by zone and class; derive power only where duration is specified.</x:v>
      </x:c>
      <x:c r="V181" s="83" t="str">
        <x:v>Small-scale source classes are 2 or 4 hours; utility-scale is 8 hours. CM duration is not stated.</x:v>
      </x:c>
    </x:row>
    <x:row r="182">
      <x:c r="A182" s="83" t="str">
        <x:v>SZ-178</x:v>
      </x:c>
      <x:c r="B182" s="83" t="str">
        <x:v>DE_IT_2040</x:v>
      </x:c>
      <x:c r="C182" s="83" t="n">
        <x:v>2040</x:v>
      </x:c>
      <x:c r="D182" s="83" t="str">
        <x:v>DE-IT 2040</x:v>
      </x:c>
      <x:c r="E182" s="83" t="str">
        <x:v>Calabria</x:v>
      </x:c>
      <x:c r="F182" s="83" t="str">
        <x:v>Totale</x:v>
      </x:c>
      <x:c r="G182" s="197" t="n">
        <x:v>10.8</x:v>
      </x:c>
      <x:c r="H182" s="203" t="b">
        <x:v>1</x:v>
      </x:c>
      <x:c r="I182" s="197"/>
      <x:c r="J182" s="197"/>
      <x:c r="K182" s="197" t="str">
        <x:f>IF(AND(G182&lt;&gt;"",J182&lt;&gt;""),G182/J182,"")</x:f>
      </x:c>
      <x:c r="L182" s="197" t="str">
        <x:f>IF(AND(G182&lt;&gt;"",I182&lt;&gt;""),G182/I182,"")</x:f>
      </x:c>
      <x:c r="M182" s="83" t="str">
        <x:v>S09</x:v>
      </x:c>
      <x:c r="N182" s="83" t="str">
        <x:v>Documento di Descrizione degli Scenari 2024</x:v>
      </x:c>
      <x:c r="O182" s="83" t="n">
        <x:v>63</x:v>
      </x:c>
      <x:c r="P182" s="83" t="str">
        <x:v>60-61</x:v>
      </x:c>
      <x:c r="Q182" s="83" t="str">
        <x:v>Tabella 16</x:v>
      </x:c>
      <x:c r="R182" s="83" t="str">
        <x:v>Assunzione di scenario</x:v>
      </x:c>
      <x:c r="S182" s="83" t="str">
        <x:v>Direct table extraction</x:v>
      </x:c>
      <x:c r="T182" s="83" t="str">
        <x:v>A — Direct</x:v>
      </x:c>
      <x:c r="U182" s="83" t="str">
        <x:v>Energy capacity by zone and class; derive power only where duration is specified.</x:v>
      </x:c>
      <x:c r="V182" s="83" t="str">
        <x:v>Small-scale source classes are 2 or 4 hours; utility-scale is 8 hours. CM duration is not stated.</x:v>
      </x:c>
    </x:row>
    <x:row r="183">
      <x:c r="A183" s="83" t="str">
        <x:v>SZ-179</x:v>
      </x:c>
      <x:c r="B183" s="83" t="str">
        <x:v>GA_IT_2040</x:v>
      </x:c>
      <x:c r="C183" s="83" t="n">
        <x:v>2040</x:v>
      </x:c>
      <x:c r="D183" s="83" t="str">
        <x:v>GA-IT 2040</x:v>
      </x:c>
      <x:c r="E183" s="83" t="str">
        <x:v>Calabria</x:v>
      </x:c>
      <x:c r="F183" s="83" t="str">
        <x:v>Totale</x:v>
      </x:c>
      <x:c r="G183" s="197" t="n">
        <x:v>9</x:v>
      </x:c>
      <x:c r="H183" s="203" t="b">
        <x:v>1</x:v>
      </x:c>
      <x:c r="I183" s="197"/>
      <x:c r="J183" s="197"/>
      <x:c r="K183" s="197" t="str">
        <x:f>IF(AND(G183&lt;&gt;"",J183&lt;&gt;""),G183/J183,"")</x:f>
      </x:c>
      <x:c r="L183" s="197" t="str">
        <x:f>IF(AND(G183&lt;&gt;"",I183&lt;&gt;""),G183/I183,"")</x:f>
      </x:c>
      <x:c r="M183" s="83" t="str">
        <x:v>S09</x:v>
      </x:c>
      <x:c r="N183" s="83" t="str">
        <x:v>Documento di Descrizione degli Scenari 2024</x:v>
      </x:c>
      <x:c r="O183" s="83" t="n">
        <x:v>63</x:v>
      </x:c>
      <x:c r="P183" s="83" t="str">
        <x:v>60-61</x:v>
      </x:c>
      <x:c r="Q183" s="83" t="str">
        <x:v>Tabella 16</x:v>
      </x:c>
      <x:c r="R183" s="83" t="str">
        <x:v>Assunzione di scenario</x:v>
      </x:c>
      <x:c r="S183" s="83" t="str">
        <x:v>Direct table extraction</x:v>
      </x:c>
      <x:c r="T183" s="83" t="str">
        <x:v>A — Direct</x:v>
      </x:c>
      <x:c r="U183" s="83" t="str">
        <x:v>Energy capacity by zone and class; derive power only where duration is specified.</x:v>
      </x:c>
      <x:c r="V183" s="83" t="str">
        <x:v>Small-scale source classes are 2 or 4 hours; utility-scale is 8 hours. CM duration is not stated.</x:v>
      </x:c>
    </x:row>
    <x:row r="184">
      <x:c r="A184" s="83" t="str">
        <x:v>SZ-180</x:v>
      </x:c>
      <x:c r="B184" s="83" t="str">
        <x:v>PNIEC_SLOW_2040</x:v>
      </x:c>
      <x:c r="C184" s="83" t="n">
        <x:v>2040</x:v>
      </x:c>
      <x:c r="D184" s="83" t="str">
        <x:v>PNIEC Slow 2040</x:v>
      </x:c>
      <x:c r="E184" s="83" t="str">
        <x:v>Calabria</x:v>
      </x:c>
      <x:c r="F184" s="83" t="str">
        <x:v>Totale</x:v>
      </x:c>
      <x:c r="G184" s="197" t="n">
        <x:v>10</x:v>
      </x:c>
      <x:c r="H184" s="203" t="b">
        <x:v>1</x:v>
      </x:c>
      <x:c r="I184" s="197"/>
      <x:c r="J184" s="197"/>
      <x:c r="K184" s="197" t="str">
        <x:f>IF(AND(G184&lt;&gt;"",J184&lt;&gt;""),G184/J184,"")</x:f>
      </x:c>
      <x:c r="L184" s="197" t="str">
        <x:f>IF(AND(G184&lt;&gt;"",I184&lt;&gt;""),G184/I184,"")</x:f>
      </x:c>
      <x:c r="M184" s="83" t="str">
        <x:v>S09</x:v>
      </x:c>
      <x:c r="N184" s="83" t="str">
        <x:v>Documento di Descrizione degli Scenari 2024</x:v>
      </x:c>
      <x:c r="O184" s="83" t="n">
        <x:v>63</x:v>
      </x:c>
      <x:c r="P184" s="83" t="str">
        <x:v>60-61</x:v>
      </x:c>
      <x:c r="Q184" s="83" t="str">
        <x:v>Tabella 16</x:v>
      </x:c>
      <x:c r="R184" s="83" t="str">
        <x:v>Assunzione di scenario</x:v>
      </x:c>
      <x:c r="S184" s="83" t="str">
        <x:v>Direct table extraction</x:v>
      </x:c>
      <x:c r="T184" s="83" t="str">
        <x:v>A — Direct</x:v>
      </x:c>
      <x:c r="U184" s="83" t="str">
        <x:v>Energy capacity by zone and class; derive power only where duration is specified.</x:v>
      </x:c>
      <x:c r="V184" s="83" t="str">
        <x:v>Small-scale source classes are 2 or 4 hours; utility-scale is 8 hours. CM duration is not stated.</x:v>
      </x:c>
    </x:row>
    <x:row r="185">
      <x:c r="A185" s="83" t="str">
        <x:v>SZ-181</x:v>
      </x:c>
      <x:c r="B185" s="83" t="str">
        <x:v>HIST_2023</x:v>
      </x:c>
      <x:c r="C185" s="83" t="n">
        <x:v>2023</x:v>
      </x:c>
      <x:c r="D185" s="83" t="str">
        <x:v>Storico 2023</x:v>
      </x:c>
      <x:c r="E185" s="83" t="str">
        <x:v>Sicilia</x:v>
      </x:c>
      <x:c r="F185" s="83" t="str">
        <x:v>Small Scale</x:v>
      </x:c>
      <x:c r="G185" s="197" t="n">
        <x:v>0.4</x:v>
      </x:c>
      <x:c r="H185" s="203" t="b">
        <x:v>1</x:v>
      </x:c>
      <x:c r="I185" s="197" t="n">
        <x:v>2</x:v>
      </x:c>
      <x:c r="J185" s="197" t="n">
        <x:v>4</x:v>
      </x:c>
      <x:c r="K185" s="197" t="n">
        <x:f>IF(AND(G185&lt;&gt;"",J185&lt;&gt;""),G185/J185,"")</x:f>
        <x:v>0.1</x:v>
      </x:c>
      <x:c r="L185" s="197" t="n">
        <x:f>IF(AND(G185&lt;&gt;"",I185&lt;&gt;""),G185/I185,"")</x:f>
        <x:v>0.2</x:v>
      </x:c>
      <x:c r="M185" s="83" t="str">
        <x:v>S09</x:v>
      </x:c>
      <x:c r="N185" s="83" t="str">
        <x:v>Documento di Descrizione degli Scenari 2024</x:v>
      </x:c>
      <x:c r="O185" s="83" t="n">
        <x:v>63</x:v>
      </x:c>
      <x:c r="P185" s="83" t="str">
        <x:v>60-61</x:v>
      </x:c>
      <x:c r="Q185" s="83" t="str">
        <x:v>Tabella 16</x:v>
      </x:c>
      <x:c r="R185" s="83" t="str">
        <x:v>Dato osservato storico nel DDS</x:v>
      </x:c>
      <x:c r="S185" s="83" t="str">
        <x:v>Direct table extraction</x:v>
      </x:c>
      <x:c r="T185" s="83" t="str">
        <x:v>A — Direct</x:v>
      </x:c>
      <x:c r="U185" s="83" t="str">
        <x:v>Energy capacity by zone and class; derive power only where duration is specified.</x:v>
      </x:c>
      <x:c r="V185" s="83" t="str">
        <x:v>Small-scale source classes are 2 or 4 hours; utility-scale is 8 hours. CM duration is not stated.</x:v>
      </x:c>
    </x:row>
    <x:row r="186">
      <x:c r="A186" s="83" t="str">
        <x:v>SZ-182</x:v>
      </x:c>
      <x:c r="B186" s="83" t="str">
        <x:v>PNIEC_POLICY_2030</x:v>
      </x:c>
      <x:c r="C186" s="83" t="n">
        <x:v>2030</x:v>
      </x:c>
      <x:c r="D186" s="83" t="str">
        <x:v>PNIEC Policy 2030</x:v>
      </x:c>
      <x:c r="E186" s="83" t="str">
        <x:v>Sicilia</x:v>
      </x:c>
      <x:c r="F186" s="83" t="str">
        <x:v>Small Scale</x:v>
      </x:c>
      <x:c r="G186" s="197" t="n">
        <x:v>0.8</x:v>
      </x:c>
      <x:c r="H186" s="203" t="b">
        <x:v>1</x:v>
      </x:c>
      <x:c r="I186" s="197" t="n">
        <x:v>2</x:v>
      </x:c>
      <x:c r="J186" s="197" t="n">
        <x:v>4</x:v>
      </x:c>
      <x:c r="K186" s="197" t="n">
        <x:f>IF(AND(G186&lt;&gt;"",J186&lt;&gt;""),G186/J186,"")</x:f>
        <x:v>0.2</x:v>
      </x:c>
      <x:c r="L186" s="197" t="n">
        <x:f>IF(AND(G186&lt;&gt;"",I186&lt;&gt;""),G186/I186,"")</x:f>
        <x:v>0.4</x:v>
      </x:c>
      <x:c r="M186" s="83" t="str">
        <x:v>S09</x:v>
      </x:c>
      <x:c r="N186" s="83" t="str">
        <x:v>Documento di Descrizione degli Scenari 2024</x:v>
      </x:c>
      <x:c r="O186" s="83" t="n">
        <x:v>63</x:v>
      </x:c>
      <x:c r="P186" s="83" t="str">
        <x:v>60-61</x:v>
      </x:c>
      <x:c r="Q186" s="83" t="str">
        <x:v>Tabella 16</x:v>
      </x:c>
      <x:c r="R186" s="83" t="str">
        <x:v>Assunzione di scenario</x:v>
      </x:c>
      <x:c r="S186" s="83" t="str">
        <x:v>Direct table extraction</x:v>
      </x:c>
      <x:c r="T186" s="83" t="str">
        <x:v>A — Direct</x:v>
      </x:c>
      <x:c r="U186" s="83" t="str">
        <x:v>Energy capacity by zone and class; derive power only where duration is specified.</x:v>
      </x:c>
      <x:c r="V186" s="83" t="str">
        <x:v>Small-scale source classes are 2 or 4 hours; utility-scale is 8 hours. CM duration is not stated.</x:v>
      </x:c>
    </x:row>
    <x:row r="187">
      <x:c r="A187" s="83" t="str">
        <x:v>SZ-183</x:v>
      </x:c>
      <x:c r="B187" s="83" t="str">
        <x:v>PNIEC_SLOW_2030</x:v>
      </x:c>
      <x:c r="C187" s="83" t="n">
        <x:v>2030</x:v>
      </x:c>
      <x:c r="D187" s="83" t="str">
        <x:v>PNIEC Slow 2030</x:v>
      </x:c>
      <x:c r="E187" s="83" t="str">
        <x:v>Sicilia</x:v>
      </x:c>
      <x:c r="F187" s="83" t="str">
        <x:v>Small Scale</x:v>
      </x:c>
      <x:c r="G187" s="197" t="n">
        <x:v>0.8</x:v>
      </x:c>
      <x:c r="H187" s="203" t="b">
        <x:v>1</x:v>
      </x:c>
      <x:c r="I187" s="197" t="n">
        <x:v>2</x:v>
      </x:c>
      <x:c r="J187" s="197" t="n">
        <x:v>4</x:v>
      </x:c>
      <x:c r="K187" s="197" t="n">
        <x:f>IF(AND(G187&lt;&gt;"",J187&lt;&gt;""),G187/J187,"")</x:f>
        <x:v>0.2</x:v>
      </x:c>
      <x:c r="L187" s="197" t="n">
        <x:f>IF(AND(G187&lt;&gt;"",I187&lt;&gt;""),G187/I187,"")</x:f>
        <x:v>0.4</x:v>
      </x:c>
      <x:c r="M187" s="83" t="str">
        <x:v>S09</x:v>
      </x:c>
      <x:c r="N187" s="83" t="str">
        <x:v>Documento di Descrizione degli Scenari 2024</x:v>
      </x:c>
      <x:c r="O187" s="83" t="n">
        <x:v>63</x:v>
      </x:c>
      <x:c r="P187" s="83" t="str">
        <x:v>60-61</x:v>
      </x:c>
      <x:c r="Q187" s="83" t="str">
        <x:v>Tabella 16</x:v>
      </x:c>
      <x:c r="R187" s="83" t="str">
        <x:v>Assunzione di scenario</x:v>
      </x:c>
      <x:c r="S187" s="83" t="str">
        <x:v>Direct table extraction</x:v>
      </x:c>
      <x:c r="T187" s="83" t="str">
        <x:v>A — Direct</x:v>
      </x:c>
      <x:c r="U187" s="83" t="str">
        <x:v>Energy capacity by zone and class; derive power only where duration is specified.</x:v>
      </x:c>
      <x:c r="V187" s="83" t="str">
        <x:v>Small-scale source classes are 2 or 4 hours; utility-scale is 8 hours. CM duration is not stated.</x:v>
      </x:c>
    </x:row>
    <x:row r="188">
      <x:c r="A188" s="83" t="str">
        <x:v>SZ-184</x:v>
      </x:c>
      <x:c r="B188" s="83" t="str">
        <x:v>DE_IT_2035</x:v>
      </x:c>
      <x:c r="C188" s="83" t="n">
        <x:v>2035</x:v>
      </x:c>
      <x:c r="D188" s="83" t="str">
        <x:v>DE-IT 2035</x:v>
      </x:c>
      <x:c r="E188" s="83" t="str">
        <x:v>Sicilia</x:v>
      </x:c>
      <x:c r="F188" s="83" t="str">
        <x:v>Small Scale</x:v>
      </x:c>
      <x:c r="G188" s="197" t="n">
        <x:v>0.9</x:v>
      </x:c>
      <x:c r="H188" s="203" t="b">
        <x:v>1</x:v>
      </x:c>
      <x:c r="I188" s="197" t="n">
        <x:v>2</x:v>
      </x:c>
      <x:c r="J188" s="197" t="n">
        <x:v>4</x:v>
      </x:c>
      <x:c r="K188" s="197" t="n">
        <x:f>IF(AND(G188&lt;&gt;"",J188&lt;&gt;""),G188/J188,"")</x:f>
        <x:v>0.225</x:v>
      </x:c>
      <x:c r="L188" s="197" t="n">
        <x:f>IF(AND(G188&lt;&gt;"",I188&lt;&gt;""),G188/I188,"")</x:f>
        <x:v>0.45</x:v>
      </x:c>
      <x:c r="M188" s="83" t="str">
        <x:v>S09</x:v>
      </x:c>
      <x:c r="N188" s="83" t="str">
        <x:v>Documento di Descrizione degli Scenari 2024</x:v>
      </x:c>
      <x:c r="O188" s="83" t="n">
        <x:v>63</x:v>
      </x:c>
      <x:c r="P188" s="83" t="str">
        <x:v>60-61</x:v>
      </x:c>
      <x:c r="Q188" s="83" t="str">
        <x:v>Tabella 16</x:v>
      </x:c>
      <x:c r="R188" s="83" t="str">
        <x:v>Assunzione di scenario</x:v>
      </x:c>
      <x:c r="S188" s="83" t="str">
        <x:v>Direct table extraction</x:v>
      </x:c>
      <x:c r="T188" s="83" t="str">
        <x:v>A — Direct</x:v>
      </x:c>
      <x:c r="U188" s="83" t="str">
        <x:v>Energy capacity by zone and class; derive power only where duration is specified.</x:v>
      </x:c>
      <x:c r="V188" s="83" t="str">
        <x:v>Small-scale source classes are 2 or 4 hours; utility-scale is 8 hours. CM duration is not stated.</x:v>
      </x:c>
    </x:row>
    <x:row r="189">
      <x:c r="A189" s="83" t="str">
        <x:v>SZ-185</x:v>
      </x:c>
      <x:c r="B189" s="83" t="str">
        <x:v>GA_IT_2035</x:v>
      </x:c>
      <x:c r="C189" s="83" t="n">
        <x:v>2035</x:v>
      </x:c>
      <x:c r="D189" s="83" t="str">
        <x:v>GA-IT 2035</x:v>
      </x:c>
      <x:c r="E189" s="83" t="str">
        <x:v>Sicilia</x:v>
      </x:c>
      <x:c r="F189" s="83" t="str">
        <x:v>Small Scale</x:v>
      </x:c>
      <x:c r="G189" s="197" t="n">
        <x:v>1</x:v>
      </x:c>
      <x:c r="H189" s="203" t="b">
        <x:v>1</x:v>
      </x:c>
      <x:c r="I189" s="197" t="n">
        <x:v>2</x:v>
      </x:c>
      <x:c r="J189" s="197" t="n">
        <x:v>4</x:v>
      </x:c>
      <x:c r="K189" s="197" t="n">
        <x:f>IF(AND(G189&lt;&gt;"",J189&lt;&gt;""),G189/J189,"")</x:f>
        <x:v>0.25</x:v>
      </x:c>
      <x:c r="L189" s="197" t="n">
        <x:f>IF(AND(G189&lt;&gt;"",I189&lt;&gt;""),G189/I189,"")</x:f>
        <x:v>0.5</x:v>
      </x:c>
      <x:c r="M189" s="83" t="str">
        <x:v>S09</x:v>
      </x:c>
      <x:c r="N189" s="83" t="str">
        <x:v>Documento di Descrizione degli Scenari 2024</x:v>
      </x:c>
      <x:c r="O189" s="83" t="n">
        <x:v>63</x:v>
      </x:c>
      <x:c r="P189" s="83" t="str">
        <x:v>60-61</x:v>
      </x:c>
      <x:c r="Q189" s="83" t="str">
        <x:v>Tabella 16</x:v>
      </x:c>
      <x:c r="R189" s="83" t="str">
        <x:v>Assunzione di scenario</x:v>
      </x:c>
      <x:c r="S189" s="83" t="str">
        <x:v>Direct table extraction</x:v>
      </x:c>
      <x:c r="T189" s="83" t="str">
        <x:v>A — Direct</x:v>
      </x:c>
      <x:c r="U189" s="83" t="str">
        <x:v>Energy capacity by zone and class; derive power only where duration is specified.</x:v>
      </x:c>
      <x:c r="V189" s="83" t="str">
        <x:v>Small-scale source classes are 2 or 4 hours; utility-scale is 8 hours. CM duration is not stated.</x:v>
      </x:c>
    </x:row>
    <x:row r="190">
      <x:c r="A190" s="83" t="str">
        <x:v>SZ-186</x:v>
      </x:c>
      <x:c r="B190" s="83" t="str">
        <x:v>PNIEC_SLOW_2035</x:v>
      </x:c>
      <x:c r="C190" s="83" t="n">
        <x:v>2035</x:v>
      </x:c>
      <x:c r="D190" s="83" t="str">
        <x:v>PNIEC Slow 2035</x:v>
      </x:c>
      <x:c r="E190" s="83" t="str">
        <x:v>Sicilia</x:v>
      </x:c>
      <x:c r="F190" s="83" t="str">
        <x:v>Small Scale</x:v>
      </x:c>
      <x:c r="G190" s="197" t="n">
        <x:v>0.9</x:v>
      </x:c>
      <x:c r="H190" s="203" t="b">
        <x:v>1</x:v>
      </x:c>
      <x:c r="I190" s="197" t="n">
        <x:v>2</x:v>
      </x:c>
      <x:c r="J190" s="197" t="n">
        <x:v>4</x:v>
      </x:c>
      <x:c r="K190" s="197" t="n">
        <x:f>IF(AND(G190&lt;&gt;"",J190&lt;&gt;""),G190/J190,"")</x:f>
        <x:v>0.225</x:v>
      </x:c>
      <x:c r="L190" s="197" t="n">
        <x:f>IF(AND(G190&lt;&gt;"",I190&lt;&gt;""),G190/I190,"")</x:f>
        <x:v>0.45</x:v>
      </x:c>
      <x:c r="M190" s="83" t="str">
        <x:v>S09</x:v>
      </x:c>
      <x:c r="N190" s="83" t="str">
        <x:v>Documento di Descrizione degli Scenari 2024</x:v>
      </x:c>
      <x:c r="O190" s="83" t="n">
        <x:v>63</x:v>
      </x:c>
      <x:c r="P190" s="83" t="str">
        <x:v>60-61</x:v>
      </x:c>
      <x:c r="Q190" s="83" t="str">
        <x:v>Tabella 16</x:v>
      </x:c>
      <x:c r="R190" s="83" t="str">
        <x:v>Assunzione di scenario</x:v>
      </x:c>
      <x:c r="S190" s="83" t="str">
        <x:v>Direct table extraction</x:v>
      </x:c>
      <x:c r="T190" s="83" t="str">
        <x:v>A — Direct</x:v>
      </x:c>
      <x:c r="U190" s="83" t="str">
        <x:v>Energy capacity by zone and class; derive power only where duration is specified.</x:v>
      </x:c>
      <x:c r="V190" s="83" t="str">
        <x:v>Small-scale source classes are 2 or 4 hours; utility-scale is 8 hours. CM duration is not stated.</x:v>
      </x:c>
    </x:row>
    <x:row r="191">
      <x:c r="A191" s="83" t="str">
        <x:v>SZ-187</x:v>
      </x:c>
      <x:c r="B191" s="83" t="str">
        <x:v>DE_IT_2040</x:v>
      </x:c>
      <x:c r="C191" s="83" t="n">
        <x:v>2040</x:v>
      </x:c>
      <x:c r="D191" s="83" t="str">
        <x:v>DE-IT 2040</x:v>
      </x:c>
      <x:c r="E191" s="83" t="str">
        <x:v>Sicilia</x:v>
      </x:c>
      <x:c r="F191" s="83" t="str">
        <x:v>Small Scale</x:v>
      </x:c>
      <x:c r="G191" s="197" t="n">
        <x:v>1.1</x:v>
      </x:c>
      <x:c r="H191" s="203" t="b">
        <x:v>1</x:v>
      </x:c>
      <x:c r="I191" s="197" t="n">
        <x:v>2</x:v>
      </x:c>
      <x:c r="J191" s="197" t="n">
        <x:v>4</x:v>
      </x:c>
      <x:c r="K191" s="197" t="n">
        <x:f>IF(AND(G191&lt;&gt;"",J191&lt;&gt;""),G191/J191,"")</x:f>
        <x:v>0.275</x:v>
      </x:c>
      <x:c r="L191" s="197" t="n">
        <x:f>IF(AND(G191&lt;&gt;"",I191&lt;&gt;""),G191/I191,"")</x:f>
        <x:v>0.55</x:v>
      </x:c>
      <x:c r="M191" s="83" t="str">
        <x:v>S09</x:v>
      </x:c>
      <x:c r="N191" s="83" t="str">
        <x:v>Documento di Descrizione degli Scenari 2024</x:v>
      </x:c>
      <x:c r="O191" s="83" t="n">
        <x:v>63</x:v>
      </x:c>
      <x:c r="P191" s="83" t="str">
        <x:v>60-61</x:v>
      </x:c>
      <x:c r="Q191" s="83" t="str">
        <x:v>Tabella 16</x:v>
      </x:c>
      <x:c r="R191" s="83" t="str">
        <x:v>Assunzione di scenario</x:v>
      </x:c>
      <x:c r="S191" s="83" t="str">
        <x:v>Direct table extraction</x:v>
      </x:c>
      <x:c r="T191" s="83" t="str">
        <x:v>A — Direct</x:v>
      </x:c>
      <x:c r="U191" s="83" t="str">
        <x:v>Energy capacity by zone and class; derive power only where duration is specified.</x:v>
      </x:c>
      <x:c r="V191" s="83" t="str">
        <x:v>Small-scale source classes are 2 or 4 hours; utility-scale is 8 hours. CM duration is not stated.</x:v>
      </x:c>
    </x:row>
    <x:row r="192">
      <x:c r="A192" s="83" t="str">
        <x:v>SZ-188</x:v>
      </x:c>
      <x:c r="B192" s="83" t="str">
        <x:v>GA_IT_2040</x:v>
      </x:c>
      <x:c r="C192" s="83" t="n">
        <x:v>2040</x:v>
      </x:c>
      <x:c r="D192" s="83" t="str">
        <x:v>GA-IT 2040</x:v>
      </x:c>
      <x:c r="E192" s="83" t="str">
        <x:v>Sicilia</x:v>
      </x:c>
      <x:c r="F192" s="83" t="str">
        <x:v>Small Scale</x:v>
      </x:c>
      <x:c r="G192" s="197" t="n">
        <x:v>1.1</x:v>
      </x:c>
      <x:c r="H192" s="203" t="b">
        <x:v>1</x:v>
      </x:c>
      <x:c r="I192" s="197" t="n">
        <x:v>2</x:v>
      </x:c>
      <x:c r="J192" s="197" t="n">
        <x:v>4</x:v>
      </x:c>
      <x:c r="K192" s="197" t="n">
        <x:f>IF(AND(G192&lt;&gt;"",J192&lt;&gt;""),G192/J192,"")</x:f>
        <x:v>0.275</x:v>
      </x:c>
      <x:c r="L192" s="197" t="n">
        <x:f>IF(AND(G192&lt;&gt;"",I192&lt;&gt;""),G192/I192,"")</x:f>
        <x:v>0.55</x:v>
      </x:c>
      <x:c r="M192" s="83" t="str">
        <x:v>S09</x:v>
      </x:c>
      <x:c r="N192" s="83" t="str">
        <x:v>Documento di Descrizione degli Scenari 2024</x:v>
      </x:c>
      <x:c r="O192" s="83" t="n">
        <x:v>63</x:v>
      </x:c>
      <x:c r="P192" s="83" t="str">
        <x:v>60-61</x:v>
      </x:c>
      <x:c r="Q192" s="83" t="str">
        <x:v>Tabella 16</x:v>
      </x:c>
      <x:c r="R192" s="83" t="str">
        <x:v>Assunzione di scenario</x:v>
      </x:c>
      <x:c r="S192" s="83" t="str">
        <x:v>Direct table extraction</x:v>
      </x:c>
      <x:c r="T192" s="83" t="str">
        <x:v>A — Direct</x:v>
      </x:c>
      <x:c r="U192" s="83" t="str">
        <x:v>Energy capacity by zone and class; derive power only where duration is specified.</x:v>
      </x:c>
      <x:c r="V192" s="83" t="str">
        <x:v>Small-scale source classes are 2 or 4 hours; utility-scale is 8 hours. CM duration is not stated.</x:v>
      </x:c>
    </x:row>
    <x:row r="193">
      <x:c r="A193" s="83" t="str">
        <x:v>SZ-189</x:v>
      </x:c>
      <x:c r="B193" s="83" t="str">
        <x:v>PNIEC_SLOW_2040</x:v>
      </x:c>
      <x:c r="C193" s="83" t="n">
        <x:v>2040</x:v>
      </x:c>
      <x:c r="D193" s="83" t="str">
        <x:v>PNIEC Slow 2040</x:v>
      </x:c>
      <x:c r="E193" s="83" t="str">
        <x:v>Sicilia</x:v>
      </x:c>
      <x:c r="F193" s="83" t="str">
        <x:v>Small Scale</x:v>
      </x:c>
      <x:c r="G193" s="197" t="n">
        <x:v>1</x:v>
      </x:c>
      <x:c r="H193" s="203" t="b">
        <x:v>1</x:v>
      </x:c>
      <x:c r="I193" s="197" t="n">
        <x:v>2</x:v>
      </x:c>
      <x:c r="J193" s="197" t="n">
        <x:v>4</x:v>
      </x:c>
      <x:c r="K193" s="197" t="n">
        <x:f>IF(AND(G193&lt;&gt;"",J193&lt;&gt;""),G193/J193,"")</x:f>
        <x:v>0.25</x:v>
      </x:c>
      <x:c r="L193" s="197" t="n">
        <x:f>IF(AND(G193&lt;&gt;"",I193&lt;&gt;""),G193/I193,"")</x:f>
        <x:v>0.5</x:v>
      </x:c>
      <x:c r="M193" s="83" t="str">
        <x:v>S09</x:v>
      </x:c>
      <x:c r="N193" s="83" t="str">
        <x:v>Documento di Descrizione degli Scenari 2024</x:v>
      </x:c>
      <x:c r="O193" s="83" t="n">
        <x:v>63</x:v>
      </x:c>
      <x:c r="P193" s="83" t="str">
        <x:v>60-61</x:v>
      </x:c>
      <x:c r="Q193" s="83" t="str">
        <x:v>Tabella 16</x:v>
      </x:c>
      <x:c r="R193" s="83" t="str">
        <x:v>Assunzione di scenario</x:v>
      </x:c>
      <x:c r="S193" s="83" t="str">
        <x:v>Direct table extraction</x:v>
      </x:c>
      <x:c r="T193" s="83" t="str">
        <x:v>A — Direct</x:v>
      </x:c>
      <x:c r="U193" s="83" t="str">
        <x:v>Energy capacity by zone and class; derive power only where duration is specified.</x:v>
      </x:c>
      <x:c r="V193" s="83" t="str">
        <x:v>Small-scale source classes are 2 or 4 hours; utility-scale is 8 hours. CM duration is not stated.</x:v>
      </x:c>
    </x:row>
    <x:row r="194">
      <x:c r="A194" s="83" t="str">
        <x:v>SZ-190</x:v>
      </x:c>
      <x:c r="B194" s="83" t="str">
        <x:v>HIST_2023</x:v>
      </x:c>
      <x:c r="C194" s="83" t="n">
        <x:v>2023</x:v>
      </x:c>
      <x:c r="D194" s="83" t="str">
        <x:v>Storico 2023</x:v>
      </x:c>
      <x:c r="E194" s="83" t="str">
        <x:v>Sicilia</x:v>
      </x:c>
      <x:c r="F194" s="83" t="str">
        <x:v>Utility Scale</x:v>
      </x:c>
      <x:c r="G194" s="197" t="n">
        <x:v>0</x:v>
      </x:c>
      <x:c r="H194" s="203" t="b">
        <x:v>1</x:v>
      </x:c>
      <x:c r="I194" s="197" t="n">
        <x:v>8</x:v>
      </x:c>
      <x:c r="J194" s="197" t="n">
        <x:v>8</x:v>
      </x:c>
      <x:c r="K194" s="197" t="str">
        <x:f>IF(AND(G194&lt;&gt;"",J194&lt;&gt;""),G194/J194,"")</x:f>
      </x:c>
      <x:c r="L194" s="197" t="str">
        <x:f>IF(AND(G194&lt;&gt;"",I194&lt;&gt;""),G194/I194,"")</x:f>
      </x:c>
      <x:c r="M194" s="83" t="str">
        <x:v>S09</x:v>
      </x:c>
      <x:c r="N194" s="83" t="str">
        <x:v>Documento di Descrizione degli Scenari 2024</x:v>
      </x:c>
      <x:c r="O194" s="83" t="n">
        <x:v>63</x:v>
      </x:c>
      <x:c r="P194" s="83" t="str">
        <x:v>60-61</x:v>
      </x:c>
      <x:c r="Q194" s="83" t="str">
        <x:v>Tabella 16</x:v>
      </x:c>
      <x:c r="R194" s="83" t="str">
        <x:v>Dato osservato storico nel DDS</x:v>
      </x:c>
      <x:c r="S194" s="83" t="str">
        <x:v>Direct table extraction</x:v>
      </x:c>
      <x:c r="T194" s="83" t="str">
        <x:v>A — Direct</x:v>
      </x:c>
      <x:c r="U194" s="83" t="str">
        <x:v>Energy capacity by zone and class; derive power only where duration is specified.</x:v>
      </x:c>
      <x:c r="V194" s="83" t="str">
        <x:v>Small-scale source classes are 2 or 4 hours; utility-scale is 8 hours. CM duration is not stated.</x:v>
      </x:c>
    </x:row>
    <x:row r="195">
      <x:c r="A195" s="83" t="str">
        <x:v>SZ-191</x:v>
      </x:c>
      <x:c r="B195" s="83" t="str">
        <x:v>PNIEC_POLICY_2030</x:v>
      </x:c>
      <x:c r="C195" s="83" t="n">
        <x:v>2030</x:v>
      </x:c>
      <x:c r="D195" s="83" t="str">
        <x:v>PNIEC Policy 2030</x:v>
      </x:c>
      <x:c r="E195" s="83" t="str">
        <x:v>Sicilia</x:v>
      </x:c>
      <x:c r="F195" s="83" t="str">
        <x:v>Utility Scale</x:v>
      </x:c>
      <x:c r="G195" s="197" t="n">
        <x:v>13.6</x:v>
      </x:c>
      <x:c r="H195" s="203" t="b">
        <x:v>1</x:v>
      </x:c>
      <x:c r="I195" s="197" t="n">
        <x:v>8</x:v>
      </x:c>
      <x:c r="J195" s="197" t="n">
        <x:v>8</x:v>
      </x:c>
      <x:c r="K195" s="197" t="n">
        <x:f>IF(AND(G195&lt;&gt;"",J195&lt;&gt;""),G195/J195,"")</x:f>
        <x:v>1.7</x:v>
      </x:c>
      <x:c r="L195" s="197" t="n">
        <x:f>IF(AND(G195&lt;&gt;"",I195&lt;&gt;""),G195/I195,"")</x:f>
        <x:v>1.7</x:v>
      </x:c>
      <x:c r="M195" s="83" t="str">
        <x:v>S09</x:v>
      </x:c>
      <x:c r="N195" s="83" t="str">
        <x:v>Documento di Descrizione degli Scenari 2024</x:v>
      </x:c>
      <x:c r="O195" s="83" t="n">
        <x:v>63</x:v>
      </x:c>
      <x:c r="P195" s="83" t="str">
        <x:v>60-61</x:v>
      </x:c>
      <x:c r="Q195" s="83" t="str">
        <x:v>Tabella 16</x:v>
      </x:c>
      <x:c r="R195" s="83" t="str">
        <x:v>Assunzione di scenario</x:v>
      </x:c>
      <x:c r="S195" s="83" t="str">
        <x:v>Direct table extraction</x:v>
      </x:c>
      <x:c r="T195" s="83" t="str">
        <x:v>A — Direct</x:v>
      </x:c>
      <x:c r="U195" s="83" t="str">
        <x:v>Energy capacity by zone and class; derive power only where duration is specified.</x:v>
      </x:c>
      <x:c r="V195" s="83" t="str">
        <x:v>Small-scale source classes are 2 or 4 hours; utility-scale is 8 hours. CM duration is not stated.</x:v>
      </x:c>
    </x:row>
    <x:row r="196">
      <x:c r="A196" s="83" t="str">
        <x:v>SZ-192</x:v>
      </x:c>
      <x:c r="B196" s="83" t="str">
        <x:v>PNIEC_SLOW_2030</x:v>
      </x:c>
      <x:c r="C196" s="83" t="n">
        <x:v>2030</x:v>
      </x:c>
      <x:c r="D196" s="83" t="str">
        <x:v>PNIEC Slow 2030</x:v>
      </x:c>
      <x:c r="E196" s="83" t="str">
        <x:v>Sicilia</x:v>
      </x:c>
      <x:c r="F196" s="83" t="str">
        <x:v>Utility Scale</x:v>
      </x:c>
      <x:c r="G196" s="197" t="n">
        <x:v>6</x:v>
      </x:c>
      <x:c r="H196" s="203" t="b">
        <x:v>1</x:v>
      </x:c>
      <x:c r="I196" s="197" t="n">
        <x:v>8</x:v>
      </x:c>
      <x:c r="J196" s="197" t="n">
        <x:v>8</x:v>
      </x:c>
      <x:c r="K196" s="197" t="n">
        <x:f>IF(AND(G196&lt;&gt;"",J196&lt;&gt;""),G196/J196,"")</x:f>
        <x:v>0.75</x:v>
      </x:c>
      <x:c r="L196" s="197" t="n">
        <x:f>IF(AND(G196&lt;&gt;"",I196&lt;&gt;""),G196/I196,"")</x:f>
        <x:v>0.75</x:v>
      </x:c>
      <x:c r="M196" s="83" t="str">
        <x:v>S09</x:v>
      </x:c>
      <x:c r="N196" s="83" t="str">
        <x:v>Documento di Descrizione degli Scenari 2024</x:v>
      </x:c>
      <x:c r="O196" s="83" t="n">
        <x:v>63</x:v>
      </x:c>
      <x:c r="P196" s="83" t="str">
        <x:v>60-61</x:v>
      </x:c>
      <x:c r="Q196" s="83" t="str">
        <x:v>Tabella 16</x:v>
      </x:c>
      <x:c r="R196" s="83" t="str">
        <x:v>Assunzione di scenario</x:v>
      </x:c>
      <x:c r="S196" s="83" t="str">
        <x:v>Direct table extraction</x:v>
      </x:c>
      <x:c r="T196" s="83" t="str">
        <x:v>A — Direct</x:v>
      </x:c>
      <x:c r="U196" s="83" t="str">
        <x:v>Energy capacity by zone and class; derive power only where duration is specified.</x:v>
      </x:c>
      <x:c r="V196" s="83" t="str">
        <x:v>Small-scale source classes are 2 or 4 hours; utility-scale is 8 hours. CM duration is not stated.</x:v>
      </x:c>
    </x:row>
    <x:row r="197">
      <x:c r="A197" s="83" t="str">
        <x:v>SZ-193</x:v>
      </x:c>
      <x:c r="B197" s="83" t="str">
        <x:v>DE_IT_2035</x:v>
      </x:c>
      <x:c r="C197" s="83" t="n">
        <x:v>2035</x:v>
      </x:c>
      <x:c r="D197" s="83" t="str">
        <x:v>DE-IT 2035</x:v>
      </x:c>
      <x:c r="E197" s="83" t="str">
        <x:v>Sicilia</x:v>
      </x:c>
      <x:c r="F197" s="83" t="str">
        <x:v>Utility Scale</x:v>
      </x:c>
      <x:c r="G197" s="197" t="n">
        <x:v>28.1</x:v>
      </x:c>
      <x:c r="H197" s="203" t="b">
        <x:v>1</x:v>
      </x:c>
      <x:c r="I197" s="197" t="n">
        <x:v>8</x:v>
      </x:c>
      <x:c r="J197" s="197" t="n">
        <x:v>8</x:v>
      </x:c>
      <x:c r="K197" s="197" t="n">
        <x:f>IF(AND(G197&lt;&gt;"",J197&lt;&gt;""),G197/J197,"")</x:f>
        <x:v>3.5125</x:v>
      </x:c>
      <x:c r="L197" s="197" t="n">
        <x:f>IF(AND(G197&lt;&gt;"",I197&lt;&gt;""),G197/I197,"")</x:f>
        <x:v>3.5125</x:v>
      </x:c>
      <x:c r="M197" s="83" t="str">
        <x:v>S09</x:v>
      </x:c>
      <x:c r="N197" s="83" t="str">
        <x:v>Documento di Descrizione degli Scenari 2024</x:v>
      </x:c>
      <x:c r="O197" s="83" t="n">
        <x:v>63</x:v>
      </x:c>
      <x:c r="P197" s="83" t="str">
        <x:v>60-61</x:v>
      </x:c>
      <x:c r="Q197" s="83" t="str">
        <x:v>Tabella 16</x:v>
      </x:c>
      <x:c r="R197" s="83" t="str">
        <x:v>Assunzione di scenario</x:v>
      </x:c>
      <x:c r="S197" s="83" t="str">
        <x:v>Direct table extraction</x:v>
      </x:c>
      <x:c r="T197" s="83" t="str">
        <x:v>A — Direct</x:v>
      </x:c>
      <x:c r="U197" s="83" t="str">
        <x:v>Energy capacity by zone and class; derive power only where duration is specified.</x:v>
      </x:c>
      <x:c r="V197" s="83" t="str">
        <x:v>Small-scale source classes are 2 or 4 hours; utility-scale is 8 hours. CM duration is not stated.</x:v>
      </x:c>
    </x:row>
    <x:row r="198">
      <x:c r="A198" s="83" t="str">
        <x:v>SZ-194</x:v>
      </x:c>
      <x:c r="B198" s="83" t="str">
        <x:v>GA_IT_2035</x:v>
      </x:c>
      <x:c r="C198" s="83" t="n">
        <x:v>2035</x:v>
      </x:c>
      <x:c r="D198" s="83" t="str">
        <x:v>GA-IT 2035</x:v>
      </x:c>
      <x:c r="E198" s="83" t="str">
        <x:v>Sicilia</x:v>
      </x:c>
      <x:c r="F198" s="83" t="str">
        <x:v>Utility Scale</x:v>
      </x:c>
      <x:c r="G198" s="197" t="n">
        <x:v>17.6</x:v>
      </x:c>
      <x:c r="H198" s="203" t="b">
        <x:v>1</x:v>
      </x:c>
      <x:c r="I198" s="197" t="n">
        <x:v>8</x:v>
      </x:c>
      <x:c r="J198" s="197" t="n">
        <x:v>8</x:v>
      </x:c>
      <x:c r="K198" s="197" t="n">
        <x:f>IF(AND(G198&lt;&gt;"",J198&lt;&gt;""),G198/J198,"")</x:f>
        <x:v>2.2</x:v>
      </x:c>
      <x:c r="L198" s="197" t="n">
        <x:f>IF(AND(G198&lt;&gt;"",I198&lt;&gt;""),G198/I198,"")</x:f>
        <x:v>2.2</x:v>
      </x:c>
      <x:c r="M198" s="83" t="str">
        <x:v>S09</x:v>
      </x:c>
      <x:c r="N198" s="83" t="str">
        <x:v>Documento di Descrizione degli Scenari 2024</x:v>
      </x:c>
      <x:c r="O198" s="83" t="n">
        <x:v>63</x:v>
      </x:c>
      <x:c r="P198" s="83" t="str">
        <x:v>60-61</x:v>
      </x:c>
      <x:c r="Q198" s="83" t="str">
        <x:v>Tabella 16</x:v>
      </x:c>
      <x:c r="R198" s="83" t="str">
        <x:v>Assunzione di scenario</x:v>
      </x:c>
      <x:c r="S198" s="83" t="str">
        <x:v>Direct table extraction</x:v>
      </x:c>
      <x:c r="T198" s="83" t="str">
        <x:v>A — Direct</x:v>
      </x:c>
      <x:c r="U198" s="83" t="str">
        <x:v>Energy capacity by zone and class; derive power only where duration is specified.</x:v>
      </x:c>
      <x:c r="V198" s="83" t="str">
        <x:v>Small-scale source classes are 2 or 4 hours; utility-scale is 8 hours. CM duration is not stated.</x:v>
      </x:c>
    </x:row>
    <x:row r="199">
      <x:c r="A199" s="83" t="str">
        <x:v>SZ-195</x:v>
      </x:c>
      <x:c r="B199" s="83" t="str">
        <x:v>PNIEC_SLOW_2035</x:v>
      </x:c>
      <x:c r="C199" s="83" t="n">
        <x:v>2035</x:v>
      </x:c>
      <x:c r="D199" s="83" t="str">
        <x:v>PNIEC Slow 2035</x:v>
      </x:c>
      <x:c r="E199" s="83" t="str">
        <x:v>Sicilia</x:v>
      </x:c>
      <x:c r="F199" s="83" t="str">
        <x:v>Utility Scale</x:v>
      </x:c>
      <x:c r="G199" s="197" t="n">
        <x:v>16.5</x:v>
      </x:c>
      <x:c r="H199" s="203" t="b">
        <x:v>1</x:v>
      </x:c>
      <x:c r="I199" s="197" t="n">
        <x:v>8</x:v>
      </x:c>
      <x:c r="J199" s="197" t="n">
        <x:v>8</x:v>
      </x:c>
      <x:c r="K199" s="197" t="n">
        <x:f>IF(AND(G199&lt;&gt;"",J199&lt;&gt;""),G199/J199,"")</x:f>
        <x:v>2.0625</x:v>
      </x:c>
      <x:c r="L199" s="197" t="n">
        <x:f>IF(AND(G199&lt;&gt;"",I199&lt;&gt;""),G199/I199,"")</x:f>
        <x:v>2.0625</x:v>
      </x:c>
      <x:c r="M199" s="83" t="str">
        <x:v>S09</x:v>
      </x:c>
      <x:c r="N199" s="83" t="str">
        <x:v>Documento di Descrizione degli Scenari 2024</x:v>
      </x:c>
      <x:c r="O199" s="83" t="n">
        <x:v>63</x:v>
      </x:c>
      <x:c r="P199" s="83" t="str">
        <x:v>60-61</x:v>
      </x:c>
      <x:c r="Q199" s="83" t="str">
        <x:v>Tabella 16</x:v>
      </x:c>
      <x:c r="R199" s="83" t="str">
        <x:v>Assunzione di scenario</x:v>
      </x:c>
      <x:c r="S199" s="83" t="str">
        <x:v>Direct table extraction</x:v>
      </x:c>
      <x:c r="T199" s="83" t="str">
        <x:v>A — Direct</x:v>
      </x:c>
      <x:c r="U199" s="83" t="str">
        <x:v>Energy capacity by zone and class; derive power only where duration is specified.</x:v>
      </x:c>
      <x:c r="V199" s="83" t="str">
        <x:v>Small-scale source classes are 2 or 4 hours; utility-scale is 8 hours. CM duration is not stated.</x:v>
      </x:c>
    </x:row>
    <x:row r="200">
      <x:c r="A200" s="83" t="str">
        <x:v>SZ-196</x:v>
      </x:c>
      <x:c r="B200" s="83" t="str">
        <x:v>DE_IT_2040</x:v>
      </x:c>
      <x:c r="C200" s="83" t="n">
        <x:v>2040</x:v>
      </x:c>
      <x:c r="D200" s="83" t="str">
        <x:v>DE-IT 2040</x:v>
      </x:c>
      <x:c r="E200" s="83" t="str">
        <x:v>Sicilia</x:v>
      </x:c>
      <x:c r="F200" s="83" t="str">
        <x:v>Utility Scale</x:v>
      </x:c>
      <x:c r="G200" s="197" t="n">
        <x:v>36.1</x:v>
      </x:c>
      <x:c r="H200" s="203" t="b">
        <x:v>1</x:v>
      </x:c>
      <x:c r="I200" s="197" t="n">
        <x:v>8</x:v>
      </x:c>
      <x:c r="J200" s="197" t="n">
        <x:v>8</x:v>
      </x:c>
      <x:c r="K200" s="197" t="n">
        <x:f>IF(AND(G200&lt;&gt;"",J200&lt;&gt;""),G200/J200,"")</x:f>
        <x:v>4.5125</x:v>
      </x:c>
      <x:c r="L200" s="197" t="n">
        <x:f>IF(AND(G200&lt;&gt;"",I200&lt;&gt;""),G200/I200,"")</x:f>
        <x:v>4.5125</x:v>
      </x:c>
      <x:c r="M200" s="83" t="str">
        <x:v>S09</x:v>
      </x:c>
      <x:c r="N200" s="83" t="str">
        <x:v>Documento di Descrizione degli Scenari 2024</x:v>
      </x:c>
      <x:c r="O200" s="83" t="n">
        <x:v>63</x:v>
      </x:c>
      <x:c r="P200" s="83" t="str">
        <x:v>60-61</x:v>
      </x:c>
      <x:c r="Q200" s="83" t="str">
        <x:v>Tabella 16</x:v>
      </x:c>
      <x:c r="R200" s="83" t="str">
        <x:v>Assunzione di scenario</x:v>
      </x:c>
      <x:c r="S200" s="83" t="str">
        <x:v>Direct table extraction</x:v>
      </x:c>
      <x:c r="T200" s="83" t="str">
        <x:v>A — Direct</x:v>
      </x:c>
      <x:c r="U200" s="83" t="str">
        <x:v>Energy capacity by zone and class; derive power only where duration is specified.</x:v>
      </x:c>
      <x:c r="V200" s="83" t="str">
        <x:v>Small-scale source classes are 2 or 4 hours; utility-scale is 8 hours. CM duration is not stated.</x:v>
      </x:c>
    </x:row>
    <x:row r="201">
      <x:c r="A201" s="83" t="str">
        <x:v>SZ-197</x:v>
      </x:c>
      <x:c r="B201" s="83" t="str">
        <x:v>GA_IT_2040</x:v>
      </x:c>
      <x:c r="C201" s="83" t="n">
        <x:v>2040</x:v>
      </x:c>
      <x:c r="D201" s="83" t="str">
        <x:v>GA-IT 2040</x:v>
      </x:c>
      <x:c r="E201" s="83" t="str">
        <x:v>Sicilia</x:v>
      </x:c>
      <x:c r="F201" s="83" t="str">
        <x:v>Utility Scale</x:v>
      </x:c>
      <x:c r="G201" s="197" t="n">
        <x:v>26.4</x:v>
      </x:c>
      <x:c r="H201" s="203" t="b">
        <x:v>1</x:v>
      </x:c>
      <x:c r="I201" s="197" t="n">
        <x:v>8</x:v>
      </x:c>
      <x:c r="J201" s="197" t="n">
        <x:v>8</x:v>
      </x:c>
      <x:c r="K201" s="197" t="n">
        <x:f>IF(AND(G201&lt;&gt;"",J201&lt;&gt;""),G201/J201,"")</x:f>
        <x:v>3.3</x:v>
      </x:c>
      <x:c r="L201" s="197" t="n">
        <x:f>IF(AND(G201&lt;&gt;"",I201&lt;&gt;""),G201/I201,"")</x:f>
        <x:v>3.3</x:v>
      </x:c>
      <x:c r="M201" s="83" t="str">
        <x:v>S09</x:v>
      </x:c>
      <x:c r="N201" s="83" t="str">
        <x:v>Documento di Descrizione degli Scenari 2024</x:v>
      </x:c>
      <x:c r="O201" s="83" t="n">
        <x:v>63</x:v>
      </x:c>
      <x:c r="P201" s="83" t="str">
        <x:v>60-61</x:v>
      </x:c>
      <x:c r="Q201" s="83" t="str">
        <x:v>Tabella 16</x:v>
      </x:c>
      <x:c r="R201" s="83" t="str">
        <x:v>Assunzione di scenario</x:v>
      </x:c>
      <x:c r="S201" s="83" t="str">
        <x:v>Direct table extraction</x:v>
      </x:c>
      <x:c r="T201" s="83" t="str">
        <x:v>A — Direct</x:v>
      </x:c>
      <x:c r="U201" s="83" t="str">
        <x:v>Energy capacity by zone and class; derive power only where duration is specified.</x:v>
      </x:c>
      <x:c r="V201" s="83" t="str">
        <x:v>Small-scale source classes are 2 or 4 hours; utility-scale is 8 hours. CM duration is not stated.</x:v>
      </x:c>
    </x:row>
    <x:row r="202">
      <x:c r="A202" s="83" t="str">
        <x:v>SZ-198</x:v>
      </x:c>
      <x:c r="B202" s="83" t="str">
        <x:v>PNIEC_SLOW_2040</x:v>
      </x:c>
      <x:c r="C202" s="83" t="n">
        <x:v>2040</x:v>
      </x:c>
      <x:c r="D202" s="83" t="str">
        <x:v>PNIEC Slow 2040</x:v>
      </x:c>
      <x:c r="E202" s="83" t="str">
        <x:v>Sicilia</x:v>
      </x:c>
      <x:c r="F202" s="83" t="str">
        <x:v>Utility Scale</x:v>
      </x:c>
      <x:c r="G202" s="197" t="n">
        <x:v>28.2</x:v>
      </x:c>
      <x:c r="H202" s="203" t="b">
        <x:v>1</x:v>
      </x:c>
      <x:c r="I202" s="197" t="n">
        <x:v>8</x:v>
      </x:c>
      <x:c r="J202" s="197" t="n">
        <x:v>8</x:v>
      </x:c>
      <x:c r="K202" s="197" t="n">
        <x:f>IF(AND(G202&lt;&gt;"",J202&lt;&gt;""),G202/J202,"")</x:f>
        <x:v>3.525</x:v>
      </x:c>
      <x:c r="L202" s="197" t="n">
        <x:f>IF(AND(G202&lt;&gt;"",I202&lt;&gt;""),G202/I202,"")</x:f>
        <x:v>3.525</x:v>
      </x:c>
      <x:c r="M202" s="83" t="str">
        <x:v>S09</x:v>
      </x:c>
      <x:c r="N202" s="83" t="str">
        <x:v>Documento di Descrizione degli Scenari 2024</x:v>
      </x:c>
      <x:c r="O202" s="83" t="n">
        <x:v>63</x:v>
      </x:c>
      <x:c r="P202" s="83" t="str">
        <x:v>60-61</x:v>
      </x:c>
      <x:c r="Q202" s="83" t="str">
        <x:v>Tabella 16</x:v>
      </x:c>
      <x:c r="R202" s="83" t="str">
        <x:v>Assunzione di scenario</x:v>
      </x:c>
      <x:c r="S202" s="83" t="str">
        <x:v>Direct table extraction</x:v>
      </x:c>
      <x:c r="T202" s="83" t="str">
        <x:v>A — Direct</x:v>
      </x:c>
      <x:c r="U202" s="83" t="str">
        <x:v>Energy capacity by zone and class; derive power only where duration is specified.</x:v>
      </x:c>
      <x:c r="V202" s="83" t="str">
        <x:v>Small-scale source classes are 2 or 4 hours; utility-scale is 8 hours. CM duration is not stated.</x:v>
      </x:c>
    </x:row>
    <x:row r="203">
      <x:c r="A203" s="83" t="str">
        <x:v>SZ-199</x:v>
      </x:c>
      <x:c r="B203" s="83" t="str">
        <x:v>HIST_2023</x:v>
      </x:c>
      <x:c r="C203" s="83" t="n">
        <x:v>2023</x:v>
      </x:c>
      <x:c r="D203" s="83" t="str">
        <x:v>Storico 2023</x:v>
      </x:c>
      <x:c r="E203" s="83" t="str">
        <x:v>Sicilia</x:v>
      </x:c>
      <x:c r="F203" s="83" t="str">
        <x:v>CM</x:v>
      </x:c>
      <x:c r="G203" s="197" t="n">
        <x:v>0</x:v>
      </x:c>
      <x:c r="H203" s="203" t="b">
        <x:v>1</x:v>
      </x:c>
      <x:c r="I203" s="197"/>
      <x:c r="J203" s="197"/>
      <x:c r="K203" s="197" t="str">
        <x:f>IF(AND(G203&lt;&gt;"",J203&lt;&gt;""),G203/J203,"")</x:f>
      </x:c>
      <x:c r="L203" s="197" t="str">
        <x:f>IF(AND(G203&lt;&gt;"",I203&lt;&gt;""),G203/I203,"")</x:f>
      </x:c>
      <x:c r="M203" s="83" t="str">
        <x:v>S09</x:v>
      </x:c>
      <x:c r="N203" s="83" t="str">
        <x:v>Documento di Descrizione degli Scenari 2024</x:v>
      </x:c>
      <x:c r="O203" s="83" t="n">
        <x:v>63</x:v>
      </x:c>
      <x:c r="P203" s="83" t="str">
        <x:v>60-61</x:v>
      </x:c>
      <x:c r="Q203" s="83" t="str">
        <x:v>Tabella 16</x:v>
      </x:c>
      <x:c r="R203" s="83" t="str">
        <x:v>Dato osservato storico nel DDS</x:v>
      </x:c>
      <x:c r="S203" s="83" t="str">
        <x:v>Direct table extraction</x:v>
      </x:c>
      <x:c r="T203" s="83" t="str">
        <x:v>A — Direct</x:v>
      </x:c>
      <x:c r="U203" s="83" t="str">
        <x:v>Energy capacity by zone and class; derive power only where duration is specified.</x:v>
      </x:c>
      <x:c r="V203" s="83" t="str">
        <x:v>Small-scale source classes are 2 or 4 hours; utility-scale is 8 hours. CM duration is not stated.</x:v>
      </x:c>
    </x:row>
    <x:row r="204">
      <x:c r="A204" s="83" t="str">
        <x:v>SZ-200</x:v>
      </x:c>
      <x:c r="B204" s="83" t="str">
        <x:v>PNIEC_POLICY_2030</x:v>
      </x:c>
      <x:c r="C204" s="83" t="n">
        <x:v>2030</x:v>
      </x:c>
      <x:c r="D204" s="83" t="str">
        <x:v>PNIEC Policy 2030</x:v>
      </x:c>
      <x:c r="E204" s="83" t="str">
        <x:v>Sicilia</x:v>
      </x:c>
      <x:c r="F204" s="83" t="str">
        <x:v>CM</x:v>
      </x:c>
      <x:c r="G204" s="197" t="n">
        <x:v>0</x:v>
      </x:c>
      <x:c r="H204" s="203" t="b">
        <x:v>1</x:v>
      </x:c>
      <x:c r="I204" s="197"/>
      <x:c r="J204" s="197"/>
      <x:c r="K204" s="197" t="str">
        <x:f>IF(AND(G204&lt;&gt;"",J204&lt;&gt;""),G204/J204,"")</x:f>
      </x:c>
      <x:c r="L204" s="197" t="str">
        <x:f>IF(AND(G204&lt;&gt;"",I204&lt;&gt;""),G204/I204,"")</x:f>
      </x:c>
      <x:c r="M204" s="83" t="str">
        <x:v>S09</x:v>
      </x:c>
      <x:c r="N204" s="83" t="str">
        <x:v>Documento di Descrizione degli Scenari 2024</x:v>
      </x:c>
      <x:c r="O204" s="83" t="n">
        <x:v>63</x:v>
      </x:c>
      <x:c r="P204" s="83" t="str">
        <x:v>60-61</x:v>
      </x:c>
      <x:c r="Q204" s="83" t="str">
        <x:v>Tabella 16</x:v>
      </x:c>
      <x:c r="R204" s="83" t="str">
        <x:v>Assunzione di scenario</x:v>
      </x:c>
      <x:c r="S204" s="83" t="str">
        <x:v>Direct table extraction</x:v>
      </x:c>
      <x:c r="T204" s="83" t="str">
        <x:v>A — Direct</x:v>
      </x:c>
      <x:c r="U204" s="83" t="str">
        <x:v>Energy capacity by zone and class; derive power only where duration is specified.</x:v>
      </x:c>
      <x:c r="V204" s="83" t="str">
        <x:v>Small-scale source classes are 2 or 4 hours; utility-scale is 8 hours. CM duration is not stated.</x:v>
      </x:c>
    </x:row>
    <x:row r="205">
      <x:c r="A205" s="83" t="str">
        <x:v>SZ-201</x:v>
      </x:c>
      <x:c r="B205" s="83" t="str">
        <x:v>PNIEC_SLOW_2030</x:v>
      </x:c>
      <x:c r="C205" s="83" t="n">
        <x:v>2030</x:v>
      </x:c>
      <x:c r="D205" s="83" t="str">
        <x:v>PNIEC Slow 2030</x:v>
      </x:c>
      <x:c r="E205" s="83" t="str">
        <x:v>Sicilia</x:v>
      </x:c>
      <x:c r="F205" s="83" t="str">
        <x:v>CM</x:v>
      </x:c>
      <x:c r="G205" s="197" t="n">
        <x:v>0</x:v>
      </x:c>
      <x:c r="H205" s="203" t="b">
        <x:v>1</x:v>
      </x:c>
      <x:c r="I205" s="197"/>
      <x:c r="J205" s="197"/>
      <x:c r="K205" s="197" t="str">
        <x:f>IF(AND(G205&lt;&gt;"",J205&lt;&gt;""),G205/J205,"")</x:f>
      </x:c>
      <x:c r="L205" s="197" t="str">
        <x:f>IF(AND(G205&lt;&gt;"",I205&lt;&gt;""),G205/I205,"")</x:f>
      </x:c>
      <x:c r="M205" s="83" t="str">
        <x:v>S09</x:v>
      </x:c>
      <x:c r="N205" s="83" t="str">
        <x:v>Documento di Descrizione degli Scenari 2024</x:v>
      </x:c>
      <x:c r="O205" s="83" t="n">
        <x:v>63</x:v>
      </x:c>
      <x:c r="P205" s="83" t="str">
        <x:v>60-61</x:v>
      </x:c>
      <x:c r="Q205" s="83" t="str">
        <x:v>Tabella 16</x:v>
      </x:c>
      <x:c r="R205" s="83" t="str">
        <x:v>Assunzione di scenario</x:v>
      </x:c>
      <x:c r="S205" s="83" t="str">
        <x:v>Direct table extraction</x:v>
      </x:c>
      <x:c r="T205" s="83" t="str">
        <x:v>A — Direct</x:v>
      </x:c>
      <x:c r="U205" s="83" t="str">
        <x:v>Energy capacity by zone and class; derive power only where duration is specified.</x:v>
      </x:c>
      <x:c r="V205" s="83" t="str">
        <x:v>Small-scale source classes are 2 or 4 hours; utility-scale is 8 hours. CM duration is not stated.</x:v>
      </x:c>
    </x:row>
    <x:row r="206">
      <x:c r="A206" s="83" t="str">
        <x:v>SZ-202</x:v>
      </x:c>
      <x:c r="B206" s="83" t="str">
        <x:v>DE_IT_2035</x:v>
      </x:c>
      <x:c r="C206" s="83" t="n">
        <x:v>2035</x:v>
      </x:c>
      <x:c r="D206" s="83" t="str">
        <x:v>DE-IT 2035</x:v>
      </x:c>
      <x:c r="E206" s="83" t="str">
        <x:v>Sicilia</x:v>
      </x:c>
      <x:c r="F206" s="83" t="str">
        <x:v>CM</x:v>
      </x:c>
      <x:c r="G206" s="197" t="n">
        <x:v>0</x:v>
      </x:c>
      <x:c r="H206" s="203" t="b">
        <x:v>1</x:v>
      </x:c>
      <x:c r="I206" s="197"/>
      <x:c r="J206" s="197"/>
      <x:c r="K206" s="197" t="str">
        <x:f>IF(AND(G206&lt;&gt;"",J206&lt;&gt;""),G206/J206,"")</x:f>
      </x:c>
      <x:c r="L206" s="197" t="str">
        <x:f>IF(AND(G206&lt;&gt;"",I206&lt;&gt;""),G206/I206,"")</x:f>
      </x:c>
      <x:c r="M206" s="83" t="str">
        <x:v>S09</x:v>
      </x:c>
      <x:c r="N206" s="83" t="str">
        <x:v>Documento di Descrizione degli Scenari 2024</x:v>
      </x:c>
      <x:c r="O206" s="83" t="n">
        <x:v>63</x:v>
      </x:c>
      <x:c r="P206" s="83" t="str">
        <x:v>60-61</x:v>
      </x:c>
      <x:c r="Q206" s="83" t="str">
        <x:v>Tabella 16</x:v>
      </x:c>
      <x:c r="R206" s="83" t="str">
        <x:v>Assunzione di scenario</x:v>
      </x:c>
      <x:c r="S206" s="83" t="str">
        <x:v>Direct table extraction</x:v>
      </x:c>
      <x:c r="T206" s="83" t="str">
        <x:v>A — Direct</x:v>
      </x:c>
      <x:c r="U206" s="83" t="str">
        <x:v>Energy capacity by zone and class; derive power only where duration is specified.</x:v>
      </x:c>
      <x:c r="V206" s="83" t="str">
        <x:v>Small-scale source classes are 2 or 4 hours; utility-scale is 8 hours. CM duration is not stated.</x:v>
      </x:c>
    </x:row>
    <x:row r="207">
      <x:c r="A207" s="83" t="str">
        <x:v>SZ-203</x:v>
      </x:c>
      <x:c r="B207" s="83" t="str">
        <x:v>GA_IT_2035</x:v>
      </x:c>
      <x:c r="C207" s="83" t="n">
        <x:v>2035</x:v>
      </x:c>
      <x:c r="D207" s="83" t="str">
        <x:v>GA-IT 2035</x:v>
      </x:c>
      <x:c r="E207" s="83" t="str">
        <x:v>Sicilia</x:v>
      </x:c>
      <x:c r="F207" s="83" t="str">
        <x:v>CM</x:v>
      </x:c>
      <x:c r="G207" s="197" t="n">
        <x:v>0</x:v>
      </x:c>
      <x:c r="H207" s="203" t="b">
        <x:v>1</x:v>
      </x:c>
      <x:c r="I207" s="197"/>
      <x:c r="J207" s="197"/>
      <x:c r="K207" s="197" t="str">
        <x:f>IF(AND(G207&lt;&gt;"",J207&lt;&gt;""),G207/J207,"")</x:f>
      </x:c>
      <x:c r="L207" s="197" t="str">
        <x:f>IF(AND(G207&lt;&gt;"",I207&lt;&gt;""),G207/I207,"")</x:f>
      </x:c>
      <x:c r="M207" s="83" t="str">
        <x:v>S09</x:v>
      </x:c>
      <x:c r="N207" s="83" t="str">
        <x:v>Documento di Descrizione degli Scenari 2024</x:v>
      </x:c>
      <x:c r="O207" s="83" t="n">
        <x:v>63</x:v>
      </x:c>
      <x:c r="P207" s="83" t="str">
        <x:v>60-61</x:v>
      </x:c>
      <x:c r="Q207" s="83" t="str">
        <x:v>Tabella 16</x:v>
      </x:c>
      <x:c r="R207" s="83" t="str">
        <x:v>Assunzione di scenario</x:v>
      </x:c>
      <x:c r="S207" s="83" t="str">
        <x:v>Direct table extraction</x:v>
      </x:c>
      <x:c r="T207" s="83" t="str">
        <x:v>A — Direct</x:v>
      </x:c>
      <x:c r="U207" s="83" t="str">
        <x:v>Energy capacity by zone and class; derive power only where duration is specified.</x:v>
      </x:c>
      <x:c r="V207" s="83" t="str">
        <x:v>Small-scale source classes are 2 or 4 hours; utility-scale is 8 hours. CM duration is not stated.</x:v>
      </x:c>
    </x:row>
    <x:row r="208">
      <x:c r="A208" s="83" t="str">
        <x:v>SZ-204</x:v>
      </x:c>
      <x:c r="B208" s="83" t="str">
        <x:v>PNIEC_SLOW_2035</x:v>
      </x:c>
      <x:c r="C208" s="83" t="n">
        <x:v>2035</x:v>
      </x:c>
      <x:c r="D208" s="83" t="str">
        <x:v>PNIEC Slow 2035</x:v>
      </x:c>
      <x:c r="E208" s="83" t="str">
        <x:v>Sicilia</x:v>
      </x:c>
      <x:c r="F208" s="83" t="str">
        <x:v>CM</x:v>
      </x:c>
      <x:c r="G208" s="197" t="n">
        <x:v>0</x:v>
      </x:c>
      <x:c r="H208" s="203" t="b">
        <x:v>1</x:v>
      </x:c>
      <x:c r="I208" s="197"/>
      <x:c r="J208" s="197"/>
      <x:c r="K208" s="197" t="str">
        <x:f>IF(AND(G208&lt;&gt;"",J208&lt;&gt;""),G208/J208,"")</x:f>
      </x:c>
      <x:c r="L208" s="197" t="str">
        <x:f>IF(AND(G208&lt;&gt;"",I208&lt;&gt;""),G208/I208,"")</x:f>
      </x:c>
      <x:c r="M208" s="83" t="str">
        <x:v>S09</x:v>
      </x:c>
      <x:c r="N208" s="83" t="str">
        <x:v>Documento di Descrizione degli Scenari 2024</x:v>
      </x:c>
      <x:c r="O208" s="83" t="n">
        <x:v>63</x:v>
      </x:c>
      <x:c r="P208" s="83" t="str">
        <x:v>60-61</x:v>
      </x:c>
      <x:c r="Q208" s="83" t="str">
        <x:v>Tabella 16</x:v>
      </x:c>
      <x:c r="R208" s="83" t="str">
        <x:v>Assunzione di scenario</x:v>
      </x:c>
      <x:c r="S208" s="83" t="str">
        <x:v>Direct table extraction</x:v>
      </x:c>
      <x:c r="T208" s="83" t="str">
        <x:v>A — Direct</x:v>
      </x:c>
      <x:c r="U208" s="83" t="str">
        <x:v>Energy capacity by zone and class; derive power only where duration is specified.</x:v>
      </x:c>
      <x:c r="V208" s="83" t="str">
        <x:v>Small-scale source classes are 2 or 4 hours; utility-scale is 8 hours. CM duration is not stated.</x:v>
      </x:c>
    </x:row>
    <x:row r="209">
      <x:c r="A209" s="83" t="str">
        <x:v>SZ-205</x:v>
      </x:c>
      <x:c r="B209" s="83" t="str">
        <x:v>DE_IT_2040</x:v>
      </x:c>
      <x:c r="C209" s="83" t="n">
        <x:v>2040</x:v>
      </x:c>
      <x:c r="D209" s="83" t="str">
        <x:v>DE-IT 2040</x:v>
      </x:c>
      <x:c r="E209" s="83" t="str">
        <x:v>Sicilia</x:v>
      </x:c>
      <x:c r="F209" s="83" t="str">
        <x:v>CM</x:v>
      </x:c>
      <x:c r="G209" s="197" t="n">
        <x:v>0</x:v>
      </x:c>
      <x:c r="H209" s="203" t="b">
        <x:v>1</x:v>
      </x:c>
      <x:c r="I209" s="197"/>
      <x:c r="J209" s="197"/>
      <x:c r="K209" s="197" t="str">
        <x:f>IF(AND(G209&lt;&gt;"",J209&lt;&gt;""),G209/J209,"")</x:f>
      </x:c>
      <x:c r="L209" s="197" t="str">
        <x:f>IF(AND(G209&lt;&gt;"",I209&lt;&gt;""),G209/I209,"")</x:f>
      </x:c>
      <x:c r="M209" s="83" t="str">
        <x:v>S09</x:v>
      </x:c>
      <x:c r="N209" s="83" t="str">
        <x:v>Documento di Descrizione degli Scenari 2024</x:v>
      </x:c>
      <x:c r="O209" s="83" t="n">
        <x:v>63</x:v>
      </x:c>
      <x:c r="P209" s="83" t="str">
        <x:v>60-61</x:v>
      </x:c>
      <x:c r="Q209" s="83" t="str">
        <x:v>Tabella 16</x:v>
      </x:c>
      <x:c r="R209" s="83" t="str">
        <x:v>Assunzione di scenario</x:v>
      </x:c>
      <x:c r="S209" s="83" t="str">
        <x:v>Direct table extraction</x:v>
      </x:c>
      <x:c r="T209" s="83" t="str">
        <x:v>A — Direct</x:v>
      </x:c>
      <x:c r="U209" s="83" t="str">
        <x:v>Energy capacity by zone and class; derive power only where duration is specified.</x:v>
      </x:c>
      <x:c r="V209" s="83" t="str">
        <x:v>Small-scale source classes are 2 or 4 hours; utility-scale is 8 hours. CM duration is not stated.</x:v>
      </x:c>
    </x:row>
    <x:row r="210">
      <x:c r="A210" s="83" t="str">
        <x:v>SZ-206</x:v>
      </x:c>
      <x:c r="B210" s="83" t="str">
        <x:v>GA_IT_2040</x:v>
      </x:c>
      <x:c r="C210" s="83" t="n">
        <x:v>2040</x:v>
      </x:c>
      <x:c r="D210" s="83" t="str">
        <x:v>GA-IT 2040</x:v>
      </x:c>
      <x:c r="E210" s="83" t="str">
        <x:v>Sicilia</x:v>
      </x:c>
      <x:c r="F210" s="83" t="str">
        <x:v>CM</x:v>
      </x:c>
      <x:c r="G210" s="197" t="n">
        <x:v>0</x:v>
      </x:c>
      <x:c r="H210" s="203" t="b">
        <x:v>1</x:v>
      </x:c>
      <x:c r="I210" s="197"/>
      <x:c r="J210" s="197"/>
      <x:c r="K210" s="197" t="str">
        <x:f>IF(AND(G210&lt;&gt;"",J210&lt;&gt;""),G210/J210,"")</x:f>
      </x:c>
      <x:c r="L210" s="197" t="str">
        <x:f>IF(AND(G210&lt;&gt;"",I210&lt;&gt;""),G210/I210,"")</x:f>
      </x:c>
      <x:c r="M210" s="83" t="str">
        <x:v>S09</x:v>
      </x:c>
      <x:c r="N210" s="83" t="str">
        <x:v>Documento di Descrizione degli Scenari 2024</x:v>
      </x:c>
      <x:c r="O210" s="83" t="n">
        <x:v>63</x:v>
      </x:c>
      <x:c r="P210" s="83" t="str">
        <x:v>60-61</x:v>
      </x:c>
      <x:c r="Q210" s="83" t="str">
        <x:v>Tabella 16</x:v>
      </x:c>
      <x:c r="R210" s="83" t="str">
        <x:v>Assunzione di scenario</x:v>
      </x:c>
      <x:c r="S210" s="83" t="str">
        <x:v>Direct table extraction</x:v>
      </x:c>
      <x:c r="T210" s="83" t="str">
        <x:v>A — Direct</x:v>
      </x:c>
      <x:c r="U210" s="83" t="str">
        <x:v>Energy capacity by zone and class; derive power only where duration is specified.</x:v>
      </x:c>
      <x:c r="V210" s="83" t="str">
        <x:v>Small-scale source classes are 2 or 4 hours; utility-scale is 8 hours. CM duration is not stated.</x:v>
      </x:c>
    </x:row>
    <x:row r="211">
      <x:c r="A211" s="83" t="str">
        <x:v>SZ-207</x:v>
      </x:c>
      <x:c r="B211" s="83" t="str">
        <x:v>PNIEC_SLOW_2040</x:v>
      </x:c>
      <x:c r="C211" s="83" t="n">
        <x:v>2040</x:v>
      </x:c>
      <x:c r="D211" s="83" t="str">
        <x:v>PNIEC Slow 2040</x:v>
      </x:c>
      <x:c r="E211" s="83" t="str">
        <x:v>Sicilia</x:v>
      </x:c>
      <x:c r="F211" s="83" t="str">
        <x:v>CM</x:v>
      </x:c>
      <x:c r="G211" s="197" t="n">
        <x:v>0</x:v>
      </x:c>
      <x:c r="H211" s="203" t="b">
        <x:v>1</x:v>
      </x:c>
      <x:c r="I211" s="197"/>
      <x:c r="J211" s="197"/>
      <x:c r="K211" s="197" t="str">
        <x:f>IF(AND(G211&lt;&gt;"",J211&lt;&gt;""),G211/J211,"")</x:f>
      </x:c>
      <x:c r="L211" s="197" t="str">
        <x:f>IF(AND(G211&lt;&gt;"",I211&lt;&gt;""),G211/I211,"")</x:f>
      </x:c>
      <x:c r="M211" s="83" t="str">
        <x:v>S09</x:v>
      </x:c>
      <x:c r="N211" s="83" t="str">
        <x:v>Documento di Descrizione degli Scenari 2024</x:v>
      </x:c>
      <x:c r="O211" s="83" t="n">
        <x:v>63</x:v>
      </x:c>
      <x:c r="P211" s="83" t="str">
        <x:v>60-61</x:v>
      </x:c>
      <x:c r="Q211" s="83" t="str">
        <x:v>Tabella 16</x:v>
      </x:c>
      <x:c r="R211" s="83" t="str">
        <x:v>Assunzione di scenario</x:v>
      </x:c>
      <x:c r="S211" s="83" t="str">
        <x:v>Direct table extraction</x:v>
      </x:c>
      <x:c r="T211" s="83" t="str">
        <x:v>A — Direct</x:v>
      </x:c>
      <x:c r="U211" s="83" t="str">
        <x:v>Energy capacity by zone and class; derive power only where duration is specified.</x:v>
      </x:c>
      <x:c r="V211" s="83" t="str">
        <x:v>Small-scale source classes are 2 or 4 hours; utility-scale is 8 hours. CM duration is not stated.</x:v>
      </x:c>
    </x:row>
    <x:row r="212">
      <x:c r="A212" s="83" t="str">
        <x:v>SZ-208</x:v>
      </x:c>
      <x:c r="B212" s="83" t="str">
        <x:v>HIST_2023</x:v>
      </x:c>
      <x:c r="C212" s="83" t="n">
        <x:v>2023</x:v>
      </x:c>
      <x:c r="D212" s="83" t="str">
        <x:v>Storico 2023</x:v>
      </x:c>
      <x:c r="E212" s="83" t="str">
        <x:v>Sicilia</x:v>
      </x:c>
      <x:c r="F212" s="83" t="str">
        <x:v>Totale</x:v>
      </x:c>
      <x:c r="G212" s="197" t="n">
        <x:v>0.4</x:v>
      </x:c>
      <x:c r="H212" s="203" t="b">
        <x:v>1</x:v>
      </x:c>
      <x:c r="I212" s="197"/>
      <x:c r="J212" s="197"/>
      <x:c r="K212" s="197" t="str">
        <x:f>IF(AND(G212&lt;&gt;"",J212&lt;&gt;""),G212/J212,"")</x:f>
      </x:c>
      <x:c r="L212" s="197" t="str">
        <x:f>IF(AND(G212&lt;&gt;"",I212&lt;&gt;""),G212/I212,"")</x:f>
      </x:c>
      <x:c r="M212" s="83" t="str">
        <x:v>S09</x:v>
      </x:c>
      <x:c r="N212" s="83" t="str">
        <x:v>Documento di Descrizione degli Scenari 2024</x:v>
      </x:c>
      <x:c r="O212" s="83" t="n">
        <x:v>63</x:v>
      </x:c>
      <x:c r="P212" s="83" t="str">
        <x:v>60-61</x:v>
      </x:c>
      <x:c r="Q212" s="83" t="str">
        <x:v>Tabella 16</x:v>
      </x:c>
      <x:c r="R212" s="83" t="str">
        <x:v>Dato osservato storico nel DDS</x:v>
      </x:c>
      <x:c r="S212" s="83" t="str">
        <x:v>Direct table extraction</x:v>
      </x:c>
      <x:c r="T212" s="83" t="str">
        <x:v>A — Direct</x:v>
      </x:c>
      <x:c r="U212" s="83" t="str">
        <x:v>Energy capacity by zone and class; derive power only where duration is specified.</x:v>
      </x:c>
      <x:c r="V212" s="83" t="str">
        <x:v>Small-scale source classes are 2 or 4 hours; utility-scale is 8 hours. CM duration is not stated.</x:v>
      </x:c>
    </x:row>
    <x:row r="213">
      <x:c r="A213" s="83" t="str">
        <x:v>SZ-209</x:v>
      </x:c>
      <x:c r="B213" s="83" t="str">
        <x:v>PNIEC_POLICY_2030</x:v>
      </x:c>
      <x:c r="C213" s="83" t="n">
        <x:v>2030</x:v>
      </x:c>
      <x:c r="D213" s="83" t="str">
        <x:v>PNIEC Policy 2030</x:v>
      </x:c>
      <x:c r="E213" s="83" t="str">
        <x:v>Sicilia</x:v>
      </x:c>
      <x:c r="F213" s="83" t="str">
        <x:v>Totale</x:v>
      </x:c>
      <x:c r="G213" s="197" t="n">
        <x:v>14.4</x:v>
      </x:c>
      <x:c r="H213" s="203" t="b">
        <x:v>1</x:v>
      </x:c>
      <x:c r="I213" s="197"/>
      <x:c r="J213" s="197"/>
      <x:c r="K213" s="197" t="str">
        <x:f>IF(AND(G213&lt;&gt;"",J213&lt;&gt;""),G213/J213,"")</x:f>
      </x:c>
      <x:c r="L213" s="197" t="str">
        <x:f>IF(AND(G213&lt;&gt;"",I213&lt;&gt;""),G213/I213,"")</x:f>
      </x:c>
      <x:c r="M213" s="83" t="str">
        <x:v>S09</x:v>
      </x:c>
      <x:c r="N213" s="83" t="str">
        <x:v>Documento di Descrizione degli Scenari 2024</x:v>
      </x:c>
      <x:c r="O213" s="83" t="n">
        <x:v>63</x:v>
      </x:c>
      <x:c r="P213" s="83" t="str">
        <x:v>60-61</x:v>
      </x:c>
      <x:c r="Q213" s="83" t="str">
        <x:v>Tabella 16</x:v>
      </x:c>
      <x:c r="R213" s="83" t="str">
        <x:v>Assunzione di scenario</x:v>
      </x:c>
      <x:c r="S213" s="83" t="str">
        <x:v>Direct table extraction</x:v>
      </x:c>
      <x:c r="T213" s="83" t="str">
        <x:v>A — Direct</x:v>
      </x:c>
      <x:c r="U213" s="83" t="str">
        <x:v>Energy capacity by zone and class; derive power only where duration is specified.</x:v>
      </x:c>
      <x:c r="V213" s="83" t="str">
        <x:v>Small-scale source classes are 2 or 4 hours; utility-scale is 8 hours. CM duration is not stated.</x:v>
      </x:c>
    </x:row>
    <x:row r="214">
      <x:c r="A214" s="83" t="str">
        <x:v>SZ-210</x:v>
      </x:c>
      <x:c r="B214" s="83" t="str">
        <x:v>PNIEC_SLOW_2030</x:v>
      </x:c>
      <x:c r="C214" s="83" t="n">
        <x:v>2030</x:v>
      </x:c>
      <x:c r="D214" s="83" t="str">
        <x:v>PNIEC Slow 2030</x:v>
      </x:c>
      <x:c r="E214" s="83" t="str">
        <x:v>Sicilia</x:v>
      </x:c>
      <x:c r="F214" s="83" t="str">
        <x:v>Totale</x:v>
      </x:c>
      <x:c r="G214" s="197" t="n">
        <x:v>6.8</x:v>
      </x:c>
      <x:c r="H214" s="203" t="b">
        <x:v>1</x:v>
      </x:c>
      <x:c r="I214" s="197"/>
      <x:c r="J214" s="197"/>
      <x:c r="K214" s="197" t="str">
        <x:f>IF(AND(G214&lt;&gt;"",J214&lt;&gt;""),G214/J214,"")</x:f>
      </x:c>
      <x:c r="L214" s="197" t="str">
        <x:f>IF(AND(G214&lt;&gt;"",I214&lt;&gt;""),G214/I214,"")</x:f>
      </x:c>
      <x:c r="M214" s="83" t="str">
        <x:v>S09</x:v>
      </x:c>
      <x:c r="N214" s="83" t="str">
        <x:v>Documento di Descrizione degli Scenari 2024</x:v>
      </x:c>
      <x:c r="O214" s="83" t="n">
        <x:v>63</x:v>
      </x:c>
      <x:c r="P214" s="83" t="str">
        <x:v>60-61</x:v>
      </x:c>
      <x:c r="Q214" s="83" t="str">
        <x:v>Tabella 16</x:v>
      </x:c>
      <x:c r="R214" s="83" t="str">
        <x:v>Assunzione di scenario</x:v>
      </x:c>
      <x:c r="S214" s="83" t="str">
        <x:v>Direct table extraction</x:v>
      </x:c>
      <x:c r="T214" s="83" t="str">
        <x:v>A — Direct</x:v>
      </x:c>
      <x:c r="U214" s="83" t="str">
        <x:v>Energy capacity by zone and class; derive power only where duration is specified.</x:v>
      </x:c>
      <x:c r="V214" s="83" t="str">
        <x:v>Small-scale source classes are 2 or 4 hours; utility-scale is 8 hours. CM duration is not stated.</x:v>
      </x:c>
    </x:row>
    <x:row r="215">
      <x:c r="A215" s="83" t="str">
        <x:v>SZ-211</x:v>
      </x:c>
      <x:c r="B215" s="83" t="str">
        <x:v>DE_IT_2035</x:v>
      </x:c>
      <x:c r="C215" s="83" t="n">
        <x:v>2035</x:v>
      </x:c>
      <x:c r="D215" s="83" t="str">
        <x:v>DE-IT 2035</x:v>
      </x:c>
      <x:c r="E215" s="83" t="str">
        <x:v>Sicilia</x:v>
      </x:c>
      <x:c r="F215" s="83" t="str">
        <x:v>Totale</x:v>
      </x:c>
      <x:c r="G215" s="197" t="n">
        <x:v>29</x:v>
      </x:c>
      <x:c r="H215" s="203" t="b">
        <x:v>1</x:v>
      </x:c>
      <x:c r="I215" s="197"/>
      <x:c r="J215" s="197"/>
      <x:c r="K215" s="197" t="str">
        <x:f>IF(AND(G215&lt;&gt;"",J215&lt;&gt;""),G215/J215,"")</x:f>
      </x:c>
      <x:c r="L215" s="197" t="str">
        <x:f>IF(AND(G215&lt;&gt;"",I215&lt;&gt;""),G215/I215,"")</x:f>
      </x:c>
      <x:c r="M215" s="83" t="str">
        <x:v>S09</x:v>
      </x:c>
      <x:c r="N215" s="83" t="str">
        <x:v>Documento di Descrizione degli Scenari 2024</x:v>
      </x:c>
      <x:c r="O215" s="83" t="n">
        <x:v>63</x:v>
      </x:c>
      <x:c r="P215" s="83" t="str">
        <x:v>60-61</x:v>
      </x:c>
      <x:c r="Q215" s="83" t="str">
        <x:v>Tabella 16</x:v>
      </x:c>
      <x:c r="R215" s="83" t="str">
        <x:v>Assunzione di scenario</x:v>
      </x:c>
      <x:c r="S215" s="83" t="str">
        <x:v>Direct table extraction</x:v>
      </x:c>
      <x:c r="T215" s="83" t="str">
        <x:v>A — Direct</x:v>
      </x:c>
      <x:c r="U215" s="83" t="str">
        <x:v>Energy capacity by zone and class; derive power only where duration is specified.</x:v>
      </x:c>
      <x:c r="V215" s="83" t="str">
        <x:v>Small-scale source classes are 2 or 4 hours; utility-scale is 8 hours. CM duration is not stated.</x:v>
      </x:c>
    </x:row>
    <x:row r="216">
      <x:c r="A216" s="83" t="str">
        <x:v>SZ-212</x:v>
      </x:c>
      <x:c r="B216" s="83" t="str">
        <x:v>GA_IT_2035</x:v>
      </x:c>
      <x:c r="C216" s="83" t="n">
        <x:v>2035</x:v>
      </x:c>
      <x:c r="D216" s="83" t="str">
        <x:v>GA-IT 2035</x:v>
      </x:c>
      <x:c r="E216" s="83" t="str">
        <x:v>Sicilia</x:v>
      </x:c>
      <x:c r="F216" s="83" t="str">
        <x:v>Totale</x:v>
      </x:c>
      <x:c r="G216" s="197" t="n">
        <x:v>18.6</x:v>
      </x:c>
      <x:c r="H216" s="203" t="b">
        <x:v>1</x:v>
      </x:c>
      <x:c r="I216" s="197"/>
      <x:c r="J216" s="197"/>
      <x:c r="K216" s="197" t="str">
        <x:f>IF(AND(G216&lt;&gt;"",J216&lt;&gt;""),G216/J216,"")</x:f>
      </x:c>
      <x:c r="L216" s="197" t="str">
        <x:f>IF(AND(G216&lt;&gt;"",I216&lt;&gt;""),G216/I216,"")</x:f>
      </x:c>
      <x:c r="M216" s="83" t="str">
        <x:v>S09</x:v>
      </x:c>
      <x:c r="N216" s="83" t="str">
        <x:v>Documento di Descrizione degli Scenari 2024</x:v>
      </x:c>
      <x:c r="O216" s="83" t="n">
        <x:v>63</x:v>
      </x:c>
      <x:c r="P216" s="83" t="str">
        <x:v>60-61</x:v>
      </x:c>
      <x:c r="Q216" s="83" t="str">
        <x:v>Tabella 16</x:v>
      </x:c>
      <x:c r="R216" s="83" t="str">
        <x:v>Assunzione di scenario</x:v>
      </x:c>
      <x:c r="S216" s="83" t="str">
        <x:v>Direct table extraction</x:v>
      </x:c>
      <x:c r="T216" s="83" t="str">
        <x:v>A — Direct</x:v>
      </x:c>
      <x:c r="U216" s="83" t="str">
        <x:v>Energy capacity by zone and class; derive power only where duration is specified.</x:v>
      </x:c>
      <x:c r="V216" s="83" t="str">
        <x:v>Small-scale source classes are 2 or 4 hours; utility-scale is 8 hours. CM duration is not stated.</x:v>
      </x:c>
    </x:row>
    <x:row r="217">
      <x:c r="A217" s="83" t="str">
        <x:v>SZ-213</x:v>
      </x:c>
      <x:c r="B217" s="83" t="str">
        <x:v>PNIEC_SLOW_2035</x:v>
      </x:c>
      <x:c r="C217" s="83" t="n">
        <x:v>2035</x:v>
      </x:c>
      <x:c r="D217" s="83" t="str">
        <x:v>PNIEC Slow 2035</x:v>
      </x:c>
      <x:c r="E217" s="83" t="str">
        <x:v>Sicilia</x:v>
      </x:c>
      <x:c r="F217" s="83" t="str">
        <x:v>Totale</x:v>
      </x:c>
      <x:c r="G217" s="197" t="n">
        <x:v>17.4</x:v>
      </x:c>
      <x:c r="H217" s="203" t="b">
        <x:v>1</x:v>
      </x:c>
      <x:c r="I217" s="197"/>
      <x:c r="J217" s="197"/>
      <x:c r="K217" s="197" t="str">
        <x:f>IF(AND(G217&lt;&gt;"",J217&lt;&gt;""),G217/J217,"")</x:f>
      </x:c>
      <x:c r="L217" s="197" t="str">
        <x:f>IF(AND(G217&lt;&gt;"",I217&lt;&gt;""),G217/I217,"")</x:f>
      </x:c>
      <x:c r="M217" s="83" t="str">
        <x:v>S09</x:v>
      </x:c>
      <x:c r="N217" s="83" t="str">
        <x:v>Documento di Descrizione degli Scenari 2024</x:v>
      </x:c>
      <x:c r="O217" s="83" t="n">
        <x:v>63</x:v>
      </x:c>
      <x:c r="P217" s="83" t="str">
        <x:v>60-61</x:v>
      </x:c>
      <x:c r="Q217" s="83" t="str">
        <x:v>Tabella 16</x:v>
      </x:c>
      <x:c r="R217" s="83" t="str">
        <x:v>Assunzione di scenario</x:v>
      </x:c>
      <x:c r="S217" s="83" t="str">
        <x:v>Direct table extraction</x:v>
      </x:c>
      <x:c r="T217" s="83" t="str">
        <x:v>A — Direct</x:v>
      </x:c>
      <x:c r="U217" s="83" t="str">
        <x:v>Energy capacity by zone and class; derive power only where duration is specified.</x:v>
      </x:c>
      <x:c r="V217" s="83" t="str">
        <x:v>Small-scale source classes are 2 or 4 hours; utility-scale is 8 hours. CM duration is not stated.</x:v>
      </x:c>
    </x:row>
    <x:row r="218">
      <x:c r="A218" s="83" t="str">
        <x:v>SZ-214</x:v>
      </x:c>
      <x:c r="B218" s="83" t="str">
        <x:v>DE_IT_2040</x:v>
      </x:c>
      <x:c r="C218" s="83" t="n">
        <x:v>2040</x:v>
      </x:c>
      <x:c r="D218" s="83" t="str">
        <x:v>DE-IT 2040</x:v>
      </x:c>
      <x:c r="E218" s="83" t="str">
        <x:v>Sicilia</x:v>
      </x:c>
      <x:c r="F218" s="83" t="str">
        <x:v>Totale</x:v>
      </x:c>
      <x:c r="G218" s="197" t="n">
        <x:v>37.2</x:v>
      </x:c>
      <x:c r="H218" s="203" t="b">
        <x:v>1</x:v>
      </x:c>
      <x:c r="I218" s="197"/>
      <x:c r="J218" s="197"/>
      <x:c r="K218" s="197" t="str">
        <x:f>IF(AND(G218&lt;&gt;"",J218&lt;&gt;""),G218/J218,"")</x:f>
      </x:c>
      <x:c r="L218" s="197" t="str">
        <x:f>IF(AND(G218&lt;&gt;"",I218&lt;&gt;""),G218/I218,"")</x:f>
      </x:c>
      <x:c r="M218" s="83" t="str">
        <x:v>S09</x:v>
      </x:c>
      <x:c r="N218" s="83" t="str">
        <x:v>Documento di Descrizione degli Scenari 2024</x:v>
      </x:c>
      <x:c r="O218" s="83" t="n">
        <x:v>63</x:v>
      </x:c>
      <x:c r="P218" s="83" t="str">
        <x:v>60-61</x:v>
      </x:c>
      <x:c r="Q218" s="83" t="str">
        <x:v>Tabella 16</x:v>
      </x:c>
      <x:c r="R218" s="83" t="str">
        <x:v>Assunzione di scenario</x:v>
      </x:c>
      <x:c r="S218" s="83" t="str">
        <x:v>Direct table extraction</x:v>
      </x:c>
      <x:c r="T218" s="83" t="str">
        <x:v>A — Direct</x:v>
      </x:c>
      <x:c r="U218" s="83" t="str">
        <x:v>Energy capacity by zone and class; derive power only where duration is specified.</x:v>
      </x:c>
      <x:c r="V218" s="83" t="str">
        <x:v>Small-scale source classes are 2 or 4 hours; utility-scale is 8 hours. CM duration is not stated.</x:v>
      </x:c>
    </x:row>
    <x:row r="219">
      <x:c r="A219" s="83" t="str">
        <x:v>SZ-215</x:v>
      </x:c>
      <x:c r="B219" s="83" t="str">
        <x:v>GA_IT_2040</x:v>
      </x:c>
      <x:c r="C219" s="83" t="n">
        <x:v>2040</x:v>
      </x:c>
      <x:c r="D219" s="83" t="str">
        <x:v>GA-IT 2040</x:v>
      </x:c>
      <x:c r="E219" s="83" t="str">
        <x:v>Sicilia</x:v>
      </x:c>
      <x:c r="F219" s="83" t="str">
        <x:v>Totale</x:v>
      </x:c>
      <x:c r="G219" s="197" t="n">
        <x:v>27.5</x:v>
      </x:c>
      <x:c r="H219" s="203" t="b">
        <x:v>1</x:v>
      </x:c>
      <x:c r="I219" s="197"/>
      <x:c r="J219" s="197"/>
      <x:c r="K219" s="197" t="str">
        <x:f>IF(AND(G219&lt;&gt;"",J219&lt;&gt;""),G219/J219,"")</x:f>
      </x:c>
      <x:c r="L219" s="197" t="str">
        <x:f>IF(AND(G219&lt;&gt;"",I219&lt;&gt;""),G219/I219,"")</x:f>
      </x:c>
      <x:c r="M219" s="83" t="str">
        <x:v>S09</x:v>
      </x:c>
      <x:c r="N219" s="83" t="str">
        <x:v>Documento di Descrizione degli Scenari 2024</x:v>
      </x:c>
      <x:c r="O219" s="83" t="n">
        <x:v>63</x:v>
      </x:c>
      <x:c r="P219" s="83" t="str">
        <x:v>60-61</x:v>
      </x:c>
      <x:c r="Q219" s="83" t="str">
        <x:v>Tabella 16</x:v>
      </x:c>
      <x:c r="R219" s="83" t="str">
        <x:v>Assunzione di scenario</x:v>
      </x:c>
      <x:c r="S219" s="83" t="str">
        <x:v>Direct table extraction</x:v>
      </x:c>
      <x:c r="T219" s="83" t="str">
        <x:v>A — Direct</x:v>
      </x:c>
      <x:c r="U219" s="83" t="str">
        <x:v>Energy capacity by zone and class; derive power only where duration is specified.</x:v>
      </x:c>
      <x:c r="V219" s="83" t="str">
        <x:v>Small-scale source classes are 2 or 4 hours; utility-scale is 8 hours. CM duration is not stated.</x:v>
      </x:c>
    </x:row>
    <x:row r="220">
      <x:c r="A220" s="83" t="str">
        <x:v>SZ-216</x:v>
      </x:c>
      <x:c r="B220" s="83" t="str">
        <x:v>PNIEC_SLOW_2040</x:v>
      </x:c>
      <x:c r="C220" s="83" t="n">
        <x:v>2040</x:v>
      </x:c>
      <x:c r="D220" s="83" t="str">
        <x:v>PNIEC Slow 2040</x:v>
      </x:c>
      <x:c r="E220" s="83" t="str">
        <x:v>Sicilia</x:v>
      </x:c>
      <x:c r="F220" s="83" t="str">
        <x:v>Totale</x:v>
      </x:c>
      <x:c r="G220" s="197" t="n">
        <x:v>29.2</x:v>
      </x:c>
      <x:c r="H220" s="203" t="b">
        <x:v>1</x:v>
      </x:c>
      <x:c r="I220" s="197"/>
      <x:c r="J220" s="197"/>
      <x:c r="K220" s="197" t="str">
        <x:f>IF(AND(G220&lt;&gt;"",J220&lt;&gt;""),G220/J220,"")</x:f>
      </x:c>
      <x:c r="L220" s="197" t="str">
        <x:f>IF(AND(G220&lt;&gt;"",I220&lt;&gt;""),G220/I220,"")</x:f>
      </x:c>
      <x:c r="M220" s="83" t="str">
        <x:v>S09</x:v>
      </x:c>
      <x:c r="N220" s="83" t="str">
        <x:v>Documento di Descrizione degli Scenari 2024</x:v>
      </x:c>
      <x:c r="O220" s="83" t="n">
        <x:v>63</x:v>
      </x:c>
      <x:c r="P220" s="83" t="str">
        <x:v>60-61</x:v>
      </x:c>
      <x:c r="Q220" s="83" t="str">
        <x:v>Tabella 16</x:v>
      </x:c>
      <x:c r="R220" s="83" t="str">
        <x:v>Assunzione di scenario</x:v>
      </x:c>
      <x:c r="S220" s="83" t="str">
        <x:v>Direct table extraction</x:v>
      </x:c>
      <x:c r="T220" s="83" t="str">
        <x:v>A — Direct</x:v>
      </x:c>
      <x:c r="U220" s="83" t="str">
        <x:v>Energy capacity by zone and class; derive power only where duration is specified.</x:v>
      </x:c>
      <x:c r="V220" s="83" t="str">
        <x:v>Small-scale source classes are 2 or 4 hours; utility-scale is 8 hours. CM duration is not stated.</x:v>
      </x:c>
    </x:row>
    <x:row r="221">
      <x:c r="A221" s="83" t="str">
        <x:v>SZ-217</x:v>
      </x:c>
      <x:c r="B221" s="83" t="str">
        <x:v>HIST_2023</x:v>
      </x:c>
      <x:c r="C221" s="83" t="n">
        <x:v>2023</x:v>
      </x:c>
      <x:c r="D221" s="83" t="str">
        <x:v>Storico 2023</x:v>
      </x:c>
      <x:c r="E221" s="83" t="str">
        <x:v>Sardegna</x:v>
      </x:c>
      <x:c r="F221" s="83" t="str">
        <x:v>Small Scale</x:v>
      </x:c>
      <x:c r="G221" s="197" t="n">
        <x:v>0.2</x:v>
      </x:c>
      <x:c r="H221" s="203" t="b">
        <x:v>1</x:v>
      </x:c>
      <x:c r="I221" s="197" t="n">
        <x:v>2</x:v>
      </x:c>
      <x:c r="J221" s="197" t="n">
        <x:v>4</x:v>
      </x:c>
      <x:c r="K221" s="197" t="n">
        <x:f>IF(AND(G221&lt;&gt;"",J221&lt;&gt;""),G221/J221,"")</x:f>
        <x:v>0.05</x:v>
      </x:c>
      <x:c r="L221" s="197" t="n">
        <x:f>IF(AND(G221&lt;&gt;"",I221&lt;&gt;""),G221/I221,"")</x:f>
        <x:v>0.1</x:v>
      </x:c>
      <x:c r="M221" s="83" t="str">
        <x:v>S09</x:v>
      </x:c>
      <x:c r="N221" s="83" t="str">
        <x:v>Documento di Descrizione degli Scenari 2024</x:v>
      </x:c>
      <x:c r="O221" s="83" t="n">
        <x:v>63</x:v>
      </x:c>
      <x:c r="P221" s="83" t="str">
        <x:v>60-61</x:v>
      </x:c>
      <x:c r="Q221" s="83" t="str">
        <x:v>Tabella 16</x:v>
      </x:c>
      <x:c r="R221" s="83" t="str">
        <x:v>Dato osservato storico nel DDS</x:v>
      </x:c>
      <x:c r="S221" s="83" t="str">
        <x:v>Direct table extraction</x:v>
      </x:c>
      <x:c r="T221" s="83" t="str">
        <x:v>A — Direct</x:v>
      </x:c>
      <x:c r="U221" s="83" t="str">
        <x:v>Energy capacity by zone and class; derive power only where duration is specified.</x:v>
      </x:c>
      <x:c r="V221" s="83" t="str">
        <x:v>Small-scale source classes are 2 or 4 hours; utility-scale is 8 hours. CM duration is not stated.</x:v>
      </x:c>
    </x:row>
    <x:row r="222">
      <x:c r="A222" s="83" t="str">
        <x:v>SZ-218</x:v>
      </x:c>
      <x:c r="B222" s="83" t="str">
        <x:v>PNIEC_POLICY_2030</x:v>
      </x:c>
      <x:c r="C222" s="83" t="n">
        <x:v>2030</x:v>
      </x:c>
      <x:c r="D222" s="83" t="str">
        <x:v>PNIEC Policy 2030</x:v>
      </x:c>
      <x:c r="E222" s="83" t="str">
        <x:v>Sardegna</x:v>
      </x:c>
      <x:c r="F222" s="83" t="str">
        <x:v>Small Scale</x:v>
      </x:c>
      <x:c r="G222" s="197" t="n">
        <x:v>0.4</x:v>
      </x:c>
      <x:c r="H222" s="203" t="b">
        <x:v>1</x:v>
      </x:c>
      <x:c r="I222" s="197" t="n">
        <x:v>2</x:v>
      </x:c>
      <x:c r="J222" s="197" t="n">
        <x:v>4</x:v>
      </x:c>
      <x:c r="K222" s="197" t="n">
        <x:f>IF(AND(G222&lt;&gt;"",J222&lt;&gt;""),G222/J222,"")</x:f>
        <x:v>0.1</x:v>
      </x:c>
      <x:c r="L222" s="197" t="n">
        <x:f>IF(AND(G222&lt;&gt;"",I222&lt;&gt;""),G222/I222,"")</x:f>
        <x:v>0.2</x:v>
      </x:c>
      <x:c r="M222" s="83" t="str">
        <x:v>S09</x:v>
      </x:c>
      <x:c r="N222" s="83" t="str">
        <x:v>Documento di Descrizione degli Scenari 2024</x:v>
      </x:c>
      <x:c r="O222" s="83" t="n">
        <x:v>63</x:v>
      </x:c>
      <x:c r="P222" s="83" t="str">
        <x:v>60-61</x:v>
      </x:c>
      <x:c r="Q222" s="83" t="str">
        <x:v>Tabella 16</x:v>
      </x:c>
      <x:c r="R222" s="83" t="str">
        <x:v>Assunzione di scenario</x:v>
      </x:c>
      <x:c r="S222" s="83" t="str">
        <x:v>Direct table extraction</x:v>
      </x:c>
      <x:c r="T222" s="83" t="str">
        <x:v>A — Direct</x:v>
      </x:c>
      <x:c r="U222" s="83" t="str">
        <x:v>Energy capacity by zone and class; derive power only where duration is specified.</x:v>
      </x:c>
      <x:c r="V222" s="83" t="str">
        <x:v>Small-scale source classes are 2 or 4 hours; utility-scale is 8 hours. CM duration is not stated.</x:v>
      </x:c>
    </x:row>
    <x:row r="223">
      <x:c r="A223" s="83" t="str">
        <x:v>SZ-219</x:v>
      </x:c>
      <x:c r="B223" s="83" t="str">
        <x:v>PNIEC_SLOW_2030</x:v>
      </x:c>
      <x:c r="C223" s="83" t="n">
        <x:v>2030</x:v>
      </x:c>
      <x:c r="D223" s="83" t="str">
        <x:v>PNIEC Slow 2030</x:v>
      </x:c>
      <x:c r="E223" s="83" t="str">
        <x:v>Sardegna</x:v>
      </x:c>
      <x:c r="F223" s="83" t="str">
        <x:v>Small Scale</x:v>
      </x:c>
      <x:c r="G223" s="197" t="n">
        <x:v>0.4</x:v>
      </x:c>
      <x:c r="H223" s="203" t="b">
        <x:v>1</x:v>
      </x:c>
      <x:c r="I223" s="197" t="n">
        <x:v>2</x:v>
      </x:c>
      <x:c r="J223" s="197" t="n">
        <x:v>4</x:v>
      </x:c>
      <x:c r="K223" s="197" t="n">
        <x:f>IF(AND(G223&lt;&gt;"",J223&lt;&gt;""),G223/J223,"")</x:f>
        <x:v>0.1</x:v>
      </x:c>
      <x:c r="L223" s="197" t="n">
        <x:f>IF(AND(G223&lt;&gt;"",I223&lt;&gt;""),G223/I223,"")</x:f>
        <x:v>0.2</x:v>
      </x:c>
      <x:c r="M223" s="83" t="str">
        <x:v>S09</x:v>
      </x:c>
      <x:c r="N223" s="83" t="str">
        <x:v>Documento di Descrizione degli Scenari 2024</x:v>
      </x:c>
      <x:c r="O223" s="83" t="n">
        <x:v>63</x:v>
      </x:c>
      <x:c r="P223" s="83" t="str">
        <x:v>60-61</x:v>
      </x:c>
      <x:c r="Q223" s="83" t="str">
        <x:v>Tabella 16</x:v>
      </x:c>
      <x:c r="R223" s="83" t="str">
        <x:v>Assunzione di scenario</x:v>
      </x:c>
      <x:c r="S223" s="83" t="str">
        <x:v>Direct table extraction</x:v>
      </x:c>
      <x:c r="T223" s="83" t="str">
        <x:v>A — Direct</x:v>
      </x:c>
      <x:c r="U223" s="83" t="str">
        <x:v>Energy capacity by zone and class; derive power only where duration is specified.</x:v>
      </x:c>
      <x:c r="V223" s="83" t="str">
        <x:v>Small-scale source classes are 2 or 4 hours; utility-scale is 8 hours. CM duration is not stated.</x:v>
      </x:c>
    </x:row>
    <x:row r="224">
      <x:c r="A224" s="83" t="str">
        <x:v>SZ-220</x:v>
      </x:c>
      <x:c r="B224" s="83" t="str">
        <x:v>DE_IT_2035</x:v>
      </x:c>
      <x:c r="C224" s="83" t="n">
        <x:v>2035</x:v>
      </x:c>
      <x:c r="D224" s="83" t="str">
        <x:v>DE-IT 2035</x:v>
      </x:c>
      <x:c r="E224" s="83" t="str">
        <x:v>Sardegna</x:v>
      </x:c>
      <x:c r="F224" s="83" t="str">
        <x:v>Small Scale</x:v>
      </x:c>
      <x:c r="G224" s="197" t="n">
        <x:v>0.5</x:v>
      </x:c>
      <x:c r="H224" s="203" t="b">
        <x:v>1</x:v>
      </x:c>
      <x:c r="I224" s="197" t="n">
        <x:v>2</x:v>
      </x:c>
      <x:c r="J224" s="197" t="n">
        <x:v>4</x:v>
      </x:c>
      <x:c r="K224" s="197" t="n">
        <x:f>IF(AND(G224&lt;&gt;"",J224&lt;&gt;""),G224/J224,"")</x:f>
        <x:v>0.125</x:v>
      </x:c>
      <x:c r="L224" s="197" t="n">
        <x:f>IF(AND(G224&lt;&gt;"",I224&lt;&gt;""),G224/I224,"")</x:f>
        <x:v>0.25</x:v>
      </x:c>
      <x:c r="M224" s="83" t="str">
        <x:v>S09</x:v>
      </x:c>
      <x:c r="N224" s="83" t="str">
        <x:v>Documento di Descrizione degli Scenari 2024</x:v>
      </x:c>
      <x:c r="O224" s="83" t="n">
        <x:v>63</x:v>
      </x:c>
      <x:c r="P224" s="83" t="str">
        <x:v>60-61</x:v>
      </x:c>
      <x:c r="Q224" s="83" t="str">
        <x:v>Tabella 16</x:v>
      </x:c>
      <x:c r="R224" s="83" t="str">
        <x:v>Assunzione di scenario</x:v>
      </x:c>
      <x:c r="S224" s="83" t="str">
        <x:v>Direct table extraction</x:v>
      </x:c>
      <x:c r="T224" s="83" t="str">
        <x:v>A — Direct</x:v>
      </x:c>
      <x:c r="U224" s="83" t="str">
        <x:v>Energy capacity by zone and class; derive power only where duration is specified.</x:v>
      </x:c>
      <x:c r="V224" s="83" t="str">
        <x:v>Small-scale source classes are 2 or 4 hours; utility-scale is 8 hours. CM duration is not stated.</x:v>
      </x:c>
    </x:row>
    <x:row r="225">
      <x:c r="A225" s="83" t="str">
        <x:v>SZ-221</x:v>
      </x:c>
      <x:c r="B225" s="83" t="str">
        <x:v>GA_IT_2035</x:v>
      </x:c>
      <x:c r="C225" s="83" t="n">
        <x:v>2035</x:v>
      </x:c>
      <x:c r="D225" s="83" t="str">
        <x:v>GA-IT 2035</x:v>
      </x:c>
      <x:c r="E225" s="83" t="str">
        <x:v>Sardegna</x:v>
      </x:c>
      <x:c r="F225" s="83" t="str">
        <x:v>Small Scale</x:v>
      </x:c>
      <x:c r="G225" s="197" t="n">
        <x:v>0.5</x:v>
      </x:c>
      <x:c r="H225" s="203" t="b">
        <x:v>1</x:v>
      </x:c>
      <x:c r="I225" s="197" t="n">
        <x:v>2</x:v>
      </x:c>
      <x:c r="J225" s="197" t="n">
        <x:v>4</x:v>
      </x:c>
      <x:c r="K225" s="197" t="n">
        <x:f>IF(AND(G225&lt;&gt;"",J225&lt;&gt;""),G225/J225,"")</x:f>
        <x:v>0.125</x:v>
      </x:c>
      <x:c r="L225" s="197" t="n">
        <x:f>IF(AND(G225&lt;&gt;"",I225&lt;&gt;""),G225/I225,"")</x:f>
        <x:v>0.25</x:v>
      </x:c>
      <x:c r="M225" s="83" t="str">
        <x:v>S09</x:v>
      </x:c>
      <x:c r="N225" s="83" t="str">
        <x:v>Documento di Descrizione degli Scenari 2024</x:v>
      </x:c>
      <x:c r="O225" s="83" t="n">
        <x:v>63</x:v>
      </x:c>
      <x:c r="P225" s="83" t="str">
        <x:v>60-61</x:v>
      </x:c>
      <x:c r="Q225" s="83" t="str">
        <x:v>Tabella 16</x:v>
      </x:c>
      <x:c r="R225" s="83" t="str">
        <x:v>Assunzione di scenario</x:v>
      </x:c>
      <x:c r="S225" s="83" t="str">
        <x:v>Direct table extraction</x:v>
      </x:c>
      <x:c r="T225" s="83" t="str">
        <x:v>A — Direct</x:v>
      </x:c>
      <x:c r="U225" s="83" t="str">
        <x:v>Energy capacity by zone and class; derive power only where duration is specified.</x:v>
      </x:c>
      <x:c r="V225" s="83" t="str">
        <x:v>Small-scale source classes are 2 or 4 hours; utility-scale is 8 hours. CM duration is not stated.</x:v>
      </x:c>
    </x:row>
    <x:row r="226">
      <x:c r="A226" s="83" t="str">
        <x:v>SZ-222</x:v>
      </x:c>
      <x:c r="B226" s="83" t="str">
        <x:v>PNIEC_SLOW_2035</x:v>
      </x:c>
      <x:c r="C226" s="83" t="n">
        <x:v>2035</x:v>
      </x:c>
      <x:c r="D226" s="83" t="str">
        <x:v>PNIEC Slow 2035</x:v>
      </x:c>
      <x:c r="E226" s="83" t="str">
        <x:v>Sardegna</x:v>
      </x:c>
      <x:c r="F226" s="83" t="str">
        <x:v>Small Scale</x:v>
      </x:c>
      <x:c r="G226" s="197" t="n">
        <x:v>0.5</x:v>
      </x:c>
      <x:c r="H226" s="203" t="b">
        <x:v>1</x:v>
      </x:c>
      <x:c r="I226" s="197" t="n">
        <x:v>2</x:v>
      </x:c>
      <x:c r="J226" s="197" t="n">
        <x:v>4</x:v>
      </x:c>
      <x:c r="K226" s="197" t="n">
        <x:f>IF(AND(G226&lt;&gt;"",J226&lt;&gt;""),G226/J226,"")</x:f>
        <x:v>0.125</x:v>
      </x:c>
      <x:c r="L226" s="197" t="n">
        <x:f>IF(AND(G226&lt;&gt;"",I226&lt;&gt;""),G226/I226,"")</x:f>
        <x:v>0.25</x:v>
      </x:c>
      <x:c r="M226" s="83" t="str">
        <x:v>S09</x:v>
      </x:c>
      <x:c r="N226" s="83" t="str">
        <x:v>Documento di Descrizione degli Scenari 2024</x:v>
      </x:c>
      <x:c r="O226" s="83" t="n">
        <x:v>63</x:v>
      </x:c>
      <x:c r="P226" s="83" t="str">
        <x:v>60-61</x:v>
      </x:c>
      <x:c r="Q226" s="83" t="str">
        <x:v>Tabella 16</x:v>
      </x:c>
      <x:c r="R226" s="83" t="str">
        <x:v>Assunzione di scenario</x:v>
      </x:c>
      <x:c r="S226" s="83" t="str">
        <x:v>Direct table extraction</x:v>
      </x:c>
      <x:c r="T226" s="83" t="str">
        <x:v>A — Direct</x:v>
      </x:c>
      <x:c r="U226" s="83" t="str">
        <x:v>Energy capacity by zone and class; derive power only where duration is specified.</x:v>
      </x:c>
      <x:c r="V226" s="83" t="str">
        <x:v>Small-scale source classes are 2 or 4 hours; utility-scale is 8 hours. CM duration is not stated.</x:v>
      </x:c>
    </x:row>
    <x:row r="227">
      <x:c r="A227" s="83" t="str">
        <x:v>SZ-223</x:v>
      </x:c>
      <x:c r="B227" s="83" t="str">
        <x:v>DE_IT_2040</x:v>
      </x:c>
      <x:c r="C227" s="83" t="n">
        <x:v>2040</x:v>
      </x:c>
      <x:c r="D227" s="83" t="str">
        <x:v>DE-IT 2040</x:v>
      </x:c>
      <x:c r="E227" s="83" t="str">
        <x:v>Sardegna</x:v>
      </x:c>
      <x:c r="F227" s="83" t="str">
        <x:v>Small Scale</x:v>
      </x:c>
      <x:c r="G227" s="197" t="n">
        <x:v>0.6</x:v>
      </x:c>
      <x:c r="H227" s="203" t="b">
        <x:v>1</x:v>
      </x:c>
      <x:c r="I227" s="197" t="n">
        <x:v>2</x:v>
      </x:c>
      <x:c r="J227" s="197" t="n">
        <x:v>4</x:v>
      </x:c>
      <x:c r="K227" s="197" t="n">
        <x:f>IF(AND(G227&lt;&gt;"",J227&lt;&gt;""),G227/J227,"")</x:f>
        <x:v>0.15</x:v>
      </x:c>
      <x:c r="L227" s="197" t="n">
        <x:f>IF(AND(G227&lt;&gt;"",I227&lt;&gt;""),G227/I227,"")</x:f>
        <x:v>0.3</x:v>
      </x:c>
      <x:c r="M227" s="83" t="str">
        <x:v>S09</x:v>
      </x:c>
      <x:c r="N227" s="83" t="str">
        <x:v>Documento di Descrizione degli Scenari 2024</x:v>
      </x:c>
      <x:c r="O227" s="83" t="n">
        <x:v>63</x:v>
      </x:c>
      <x:c r="P227" s="83" t="str">
        <x:v>60-61</x:v>
      </x:c>
      <x:c r="Q227" s="83" t="str">
        <x:v>Tabella 16</x:v>
      </x:c>
      <x:c r="R227" s="83" t="str">
        <x:v>Assunzione di scenario</x:v>
      </x:c>
      <x:c r="S227" s="83" t="str">
        <x:v>Direct table extraction</x:v>
      </x:c>
      <x:c r="T227" s="83" t="str">
        <x:v>A — Direct</x:v>
      </x:c>
      <x:c r="U227" s="83" t="str">
        <x:v>Energy capacity by zone and class; derive power only where duration is specified.</x:v>
      </x:c>
      <x:c r="V227" s="83" t="str">
        <x:v>Small-scale source classes are 2 or 4 hours; utility-scale is 8 hours. CM duration is not stated.</x:v>
      </x:c>
    </x:row>
    <x:row r="228">
      <x:c r="A228" s="83" t="str">
        <x:v>SZ-224</x:v>
      </x:c>
      <x:c r="B228" s="83" t="str">
        <x:v>GA_IT_2040</x:v>
      </x:c>
      <x:c r="C228" s="83" t="n">
        <x:v>2040</x:v>
      </x:c>
      <x:c r="D228" s="83" t="str">
        <x:v>GA-IT 2040</x:v>
      </x:c>
      <x:c r="E228" s="83" t="str">
        <x:v>Sardegna</x:v>
      </x:c>
      <x:c r="F228" s="83" t="str">
        <x:v>Small Scale</x:v>
      </x:c>
      <x:c r="G228" s="197" t="n">
        <x:v>0.6</x:v>
      </x:c>
      <x:c r="H228" s="203" t="b">
        <x:v>1</x:v>
      </x:c>
      <x:c r="I228" s="197" t="n">
        <x:v>2</x:v>
      </x:c>
      <x:c r="J228" s="197" t="n">
        <x:v>4</x:v>
      </x:c>
      <x:c r="K228" s="197" t="n">
        <x:f>IF(AND(G228&lt;&gt;"",J228&lt;&gt;""),G228/J228,"")</x:f>
        <x:v>0.15</x:v>
      </x:c>
      <x:c r="L228" s="197" t="n">
        <x:f>IF(AND(G228&lt;&gt;"",I228&lt;&gt;""),G228/I228,"")</x:f>
        <x:v>0.3</x:v>
      </x:c>
      <x:c r="M228" s="83" t="str">
        <x:v>S09</x:v>
      </x:c>
      <x:c r="N228" s="83" t="str">
        <x:v>Documento di Descrizione degli Scenari 2024</x:v>
      </x:c>
      <x:c r="O228" s="83" t="n">
        <x:v>63</x:v>
      </x:c>
      <x:c r="P228" s="83" t="str">
        <x:v>60-61</x:v>
      </x:c>
      <x:c r="Q228" s="83" t="str">
        <x:v>Tabella 16</x:v>
      </x:c>
      <x:c r="R228" s="83" t="str">
        <x:v>Assunzione di scenario</x:v>
      </x:c>
      <x:c r="S228" s="83" t="str">
        <x:v>Direct table extraction</x:v>
      </x:c>
      <x:c r="T228" s="83" t="str">
        <x:v>A — Direct</x:v>
      </x:c>
      <x:c r="U228" s="83" t="str">
        <x:v>Energy capacity by zone and class; derive power only where duration is specified.</x:v>
      </x:c>
      <x:c r="V228" s="83" t="str">
        <x:v>Small-scale source classes are 2 or 4 hours; utility-scale is 8 hours. CM duration is not stated.</x:v>
      </x:c>
    </x:row>
    <x:row r="229">
      <x:c r="A229" s="83" t="str">
        <x:v>SZ-225</x:v>
      </x:c>
      <x:c r="B229" s="83" t="str">
        <x:v>PNIEC_SLOW_2040</x:v>
      </x:c>
      <x:c r="C229" s="83" t="n">
        <x:v>2040</x:v>
      </x:c>
      <x:c r="D229" s="83" t="str">
        <x:v>PNIEC Slow 2040</x:v>
      </x:c>
      <x:c r="E229" s="83" t="str">
        <x:v>Sardegna</x:v>
      </x:c>
      <x:c r="F229" s="83" t="str">
        <x:v>Small Scale</x:v>
      </x:c>
      <x:c r="G229" s="197" t="n">
        <x:v>0.5</x:v>
      </x:c>
      <x:c r="H229" s="203" t="b">
        <x:v>1</x:v>
      </x:c>
      <x:c r="I229" s="197" t="n">
        <x:v>2</x:v>
      </x:c>
      <x:c r="J229" s="197" t="n">
        <x:v>4</x:v>
      </x:c>
      <x:c r="K229" s="197" t="n">
        <x:f>IF(AND(G229&lt;&gt;"",J229&lt;&gt;""),G229/J229,"")</x:f>
        <x:v>0.125</x:v>
      </x:c>
      <x:c r="L229" s="197" t="n">
        <x:f>IF(AND(G229&lt;&gt;"",I229&lt;&gt;""),G229/I229,"")</x:f>
        <x:v>0.25</x:v>
      </x:c>
      <x:c r="M229" s="83" t="str">
        <x:v>S09</x:v>
      </x:c>
      <x:c r="N229" s="83" t="str">
        <x:v>Documento di Descrizione degli Scenari 2024</x:v>
      </x:c>
      <x:c r="O229" s="83" t="n">
        <x:v>63</x:v>
      </x:c>
      <x:c r="P229" s="83" t="str">
        <x:v>60-61</x:v>
      </x:c>
      <x:c r="Q229" s="83" t="str">
        <x:v>Tabella 16</x:v>
      </x:c>
      <x:c r="R229" s="83" t="str">
        <x:v>Assunzione di scenario</x:v>
      </x:c>
      <x:c r="S229" s="83" t="str">
        <x:v>Direct table extraction</x:v>
      </x:c>
      <x:c r="T229" s="83" t="str">
        <x:v>A — Direct</x:v>
      </x:c>
      <x:c r="U229" s="83" t="str">
        <x:v>Energy capacity by zone and class; derive power only where duration is specified.</x:v>
      </x:c>
      <x:c r="V229" s="83" t="str">
        <x:v>Small-scale source classes are 2 or 4 hours; utility-scale is 8 hours. CM duration is not stated.</x:v>
      </x:c>
    </x:row>
    <x:row r="230">
      <x:c r="A230" s="83" t="str">
        <x:v>SZ-226</x:v>
      </x:c>
      <x:c r="B230" s="83" t="str">
        <x:v>HIST_2023</x:v>
      </x:c>
      <x:c r="C230" s="83" t="n">
        <x:v>2023</x:v>
      </x:c>
      <x:c r="D230" s="83" t="str">
        <x:v>Storico 2023</x:v>
      </x:c>
      <x:c r="E230" s="83" t="str">
        <x:v>Sardegna</x:v>
      </x:c>
      <x:c r="F230" s="83" t="str">
        <x:v>Utility Scale</x:v>
      </x:c>
      <x:c r="G230" s="197" t="n">
        <x:v>0</x:v>
      </x:c>
      <x:c r="H230" s="203" t="b">
        <x:v>1</x:v>
      </x:c>
      <x:c r="I230" s="197" t="n">
        <x:v>8</x:v>
      </x:c>
      <x:c r="J230" s="197" t="n">
        <x:v>8</x:v>
      </x:c>
      <x:c r="K230" s="197" t="str">
        <x:f>IF(AND(G230&lt;&gt;"",J230&lt;&gt;""),G230/J230,"")</x:f>
      </x:c>
      <x:c r="L230" s="197" t="str">
        <x:f>IF(AND(G230&lt;&gt;"",I230&lt;&gt;""),G230/I230,"")</x:f>
      </x:c>
      <x:c r="M230" s="83" t="str">
        <x:v>S09</x:v>
      </x:c>
      <x:c r="N230" s="83" t="str">
        <x:v>Documento di Descrizione degli Scenari 2024</x:v>
      </x:c>
      <x:c r="O230" s="83" t="n">
        <x:v>63</x:v>
      </x:c>
      <x:c r="P230" s="83" t="str">
        <x:v>60-61</x:v>
      </x:c>
      <x:c r="Q230" s="83" t="str">
        <x:v>Tabella 16</x:v>
      </x:c>
      <x:c r="R230" s="83" t="str">
        <x:v>Dato osservato storico nel DDS</x:v>
      </x:c>
      <x:c r="S230" s="83" t="str">
        <x:v>Direct table extraction</x:v>
      </x:c>
      <x:c r="T230" s="83" t="str">
        <x:v>A — Direct</x:v>
      </x:c>
      <x:c r="U230" s="83" t="str">
        <x:v>Energy capacity by zone and class; derive power only where duration is specified.</x:v>
      </x:c>
      <x:c r="V230" s="83" t="str">
        <x:v>Small-scale source classes are 2 or 4 hours; utility-scale is 8 hours. CM duration is not stated.</x:v>
      </x:c>
    </x:row>
    <x:row r="231">
      <x:c r="A231" s="83" t="str">
        <x:v>SZ-227</x:v>
      </x:c>
      <x:c r="B231" s="83" t="str">
        <x:v>PNIEC_POLICY_2030</x:v>
      </x:c>
      <x:c r="C231" s="83" t="n">
        <x:v>2030</x:v>
      </x:c>
      <x:c r="D231" s="83" t="str">
        <x:v>PNIEC Policy 2030</x:v>
      </x:c>
      <x:c r="E231" s="83" t="str">
        <x:v>Sardegna</x:v>
      </x:c>
      <x:c r="F231" s="83" t="str">
        <x:v>Utility Scale</x:v>
      </x:c>
      <x:c r="G231" s="197" t="n">
        <x:v>10.4</x:v>
      </x:c>
      <x:c r="H231" s="203" t="b">
        <x:v>1</x:v>
      </x:c>
      <x:c r="I231" s="197" t="n">
        <x:v>8</x:v>
      </x:c>
      <x:c r="J231" s="197" t="n">
        <x:v>8</x:v>
      </x:c>
      <x:c r="K231" s="197" t="n">
        <x:f>IF(AND(G231&lt;&gt;"",J231&lt;&gt;""),G231/J231,"")</x:f>
        <x:v>1.3</x:v>
      </x:c>
      <x:c r="L231" s="197" t="n">
        <x:f>IF(AND(G231&lt;&gt;"",I231&lt;&gt;""),G231/I231,"")</x:f>
        <x:v>1.3</x:v>
      </x:c>
      <x:c r="M231" s="83" t="str">
        <x:v>S09</x:v>
      </x:c>
      <x:c r="N231" s="83" t="str">
        <x:v>Documento di Descrizione degli Scenari 2024</x:v>
      </x:c>
      <x:c r="O231" s="83" t="n">
        <x:v>63</x:v>
      </x:c>
      <x:c r="P231" s="83" t="str">
        <x:v>60-61</x:v>
      </x:c>
      <x:c r="Q231" s="83" t="str">
        <x:v>Tabella 16</x:v>
      </x:c>
      <x:c r="R231" s="83" t="str">
        <x:v>Assunzione di scenario</x:v>
      </x:c>
      <x:c r="S231" s="83" t="str">
        <x:v>Direct table extraction</x:v>
      </x:c>
      <x:c r="T231" s="83" t="str">
        <x:v>A — Direct</x:v>
      </x:c>
      <x:c r="U231" s="83" t="str">
        <x:v>Energy capacity by zone and class; derive power only where duration is specified.</x:v>
      </x:c>
      <x:c r="V231" s="83" t="str">
        <x:v>Small-scale source classes are 2 or 4 hours; utility-scale is 8 hours. CM duration is not stated.</x:v>
      </x:c>
    </x:row>
    <x:row r="232">
      <x:c r="A232" s="83" t="str">
        <x:v>SZ-228</x:v>
      </x:c>
      <x:c r="B232" s="83" t="str">
        <x:v>PNIEC_SLOW_2030</x:v>
      </x:c>
      <x:c r="C232" s="83" t="n">
        <x:v>2030</x:v>
      </x:c>
      <x:c r="D232" s="83" t="str">
        <x:v>PNIEC Slow 2030</x:v>
      </x:c>
      <x:c r="E232" s="83" t="str">
        <x:v>Sardegna</x:v>
      </x:c>
      <x:c r="F232" s="83" t="str">
        <x:v>Utility Scale</x:v>
      </x:c>
      <x:c r="G232" s="197" t="n">
        <x:v>4.2</x:v>
      </x:c>
      <x:c r="H232" s="203" t="b">
        <x:v>1</x:v>
      </x:c>
      <x:c r="I232" s="197" t="n">
        <x:v>8</x:v>
      </x:c>
      <x:c r="J232" s="197" t="n">
        <x:v>8</x:v>
      </x:c>
      <x:c r="K232" s="197" t="n">
        <x:f>IF(AND(G232&lt;&gt;"",J232&lt;&gt;""),G232/J232,"")</x:f>
        <x:v>0.525</x:v>
      </x:c>
      <x:c r="L232" s="197" t="n">
        <x:f>IF(AND(G232&lt;&gt;"",I232&lt;&gt;""),G232/I232,"")</x:f>
        <x:v>0.525</x:v>
      </x:c>
      <x:c r="M232" s="83" t="str">
        <x:v>S09</x:v>
      </x:c>
      <x:c r="N232" s="83" t="str">
        <x:v>Documento di Descrizione degli Scenari 2024</x:v>
      </x:c>
      <x:c r="O232" s="83" t="n">
        <x:v>63</x:v>
      </x:c>
      <x:c r="P232" s="83" t="str">
        <x:v>60-61</x:v>
      </x:c>
      <x:c r="Q232" s="83" t="str">
        <x:v>Tabella 16</x:v>
      </x:c>
      <x:c r="R232" s="83" t="str">
        <x:v>Assunzione di scenario</x:v>
      </x:c>
      <x:c r="S232" s="83" t="str">
        <x:v>Direct table extraction</x:v>
      </x:c>
      <x:c r="T232" s="83" t="str">
        <x:v>A — Direct</x:v>
      </x:c>
      <x:c r="U232" s="83" t="str">
        <x:v>Energy capacity by zone and class; derive power only where duration is specified.</x:v>
      </x:c>
      <x:c r="V232" s="83" t="str">
        <x:v>Small-scale source classes are 2 or 4 hours; utility-scale is 8 hours. CM duration is not stated.</x:v>
      </x:c>
    </x:row>
    <x:row r="233">
      <x:c r="A233" s="83" t="str">
        <x:v>SZ-229</x:v>
      </x:c>
      <x:c r="B233" s="83" t="str">
        <x:v>DE_IT_2035</x:v>
      </x:c>
      <x:c r="C233" s="83" t="n">
        <x:v>2035</x:v>
      </x:c>
      <x:c r="D233" s="83" t="str">
        <x:v>DE-IT 2035</x:v>
      </x:c>
      <x:c r="E233" s="83" t="str">
        <x:v>Sardegna</x:v>
      </x:c>
      <x:c r="F233" s="83" t="str">
        <x:v>Utility Scale</x:v>
      </x:c>
      <x:c r="G233" s="197" t="n">
        <x:v>15.9</x:v>
      </x:c>
      <x:c r="H233" s="203" t="b">
        <x:v>1</x:v>
      </x:c>
      <x:c r="I233" s="197" t="n">
        <x:v>8</x:v>
      </x:c>
      <x:c r="J233" s="197" t="n">
        <x:v>8</x:v>
      </x:c>
      <x:c r="K233" s="197" t="n">
        <x:f>IF(AND(G233&lt;&gt;"",J233&lt;&gt;""),G233/J233,"")</x:f>
        <x:v>1.9875</x:v>
      </x:c>
      <x:c r="L233" s="197" t="n">
        <x:f>IF(AND(G233&lt;&gt;"",I233&lt;&gt;""),G233/I233,"")</x:f>
        <x:v>1.9875</x:v>
      </x:c>
      <x:c r="M233" s="83" t="str">
        <x:v>S09</x:v>
      </x:c>
      <x:c r="N233" s="83" t="str">
        <x:v>Documento di Descrizione degli Scenari 2024</x:v>
      </x:c>
      <x:c r="O233" s="83" t="n">
        <x:v>63</x:v>
      </x:c>
      <x:c r="P233" s="83" t="str">
        <x:v>60-61</x:v>
      </x:c>
      <x:c r="Q233" s="83" t="str">
        <x:v>Tabella 16</x:v>
      </x:c>
      <x:c r="R233" s="83" t="str">
        <x:v>Assunzione di scenario</x:v>
      </x:c>
      <x:c r="S233" s="83" t="str">
        <x:v>Direct table extraction</x:v>
      </x:c>
      <x:c r="T233" s="83" t="str">
        <x:v>A — Direct</x:v>
      </x:c>
      <x:c r="U233" s="83" t="str">
        <x:v>Energy capacity by zone and class; derive power only where duration is specified.</x:v>
      </x:c>
      <x:c r="V233" s="83" t="str">
        <x:v>Small-scale source classes are 2 or 4 hours; utility-scale is 8 hours. CM duration is not stated.</x:v>
      </x:c>
    </x:row>
    <x:row r="234">
      <x:c r="A234" s="83" t="str">
        <x:v>SZ-230</x:v>
      </x:c>
      <x:c r="B234" s="83" t="str">
        <x:v>GA_IT_2035</x:v>
      </x:c>
      <x:c r="C234" s="83" t="n">
        <x:v>2035</x:v>
      </x:c>
      <x:c r="D234" s="83" t="str">
        <x:v>GA-IT 2035</x:v>
      </x:c>
      <x:c r="E234" s="83" t="str">
        <x:v>Sardegna</x:v>
      </x:c>
      <x:c r="F234" s="83" t="str">
        <x:v>Utility Scale</x:v>
      </x:c>
      <x:c r="G234" s="197" t="n">
        <x:v>8.6</x:v>
      </x:c>
      <x:c r="H234" s="203" t="b">
        <x:v>1</x:v>
      </x:c>
      <x:c r="I234" s="197" t="n">
        <x:v>8</x:v>
      </x:c>
      <x:c r="J234" s="197" t="n">
        <x:v>8</x:v>
      </x:c>
      <x:c r="K234" s="197" t="n">
        <x:f>IF(AND(G234&lt;&gt;"",J234&lt;&gt;""),G234/J234,"")</x:f>
        <x:v>1.075</x:v>
      </x:c>
      <x:c r="L234" s="197" t="n">
        <x:f>IF(AND(G234&lt;&gt;"",I234&lt;&gt;""),G234/I234,"")</x:f>
        <x:v>1.075</x:v>
      </x:c>
      <x:c r="M234" s="83" t="str">
        <x:v>S09</x:v>
      </x:c>
      <x:c r="N234" s="83" t="str">
        <x:v>Documento di Descrizione degli Scenari 2024</x:v>
      </x:c>
      <x:c r="O234" s="83" t="n">
        <x:v>63</x:v>
      </x:c>
      <x:c r="P234" s="83" t="str">
        <x:v>60-61</x:v>
      </x:c>
      <x:c r="Q234" s="83" t="str">
        <x:v>Tabella 16</x:v>
      </x:c>
      <x:c r="R234" s="83" t="str">
        <x:v>Assunzione di scenario</x:v>
      </x:c>
      <x:c r="S234" s="83" t="str">
        <x:v>Direct table extraction</x:v>
      </x:c>
      <x:c r="T234" s="83" t="str">
        <x:v>A — Direct</x:v>
      </x:c>
      <x:c r="U234" s="83" t="str">
        <x:v>Energy capacity by zone and class; derive power only where duration is specified.</x:v>
      </x:c>
      <x:c r="V234" s="83" t="str">
        <x:v>Small-scale source classes are 2 or 4 hours; utility-scale is 8 hours. CM duration is not stated.</x:v>
      </x:c>
    </x:row>
    <x:row r="235">
      <x:c r="A235" s="83" t="str">
        <x:v>SZ-231</x:v>
      </x:c>
      <x:c r="B235" s="83" t="str">
        <x:v>PNIEC_SLOW_2035</x:v>
      </x:c>
      <x:c r="C235" s="83" t="n">
        <x:v>2035</x:v>
      </x:c>
      <x:c r="D235" s="83" t="str">
        <x:v>PNIEC Slow 2035</x:v>
      </x:c>
      <x:c r="E235" s="83" t="str">
        <x:v>Sardegna</x:v>
      </x:c>
      <x:c r="F235" s="83" t="str">
        <x:v>Utility Scale</x:v>
      </x:c>
      <x:c r="G235" s="197" t="n">
        <x:v>7.9</x:v>
      </x:c>
      <x:c r="H235" s="203" t="b">
        <x:v>1</x:v>
      </x:c>
      <x:c r="I235" s="197" t="n">
        <x:v>8</x:v>
      </x:c>
      <x:c r="J235" s="197" t="n">
        <x:v>8</x:v>
      </x:c>
      <x:c r="K235" s="197" t="n">
        <x:f>IF(AND(G235&lt;&gt;"",J235&lt;&gt;""),G235/J235,"")</x:f>
        <x:v>0.9875</x:v>
      </x:c>
      <x:c r="L235" s="197" t="n">
        <x:f>IF(AND(G235&lt;&gt;"",I235&lt;&gt;""),G235/I235,"")</x:f>
        <x:v>0.9875</x:v>
      </x:c>
      <x:c r="M235" s="83" t="str">
        <x:v>S09</x:v>
      </x:c>
      <x:c r="N235" s="83" t="str">
        <x:v>Documento di Descrizione degli Scenari 2024</x:v>
      </x:c>
      <x:c r="O235" s="83" t="n">
        <x:v>63</x:v>
      </x:c>
      <x:c r="P235" s="83" t="str">
        <x:v>60-61</x:v>
      </x:c>
      <x:c r="Q235" s="83" t="str">
        <x:v>Tabella 16</x:v>
      </x:c>
      <x:c r="R235" s="83" t="str">
        <x:v>Assunzione di scenario</x:v>
      </x:c>
      <x:c r="S235" s="83" t="str">
        <x:v>Direct table extraction</x:v>
      </x:c>
      <x:c r="T235" s="83" t="str">
        <x:v>A — Direct</x:v>
      </x:c>
      <x:c r="U235" s="83" t="str">
        <x:v>Energy capacity by zone and class; derive power only where duration is specified.</x:v>
      </x:c>
      <x:c r="V235" s="83" t="str">
        <x:v>Small-scale source classes are 2 or 4 hours; utility-scale is 8 hours. CM duration is not stated.</x:v>
      </x:c>
    </x:row>
    <x:row r="236">
      <x:c r="A236" s="83" t="str">
        <x:v>SZ-232</x:v>
      </x:c>
      <x:c r="B236" s="83" t="str">
        <x:v>DE_IT_2040</x:v>
      </x:c>
      <x:c r="C236" s="83" t="n">
        <x:v>2040</x:v>
      </x:c>
      <x:c r="D236" s="83" t="str">
        <x:v>DE-IT 2040</x:v>
      </x:c>
      <x:c r="E236" s="83" t="str">
        <x:v>Sardegna</x:v>
      </x:c>
      <x:c r="F236" s="83" t="str">
        <x:v>Utility Scale</x:v>
      </x:c>
      <x:c r="G236" s="197" t="n">
        <x:v>20.3</x:v>
      </x:c>
      <x:c r="H236" s="203" t="b">
        <x:v>1</x:v>
      </x:c>
      <x:c r="I236" s="197" t="n">
        <x:v>8</x:v>
      </x:c>
      <x:c r="J236" s="197" t="n">
        <x:v>8</x:v>
      </x:c>
      <x:c r="K236" s="197" t="n">
        <x:f>IF(AND(G236&lt;&gt;"",J236&lt;&gt;""),G236/J236,"")</x:f>
        <x:v>2.5375</x:v>
      </x:c>
      <x:c r="L236" s="197" t="n">
        <x:f>IF(AND(G236&lt;&gt;"",I236&lt;&gt;""),G236/I236,"")</x:f>
        <x:v>2.5375</x:v>
      </x:c>
      <x:c r="M236" s="83" t="str">
        <x:v>S09</x:v>
      </x:c>
      <x:c r="N236" s="83" t="str">
        <x:v>Documento di Descrizione degli Scenari 2024</x:v>
      </x:c>
      <x:c r="O236" s="83" t="n">
        <x:v>63</x:v>
      </x:c>
      <x:c r="P236" s="83" t="str">
        <x:v>60-61</x:v>
      </x:c>
      <x:c r="Q236" s="83" t="str">
        <x:v>Tabella 16</x:v>
      </x:c>
      <x:c r="R236" s="83" t="str">
        <x:v>Assunzione di scenario</x:v>
      </x:c>
      <x:c r="S236" s="83" t="str">
        <x:v>Direct table extraction</x:v>
      </x:c>
      <x:c r="T236" s="83" t="str">
        <x:v>A — Direct</x:v>
      </x:c>
      <x:c r="U236" s="83" t="str">
        <x:v>Energy capacity by zone and class; derive power only where duration is specified.</x:v>
      </x:c>
      <x:c r="V236" s="83" t="str">
        <x:v>Small-scale source classes are 2 or 4 hours; utility-scale is 8 hours. CM duration is not stated.</x:v>
      </x:c>
    </x:row>
    <x:row r="237">
      <x:c r="A237" s="83" t="str">
        <x:v>SZ-233</x:v>
      </x:c>
      <x:c r="B237" s="83" t="str">
        <x:v>GA_IT_2040</x:v>
      </x:c>
      <x:c r="C237" s="83" t="n">
        <x:v>2040</x:v>
      </x:c>
      <x:c r="D237" s="83" t="str">
        <x:v>GA-IT 2040</x:v>
      </x:c>
      <x:c r="E237" s="83" t="str">
        <x:v>Sardegna</x:v>
      </x:c>
      <x:c r="F237" s="83" t="str">
        <x:v>Utility Scale</x:v>
      </x:c>
      <x:c r="G237" s="197" t="n">
        <x:v>13.4</x:v>
      </x:c>
      <x:c r="H237" s="203" t="b">
        <x:v>1</x:v>
      </x:c>
      <x:c r="I237" s="197" t="n">
        <x:v>8</x:v>
      </x:c>
      <x:c r="J237" s="197" t="n">
        <x:v>8</x:v>
      </x:c>
      <x:c r="K237" s="197" t="n">
        <x:f>IF(AND(G237&lt;&gt;"",J237&lt;&gt;""),G237/J237,"")</x:f>
        <x:v>1.675</x:v>
      </x:c>
      <x:c r="L237" s="197" t="n">
        <x:f>IF(AND(G237&lt;&gt;"",I237&lt;&gt;""),G237/I237,"")</x:f>
        <x:v>1.675</x:v>
      </x:c>
      <x:c r="M237" s="83" t="str">
        <x:v>S09</x:v>
      </x:c>
      <x:c r="N237" s="83" t="str">
        <x:v>Documento di Descrizione degli Scenari 2024</x:v>
      </x:c>
      <x:c r="O237" s="83" t="n">
        <x:v>63</x:v>
      </x:c>
      <x:c r="P237" s="83" t="str">
        <x:v>60-61</x:v>
      </x:c>
      <x:c r="Q237" s="83" t="str">
        <x:v>Tabella 16</x:v>
      </x:c>
      <x:c r="R237" s="83" t="str">
        <x:v>Assunzione di scenario</x:v>
      </x:c>
      <x:c r="S237" s="83" t="str">
        <x:v>Direct table extraction</x:v>
      </x:c>
      <x:c r="T237" s="83" t="str">
        <x:v>A — Direct</x:v>
      </x:c>
      <x:c r="U237" s="83" t="str">
        <x:v>Energy capacity by zone and class; derive power only where duration is specified.</x:v>
      </x:c>
      <x:c r="V237" s="83" t="str">
        <x:v>Small-scale source classes are 2 or 4 hours; utility-scale is 8 hours. CM duration is not stated.</x:v>
      </x:c>
    </x:row>
    <x:row r="238">
      <x:c r="A238" s="83" t="str">
        <x:v>SZ-234</x:v>
      </x:c>
      <x:c r="B238" s="83" t="str">
        <x:v>PNIEC_SLOW_2040</x:v>
      </x:c>
      <x:c r="C238" s="83" t="n">
        <x:v>2040</x:v>
      </x:c>
      <x:c r="D238" s="83" t="str">
        <x:v>PNIEC Slow 2040</x:v>
      </x:c>
      <x:c r="E238" s="83" t="str">
        <x:v>Sardegna</x:v>
      </x:c>
      <x:c r="F238" s="83" t="str">
        <x:v>Utility Scale</x:v>
      </x:c>
      <x:c r="G238" s="197" t="n">
        <x:v>12.1</x:v>
      </x:c>
      <x:c r="H238" s="203" t="b">
        <x:v>1</x:v>
      </x:c>
      <x:c r="I238" s="197" t="n">
        <x:v>8</x:v>
      </x:c>
      <x:c r="J238" s="197" t="n">
        <x:v>8</x:v>
      </x:c>
      <x:c r="K238" s="197" t="n">
        <x:f>IF(AND(G238&lt;&gt;"",J238&lt;&gt;""),G238/J238,"")</x:f>
        <x:v>1.5125</x:v>
      </x:c>
      <x:c r="L238" s="197" t="n">
        <x:f>IF(AND(G238&lt;&gt;"",I238&lt;&gt;""),G238/I238,"")</x:f>
        <x:v>1.5125</x:v>
      </x:c>
      <x:c r="M238" s="83" t="str">
        <x:v>S09</x:v>
      </x:c>
      <x:c r="N238" s="83" t="str">
        <x:v>Documento di Descrizione degli Scenari 2024</x:v>
      </x:c>
      <x:c r="O238" s="83" t="n">
        <x:v>63</x:v>
      </x:c>
      <x:c r="P238" s="83" t="str">
        <x:v>60-61</x:v>
      </x:c>
      <x:c r="Q238" s="83" t="str">
        <x:v>Tabella 16</x:v>
      </x:c>
      <x:c r="R238" s="83" t="str">
        <x:v>Assunzione di scenario</x:v>
      </x:c>
      <x:c r="S238" s="83" t="str">
        <x:v>Direct table extraction</x:v>
      </x:c>
      <x:c r="T238" s="83" t="str">
        <x:v>A — Direct</x:v>
      </x:c>
      <x:c r="U238" s="83" t="str">
        <x:v>Energy capacity by zone and class; derive power only where duration is specified.</x:v>
      </x:c>
      <x:c r="V238" s="83" t="str">
        <x:v>Small-scale source classes are 2 or 4 hours; utility-scale is 8 hours. CM duration is not stated.</x:v>
      </x:c>
    </x:row>
    <x:row r="239">
      <x:c r="A239" s="83" t="str">
        <x:v>SZ-235</x:v>
      </x:c>
      <x:c r="B239" s="83" t="str">
        <x:v>HIST_2023</x:v>
      </x:c>
      <x:c r="C239" s="83" t="n">
        <x:v>2023</x:v>
      </x:c>
      <x:c r="D239" s="83" t="str">
        <x:v>Storico 2023</x:v>
      </x:c>
      <x:c r="E239" s="83" t="str">
        <x:v>Sardegna</x:v>
      </x:c>
      <x:c r="F239" s="83" t="str">
        <x:v>CM</x:v>
      </x:c>
      <x:c r="G239" s="197" t="n">
        <x:v>0</x:v>
      </x:c>
      <x:c r="H239" s="203" t="b">
        <x:v>1</x:v>
      </x:c>
      <x:c r="I239" s="197"/>
      <x:c r="J239" s="197"/>
      <x:c r="K239" s="197" t="str">
        <x:f>IF(AND(G239&lt;&gt;"",J239&lt;&gt;""),G239/J239,"")</x:f>
      </x:c>
      <x:c r="L239" s="197" t="str">
        <x:f>IF(AND(G239&lt;&gt;"",I239&lt;&gt;""),G239/I239,"")</x:f>
      </x:c>
      <x:c r="M239" s="83" t="str">
        <x:v>S09</x:v>
      </x:c>
      <x:c r="N239" s="83" t="str">
        <x:v>Documento di Descrizione degli Scenari 2024</x:v>
      </x:c>
      <x:c r="O239" s="83" t="n">
        <x:v>63</x:v>
      </x:c>
      <x:c r="P239" s="83" t="str">
        <x:v>60-61</x:v>
      </x:c>
      <x:c r="Q239" s="83" t="str">
        <x:v>Tabella 16</x:v>
      </x:c>
      <x:c r="R239" s="83" t="str">
        <x:v>Dato osservato storico nel DDS</x:v>
      </x:c>
      <x:c r="S239" s="83" t="str">
        <x:v>Direct table extraction</x:v>
      </x:c>
      <x:c r="T239" s="83" t="str">
        <x:v>A — Direct</x:v>
      </x:c>
      <x:c r="U239" s="83" t="str">
        <x:v>Energy capacity by zone and class; derive power only where duration is specified.</x:v>
      </x:c>
      <x:c r="V239" s="83" t="str">
        <x:v>Small-scale source classes are 2 or 4 hours; utility-scale is 8 hours. CM duration is not stated.</x:v>
      </x:c>
    </x:row>
    <x:row r="240">
      <x:c r="A240" s="83" t="str">
        <x:v>SZ-236</x:v>
      </x:c>
      <x:c r="B240" s="83" t="str">
        <x:v>PNIEC_POLICY_2030</x:v>
      </x:c>
      <x:c r="C240" s="83" t="n">
        <x:v>2030</x:v>
      </x:c>
      <x:c r="D240" s="83" t="str">
        <x:v>PNIEC Policy 2030</x:v>
      </x:c>
      <x:c r="E240" s="83" t="str">
        <x:v>Sardegna</x:v>
      </x:c>
      <x:c r="F240" s="83" t="str">
        <x:v>CM</x:v>
      </x:c>
      <x:c r="G240" s="197" t="n">
        <x:v>3.2</x:v>
      </x:c>
      <x:c r="H240" s="203" t="b">
        <x:v>1</x:v>
      </x:c>
      <x:c r="I240" s="197"/>
      <x:c r="J240" s="197"/>
      <x:c r="K240" s="197" t="str">
        <x:f>IF(AND(G240&lt;&gt;"",J240&lt;&gt;""),G240/J240,"")</x:f>
      </x:c>
      <x:c r="L240" s="197" t="str">
        <x:f>IF(AND(G240&lt;&gt;"",I240&lt;&gt;""),G240/I240,"")</x:f>
      </x:c>
      <x:c r="M240" s="83" t="str">
        <x:v>S09</x:v>
      </x:c>
      <x:c r="N240" s="83" t="str">
        <x:v>Documento di Descrizione degli Scenari 2024</x:v>
      </x:c>
      <x:c r="O240" s="83" t="n">
        <x:v>63</x:v>
      </x:c>
      <x:c r="P240" s="83" t="str">
        <x:v>60-61</x:v>
      </x:c>
      <x:c r="Q240" s="83" t="str">
        <x:v>Tabella 16</x:v>
      </x:c>
      <x:c r="R240" s="83" t="str">
        <x:v>Assunzione di scenario</x:v>
      </x:c>
      <x:c r="S240" s="83" t="str">
        <x:v>Direct table extraction</x:v>
      </x:c>
      <x:c r="T240" s="83" t="str">
        <x:v>A — Direct</x:v>
      </x:c>
      <x:c r="U240" s="83" t="str">
        <x:v>Energy capacity by zone and class; derive power only where duration is specified.</x:v>
      </x:c>
      <x:c r="V240" s="83" t="str">
        <x:v>Small-scale source classes are 2 or 4 hours; utility-scale is 8 hours. CM duration is not stated.</x:v>
      </x:c>
    </x:row>
    <x:row r="241">
      <x:c r="A241" s="83" t="str">
        <x:v>SZ-237</x:v>
      </x:c>
      <x:c r="B241" s="83" t="str">
        <x:v>PNIEC_SLOW_2030</x:v>
      </x:c>
      <x:c r="C241" s="83" t="n">
        <x:v>2030</x:v>
      </x:c>
      <x:c r="D241" s="83" t="str">
        <x:v>PNIEC Slow 2030</x:v>
      </x:c>
      <x:c r="E241" s="83" t="str">
        <x:v>Sardegna</x:v>
      </x:c>
      <x:c r="F241" s="83" t="str">
        <x:v>CM</x:v>
      </x:c>
      <x:c r="G241" s="197" t="n">
        <x:v>3.2</x:v>
      </x:c>
      <x:c r="H241" s="203" t="b">
        <x:v>1</x:v>
      </x:c>
      <x:c r="I241" s="197"/>
      <x:c r="J241" s="197"/>
      <x:c r="K241" s="197" t="str">
        <x:f>IF(AND(G241&lt;&gt;"",J241&lt;&gt;""),G241/J241,"")</x:f>
      </x:c>
      <x:c r="L241" s="197" t="str">
        <x:f>IF(AND(G241&lt;&gt;"",I241&lt;&gt;""),G241/I241,"")</x:f>
      </x:c>
      <x:c r="M241" s="83" t="str">
        <x:v>S09</x:v>
      </x:c>
      <x:c r="N241" s="83" t="str">
        <x:v>Documento di Descrizione degli Scenari 2024</x:v>
      </x:c>
      <x:c r="O241" s="83" t="n">
        <x:v>63</x:v>
      </x:c>
      <x:c r="P241" s="83" t="str">
        <x:v>60-61</x:v>
      </x:c>
      <x:c r="Q241" s="83" t="str">
        <x:v>Tabella 16</x:v>
      </x:c>
      <x:c r="R241" s="83" t="str">
        <x:v>Assunzione di scenario</x:v>
      </x:c>
      <x:c r="S241" s="83" t="str">
        <x:v>Direct table extraction</x:v>
      </x:c>
      <x:c r="T241" s="83" t="str">
        <x:v>A — Direct</x:v>
      </x:c>
      <x:c r="U241" s="83" t="str">
        <x:v>Energy capacity by zone and class; derive power only where duration is specified.</x:v>
      </x:c>
      <x:c r="V241" s="83" t="str">
        <x:v>Small-scale source classes are 2 or 4 hours; utility-scale is 8 hours. CM duration is not stated.</x:v>
      </x:c>
    </x:row>
    <x:row r="242">
      <x:c r="A242" s="83" t="str">
        <x:v>SZ-238</x:v>
      </x:c>
      <x:c r="B242" s="83" t="str">
        <x:v>DE_IT_2035</x:v>
      </x:c>
      <x:c r="C242" s="83" t="n">
        <x:v>2035</x:v>
      </x:c>
      <x:c r="D242" s="83" t="str">
        <x:v>DE-IT 2035</x:v>
      </x:c>
      <x:c r="E242" s="83" t="str">
        <x:v>Sardegna</x:v>
      </x:c>
      <x:c r="F242" s="83" t="str">
        <x:v>CM</x:v>
      </x:c>
      <x:c r="G242" s="197" t="n">
        <x:v>3.2</x:v>
      </x:c>
      <x:c r="H242" s="203" t="b">
        <x:v>1</x:v>
      </x:c>
      <x:c r="I242" s="197"/>
      <x:c r="J242" s="197"/>
      <x:c r="K242" s="197" t="str">
        <x:f>IF(AND(G242&lt;&gt;"",J242&lt;&gt;""),G242/J242,"")</x:f>
      </x:c>
      <x:c r="L242" s="197" t="str">
        <x:f>IF(AND(G242&lt;&gt;"",I242&lt;&gt;""),G242/I242,"")</x:f>
      </x:c>
      <x:c r="M242" s="83" t="str">
        <x:v>S09</x:v>
      </x:c>
      <x:c r="N242" s="83" t="str">
        <x:v>Documento di Descrizione degli Scenari 2024</x:v>
      </x:c>
      <x:c r="O242" s="83" t="n">
        <x:v>63</x:v>
      </x:c>
      <x:c r="P242" s="83" t="str">
        <x:v>60-61</x:v>
      </x:c>
      <x:c r="Q242" s="83" t="str">
        <x:v>Tabella 16</x:v>
      </x:c>
      <x:c r="R242" s="83" t="str">
        <x:v>Assunzione di scenario</x:v>
      </x:c>
      <x:c r="S242" s="83" t="str">
        <x:v>Direct table extraction</x:v>
      </x:c>
      <x:c r="T242" s="83" t="str">
        <x:v>A — Direct</x:v>
      </x:c>
      <x:c r="U242" s="83" t="str">
        <x:v>Energy capacity by zone and class; derive power only where duration is specified.</x:v>
      </x:c>
      <x:c r="V242" s="83" t="str">
        <x:v>Small-scale source classes are 2 or 4 hours; utility-scale is 8 hours. CM duration is not stated.</x:v>
      </x:c>
    </x:row>
    <x:row r="243">
      <x:c r="A243" s="83" t="str">
        <x:v>SZ-239</x:v>
      </x:c>
      <x:c r="B243" s="83" t="str">
        <x:v>GA_IT_2035</x:v>
      </x:c>
      <x:c r="C243" s="83" t="n">
        <x:v>2035</x:v>
      </x:c>
      <x:c r="D243" s="83" t="str">
        <x:v>GA-IT 2035</x:v>
      </x:c>
      <x:c r="E243" s="83" t="str">
        <x:v>Sardegna</x:v>
      </x:c>
      <x:c r="F243" s="83" t="str">
        <x:v>CM</x:v>
      </x:c>
      <x:c r="G243" s="197" t="n">
        <x:v>3.2</x:v>
      </x:c>
      <x:c r="H243" s="203" t="b">
        <x:v>1</x:v>
      </x:c>
      <x:c r="I243" s="197"/>
      <x:c r="J243" s="197"/>
      <x:c r="K243" s="197" t="str">
        <x:f>IF(AND(G243&lt;&gt;"",J243&lt;&gt;""),G243/J243,"")</x:f>
      </x:c>
      <x:c r="L243" s="197" t="str">
        <x:f>IF(AND(G243&lt;&gt;"",I243&lt;&gt;""),G243/I243,"")</x:f>
      </x:c>
      <x:c r="M243" s="83" t="str">
        <x:v>S09</x:v>
      </x:c>
      <x:c r="N243" s="83" t="str">
        <x:v>Documento di Descrizione degli Scenari 2024</x:v>
      </x:c>
      <x:c r="O243" s="83" t="n">
        <x:v>63</x:v>
      </x:c>
      <x:c r="P243" s="83" t="str">
        <x:v>60-61</x:v>
      </x:c>
      <x:c r="Q243" s="83" t="str">
        <x:v>Tabella 16</x:v>
      </x:c>
      <x:c r="R243" s="83" t="str">
        <x:v>Assunzione di scenario</x:v>
      </x:c>
      <x:c r="S243" s="83" t="str">
        <x:v>Direct table extraction</x:v>
      </x:c>
      <x:c r="T243" s="83" t="str">
        <x:v>A — Direct</x:v>
      </x:c>
      <x:c r="U243" s="83" t="str">
        <x:v>Energy capacity by zone and class; derive power only where duration is specified.</x:v>
      </x:c>
      <x:c r="V243" s="83" t="str">
        <x:v>Small-scale source classes are 2 or 4 hours; utility-scale is 8 hours. CM duration is not stated.</x:v>
      </x:c>
    </x:row>
    <x:row r="244">
      <x:c r="A244" s="83" t="str">
        <x:v>SZ-240</x:v>
      </x:c>
      <x:c r="B244" s="83" t="str">
        <x:v>PNIEC_SLOW_2035</x:v>
      </x:c>
      <x:c r="C244" s="83" t="n">
        <x:v>2035</x:v>
      </x:c>
      <x:c r="D244" s="83" t="str">
        <x:v>PNIEC Slow 2035</x:v>
      </x:c>
      <x:c r="E244" s="83" t="str">
        <x:v>Sardegna</x:v>
      </x:c>
      <x:c r="F244" s="83" t="str">
        <x:v>CM</x:v>
      </x:c>
      <x:c r="G244" s="197" t="n">
        <x:v>3.2</x:v>
      </x:c>
      <x:c r="H244" s="203" t="b">
        <x:v>1</x:v>
      </x:c>
      <x:c r="I244" s="197"/>
      <x:c r="J244" s="197"/>
      <x:c r="K244" s="197" t="str">
        <x:f>IF(AND(G244&lt;&gt;"",J244&lt;&gt;""),G244/J244,"")</x:f>
      </x:c>
      <x:c r="L244" s="197" t="str">
        <x:f>IF(AND(G244&lt;&gt;"",I244&lt;&gt;""),G244/I244,"")</x:f>
      </x:c>
      <x:c r="M244" s="83" t="str">
        <x:v>S09</x:v>
      </x:c>
      <x:c r="N244" s="83" t="str">
        <x:v>Documento di Descrizione degli Scenari 2024</x:v>
      </x:c>
      <x:c r="O244" s="83" t="n">
        <x:v>63</x:v>
      </x:c>
      <x:c r="P244" s="83" t="str">
        <x:v>60-61</x:v>
      </x:c>
      <x:c r="Q244" s="83" t="str">
        <x:v>Tabella 16</x:v>
      </x:c>
      <x:c r="R244" s="83" t="str">
        <x:v>Assunzione di scenario</x:v>
      </x:c>
      <x:c r="S244" s="83" t="str">
        <x:v>Direct table extraction</x:v>
      </x:c>
      <x:c r="T244" s="83" t="str">
        <x:v>A — Direct</x:v>
      </x:c>
      <x:c r="U244" s="83" t="str">
        <x:v>Energy capacity by zone and class; derive power only where duration is specified.</x:v>
      </x:c>
      <x:c r="V244" s="83" t="str">
        <x:v>Small-scale source classes are 2 or 4 hours; utility-scale is 8 hours. CM duration is not stated.</x:v>
      </x:c>
    </x:row>
    <x:row r="245">
      <x:c r="A245" s="83" t="str">
        <x:v>SZ-241</x:v>
      </x:c>
      <x:c r="B245" s="83" t="str">
        <x:v>DE_IT_2040</x:v>
      </x:c>
      <x:c r="C245" s="83" t="n">
        <x:v>2040</x:v>
      </x:c>
      <x:c r="D245" s="83" t="str">
        <x:v>DE-IT 2040</x:v>
      </x:c>
      <x:c r="E245" s="83" t="str">
        <x:v>Sardegna</x:v>
      </x:c>
      <x:c r="F245" s="83" t="str">
        <x:v>CM</x:v>
      </x:c>
      <x:c r="G245" s="197" t="n">
        <x:v>3.2</x:v>
      </x:c>
      <x:c r="H245" s="203" t="b">
        <x:v>1</x:v>
      </x:c>
      <x:c r="I245" s="197"/>
      <x:c r="J245" s="197"/>
      <x:c r="K245" s="197" t="str">
        <x:f>IF(AND(G245&lt;&gt;"",J245&lt;&gt;""),G245/J245,"")</x:f>
      </x:c>
      <x:c r="L245" s="197" t="str">
        <x:f>IF(AND(G245&lt;&gt;"",I245&lt;&gt;""),G245/I245,"")</x:f>
      </x:c>
      <x:c r="M245" s="83" t="str">
        <x:v>S09</x:v>
      </x:c>
      <x:c r="N245" s="83" t="str">
        <x:v>Documento di Descrizione degli Scenari 2024</x:v>
      </x:c>
      <x:c r="O245" s="83" t="n">
        <x:v>63</x:v>
      </x:c>
      <x:c r="P245" s="83" t="str">
        <x:v>60-61</x:v>
      </x:c>
      <x:c r="Q245" s="83" t="str">
        <x:v>Tabella 16</x:v>
      </x:c>
      <x:c r="R245" s="83" t="str">
        <x:v>Assunzione di scenario</x:v>
      </x:c>
      <x:c r="S245" s="83" t="str">
        <x:v>Direct table extraction</x:v>
      </x:c>
      <x:c r="T245" s="83" t="str">
        <x:v>A — Direct</x:v>
      </x:c>
      <x:c r="U245" s="83" t="str">
        <x:v>Energy capacity by zone and class; derive power only where duration is specified.</x:v>
      </x:c>
      <x:c r="V245" s="83" t="str">
        <x:v>Small-scale source classes are 2 or 4 hours; utility-scale is 8 hours. CM duration is not stated.</x:v>
      </x:c>
    </x:row>
    <x:row r="246">
      <x:c r="A246" s="83" t="str">
        <x:v>SZ-242</x:v>
      </x:c>
      <x:c r="B246" s="83" t="str">
        <x:v>GA_IT_2040</x:v>
      </x:c>
      <x:c r="C246" s="83" t="n">
        <x:v>2040</x:v>
      </x:c>
      <x:c r="D246" s="83" t="str">
        <x:v>GA-IT 2040</x:v>
      </x:c>
      <x:c r="E246" s="83" t="str">
        <x:v>Sardegna</x:v>
      </x:c>
      <x:c r="F246" s="83" t="str">
        <x:v>CM</x:v>
      </x:c>
      <x:c r="G246" s="197" t="n">
        <x:v>3.2</x:v>
      </x:c>
      <x:c r="H246" s="203" t="b">
        <x:v>1</x:v>
      </x:c>
      <x:c r="I246" s="197"/>
      <x:c r="J246" s="197"/>
      <x:c r="K246" s="197" t="str">
        <x:f>IF(AND(G246&lt;&gt;"",J246&lt;&gt;""),G246/J246,"")</x:f>
      </x:c>
      <x:c r="L246" s="197" t="str">
        <x:f>IF(AND(G246&lt;&gt;"",I246&lt;&gt;""),G246/I246,"")</x:f>
      </x:c>
      <x:c r="M246" s="83" t="str">
        <x:v>S09</x:v>
      </x:c>
      <x:c r="N246" s="83" t="str">
        <x:v>Documento di Descrizione degli Scenari 2024</x:v>
      </x:c>
      <x:c r="O246" s="83" t="n">
        <x:v>63</x:v>
      </x:c>
      <x:c r="P246" s="83" t="str">
        <x:v>60-61</x:v>
      </x:c>
      <x:c r="Q246" s="83" t="str">
        <x:v>Tabella 16</x:v>
      </x:c>
      <x:c r="R246" s="83" t="str">
        <x:v>Assunzione di scenario</x:v>
      </x:c>
      <x:c r="S246" s="83" t="str">
        <x:v>Direct table extraction</x:v>
      </x:c>
      <x:c r="T246" s="83" t="str">
        <x:v>A — Direct</x:v>
      </x:c>
      <x:c r="U246" s="83" t="str">
        <x:v>Energy capacity by zone and class; derive power only where duration is specified.</x:v>
      </x:c>
      <x:c r="V246" s="83" t="str">
        <x:v>Small-scale source classes are 2 or 4 hours; utility-scale is 8 hours. CM duration is not stated.</x:v>
      </x:c>
    </x:row>
    <x:row r="247">
      <x:c r="A247" s="83" t="str">
        <x:v>SZ-243</x:v>
      </x:c>
      <x:c r="B247" s="83" t="str">
        <x:v>PNIEC_SLOW_2040</x:v>
      </x:c>
      <x:c r="C247" s="83" t="n">
        <x:v>2040</x:v>
      </x:c>
      <x:c r="D247" s="83" t="str">
        <x:v>PNIEC Slow 2040</x:v>
      </x:c>
      <x:c r="E247" s="83" t="str">
        <x:v>Sardegna</x:v>
      </x:c>
      <x:c r="F247" s="83" t="str">
        <x:v>CM</x:v>
      </x:c>
      <x:c r="G247" s="197" t="n">
        <x:v>3.2</x:v>
      </x:c>
      <x:c r="H247" s="203" t="b">
        <x:v>1</x:v>
      </x:c>
      <x:c r="I247" s="197"/>
      <x:c r="J247" s="197"/>
      <x:c r="K247" s="197" t="str">
        <x:f>IF(AND(G247&lt;&gt;"",J247&lt;&gt;""),G247/J247,"")</x:f>
      </x:c>
      <x:c r="L247" s="197" t="str">
        <x:f>IF(AND(G247&lt;&gt;"",I247&lt;&gt;""),G247/I247,"")</x:f>
      </x:c>
      <x:c r="M247" s="83" t="str">
        <x:v>S09</x:v>
      </x:c>
      <x:c r="N247" s="83" t="str">
        <x:v>Documento di Descrizione degli Scenari 2024</x:v>
      </x:c>
      <x:c r="O247" s="83" t="n">
        <x:v>63</x:v>
      </x:c>
      <x:c r="P247" s="83" t="str">
        <x:v>60-61</x:v>
      </x:c>
      <x:c r="Q247" s="83" t="str">
        <x:v>Tabella 16</x:v>
      </x:c>
      <x:c r="R247" s="83" t="str">
        <x:v>Assunzione di scenario</x:v>
      </x:c>
      <x:c r="S247" s="83" t="str">
        <x:v>Direct table extraction</x:v>
      </x:c>
      <x:c r="T247" s="83" t="str">
        <x:v>A — Direct</x:v>
      </x:c>
      <x:c r="U247" s="83" t="str">
        <x:v>Energy capacity by zone and class; derive power only where duration is specified.</x:v>
      </x:c>
      <x:c r="V247" s="83" t="str">
        <x:v>Small-scale source classes are 2 or 4 hours; utility-scale is 8 hours. CM duration is not stated.</x:v>
      </x:c>
    </x:row>
    <x:row r="248">
      <x:c r="A248" s="83" t="str">
        <x:v>SZ-244</x:v>
      </x:c>
      <x:c r="B248" s="83" t="str">
        <x:v>HIST_2023</x:v>
      </x:c>
      <x:c r="C248" s="83" t="n">
        <x:v>2023</x:v>
      </x:c>
      <x:c r="D248" s="83" t="str">
        <x:v>Storico 2023</x:v>
      </x:c>
      <x:c r="E248" s="83" t="str">
        <x:v>Sardegna</x:v>
      </x:c>
      <x:c r="F248" s="83" t="str">
        <x:v>Totale</x:v>
      </x:c>
      <x:c r="G248" s="197" t="n">
        <x:v>0.2</x:v>
      </x:c>
      <x:c r="H248" s="203" t="b">
        <x:v>1</x:v>
      </x:c>
      <x:c r="I248" s="197"/>
      <x:c r="J248" s="197"/>
      <x:c r="K248" s="197" t="str">
        <x:f>IF(AND(G248&lt;&gt;"",J248&lt;&gt;""),G248/J248,"")</x:f>
      </x:c>
      <x:c r="L248" s="197" t="str">
        <x:f>IF(AND(G248&lt;&gt;"",I248&lt;&gt;""),G248/I248,"")</x:f>
      </x:c>
      <x:c r="M248" s="83" t="str">
        <x:v>S09</x:v>
      </x:c>
      <x:c r="N248" s="83" t="str">
        <x:v>Documento di Descrizione degli Scenari 2024</x:v>
      </x:c>
      <x:c r="O248" s="83" t="n">
        <x:v>63</x:v>
      </x:c>
      <x:c r="P248" s="83" t="str">
        <x:v>60-61</x:v>
      </x:c>
      <x:c r="Q248" s="83" t="str">
        <x:v>Tabella 16</x:v>
      </x:c>
      <x:c r="R248" s="83" t="str">
        <x:v>Dato osservato storico nel DDS</x:v>
      </x:c>
      <x:c r="S248" s="83" t="str">
        <x:v>Direct table extraction</x:v>
      </x:c>
      <x:c r="T248" s="83" t="str">
        <x:v>A — Direct</x:v>
      </x:c>
      <x:c r="U248" s="83" t="str">
        <x:v>Energy capacity by zone and class; derive power only where duration is specified.</x:v>
      </x:c>
      <x:c r="V248" s="83" t="str">
        <x:v>Small-scale source classes are 2 or 4 hours; utility-scale is 8 hours. CM duration is not stated.</x:v>
      </x:c>
    </x:row>
    <x:row r="249">
      <x:c r="A249" s="83" t="str">
        <x:v>SZ-245</x:v>
      </x:c>
      <x:c r="B249" s="83" t="str">
        <x:v>PNIEC_POLICY_2030</x:v>
      </x:c>
      <x:c r="C249" s="83" t="n">
        <x:v>2030</x:v>
      </x:c>
      <x:c r="D249" s="83" t="str">
        <x:v>PNIEC Policy 2030</x:v>
      </x:c>
      <x:c r="E249" s="83" t="str">
        <x:v>Sardegna</x:v>
      </x:c>
      <x:c r="F249" s="83" t="str">
        <x:v>Totale</x:v>
      </x:c>
      <x:c r="G249" s="197" t="n">
        <x:v>14.1</x:v>
      </x:c>
      <x:c r="H249" s="203" t="b">
        <x:v>1</x:v>
      </x:c>
      <x:c r="I249" s="197"/>
      <x:c r="J249" s="197"/>
      <x:c r="K249" s="197" t="str">
        <x:f>IF(AND(G249&lt;&gt;"",J249&lt;&gt;""),G249/J249,"")</x:f>
      </x:c>
      <x:c r="L249" s="197" t="str">
        <x:f>IF(AND(G249&lt;&gt;"",I249&lt;&gt;""),G249/I249,"")</x:f>
      </x:c>
      <x:c r="M249" s="83" t="str">
        <x:v>S09</x:v>
      </x:c>
      <x:c r="N249" s="83" t="str">
        <x:v>Documento di Descrizione degli Scenari 2024</x:v>
      </x:c>
      <x:c r="O249" s="83" t="n">
        <x:v>63</x:v>
      </x:c>
      <x:c r="P249" s="83" t="str">
        <x:v>60-61</x:v>
      </x:c>
      <x:c r="Q249" s="83" t="str">
        <x:v>Tabella 16</x:v>
      </x:c>
      <x:c r="R249" s="83" t="str">
        <x:v>Assunzione di scenario</x:v>
      </x:c>
      <x:c r="S249" s="83" t="str">
        <x:v>Direct table extraction</x:v>
      </x:c>
      <x:c r="T249" s="83" t="str">
        <x:v>A — Direct</x:v>
      </x:c>
      <x:c r="U249" s="83" t="str">
        <x:v>Energy capacity by zone and class; derive power only where duration is specified.</x:v>
      </x:c>
      <x:c r="V249" s="83" t="str">
        <x:v>Small-scale source classes are 2 or 4 hours; utility-scale is 8 hours. CM duration is not stated.</x:v>
      </x:c>
    </x:row>
    <x:row r="250">
      <x:c r="A250" s="83" t="str">
        <x:v>SZ-246</x:v>
      </x:c>
      <x:c r="B250" s="83" t="str">
        <x:v>PNIEC_SLOW_2030</x:v>
      </x:c>
      <x:c r="C250" s="83" t="n">
        <x:v>2030</x:v>
      </x:c>
      <x:c r="D250" s="83" t="str">
        <x:v>PNIEC Slow 2030</x:v>
      </x:c>
      <x:c r="E250" s="83" t="str">
        <x:v>Sardegna</x:v>
      </x:c>
      <x:c r="F250" s="83" t="str">
        <x:v>Totale</x:v>
      </x:c>
      <x:c r="G250" s="197" t="n">
        <x:v>7.9</x:v>
      </x:c>
      <x:c r="H250" s="203" t="b">
        <x:v>1</x:v>
      </x:c>
      <x:c r="I250" s="197"/>
      <x:c r="J250" s="197"/>
      <x:c r="K250" s="197" t="str">
        <x:f>IF(AND(G250&lt;&gt;"",J250&lt;&gt;""),G250/J250,"")</x:f>
      </x:c>
      <x:c r="L250" s="197" t="str">
        <x:f>IF(AND(G250&lt;&gt;"",I250&lt;&gt;""),G250/I250,"")</x:f>
      </x:c>
      <x:c r="M250" s="83" t="str">
        <x:v>S09</x:v>
      </x:c>
      <x:c r="N250" s="83" t="str">
        <x:v>Documento di Descrizione degli Scenari 2024</x:v>
      </x:c>
      <x:c r="O250" s="83" t="n">
        <x:v>63</x:v>
      </x:c>
      <x:c r="P250" s="83" t="str">
        <x:v>60-61</x:v>
      </x:c>
      <x:c r="Q250" s="83" t="str">
        <x:v>Tabella 16</x:v>
      </x:c>
      <x:c r="R250" s="83" t="str">
        <x:v>Assunzione di scenario</x:v>
      </x:c>
      <x:c r="S250" s="83" t="str">
        <x:v>Direct table extraction</x:v>
      </x:c>
      <x:c r="T250" s="83" t="str">
        <x:v>A — Direct</x:v>
      </x:c>
      <x:c r="U250" s="83" t="str">
        <x:v>Energy capacity by zone and class; derive power only where duration is specified.</x:v>
      </x:c>
      <x:c r="V250" s="83" t="str">
        <x:v>Small-scale source classes are 2 or 4 hours; utility-scale is 8 hours. CM duration is not stated.</x:v>
      </x:c>
    </x:row>
    <x:row r="251">
      <x:c r="A251" s="83" t="str">
        <x:v>SZ-247</x:v>
      </x:c>
      <x:c r="B251" s="83" t="str">
        <x:v>DE_IT_2035</x:v>
      </x:c>
      <x:c r="C251" s="83" t="n">
        <x:v>2035</x:v>
      </x:c>
      <x:c r="D251" s="83" t="str">
        <x:v>DE-IT 2035</x:v>
      </x:c>
      <x:c r="E251" s="83" t="str">
        <x:v>Sardegna</x:v>
      </x:c>
      <x:c r="F251" s="83" t="str">
        <x:v>Totale</x:v>
      </x:c>
      <x:c r="G251" s="197" t="n">
        <x:v>19.6</x:v>
      </x:c>
      <x:c r="H251" s="203" t="b">
        <x:v>1</x:v>
      </x:c>
      <x:c r="I251" s="197"/>
      <x:c r="J251" s="197"/>
      <x:c r="K251" s="197" t="str">
        <x:f>IF(AND(G251&lt;&gt;"",J251&lt;&gt;""),G251/J251,"")</x:f>
      </x:c>
      <x:c r="L251" s="197" t="str">
        <x:f>IF(AND(G251&lt;&gt;"",I251&lt;&gt;""),G251/I251,"")</x:f>
      </x:c>
      <x:c r="M251" s="83" t="str">
        <x:v>S09</x:v>
      </x:c>
      <x:c r="N251" s="83" t="str">
        <x:v>Documento di Descrizione degli Scenari 2024</x:v>
      </x:c>
      <x:c r="O251" s="83" t="n">
        <x:v>63</x:v>
      </x:c>
      <x:c r="P251" s="83" t="str">
        <x:v>60-61</x:v>
      </x:c>
      <x:c r="Q251" s="83" t="str">
        <x:v>Tabella 16</x:v>
      </x:c>
      <x:c r="R251" s="83" t="str">
        <x:v>Assunzione di scenario</x:v>
      </x:c>
      <x:c r="S251" s="83" t="str">
        <x:v>Direct table extraction</x:v>
      </x:c>
      <x:c r="T251" s="83" t="str">
        <x:v>A — Direct</x:v>
      </x:c>
      <x:c r="U251" s="83" t="str">
        <x:v>Energy capacity by zone and class; derive power only where duration is specified.</x:v>
      </x:c>
      <x:c r="V251" s="83" t="str">
        <x:v>Small-scale source classes are 2 or 4 hours; utility-scale is 8 hours. CM duration is not stated.</x:v>
      </x:c>
    </x:row>
    <x:row r="252">
      <x:c r="A252" s="83" t="str">
        <x:v>SZ-248</x:v>
      </x:c>
      <x:c r="B252" s="83" t="str">
        <x:v>GA_IT_2035</x:v>
      </x:c>
      <x:c r="C252" s="83" t="n">
        <x:v>2035</x:v>
      </x:c>
      <x:c r="D252" s="83" t="str">
        <x:v>GA-IT 2035</x:v>
      </x:c>
      <x:c r="E252" s="83" t="str">
        <x:v>Sardegna</x:v>
      </x:c>
      <x:c r="F252" s="83" t="str">
        <x:v>Totale</x:v>
      </x:c>
      <x:c r="G252" s="197" t="n">
        <x:v>12.3</x:v>
      </x:c>
      <x:c r="H252" s="203" t="b">
        <x:v>1</x:v>
      </x:c>
      <x:c r="I252" s="197"/>
      <x:c r="J252" s="197"/>
      <x:c r="K252" s="197" t="str">
        <x:f>IF(AND(G252&lt;&gt;"",J252&lt;&gt;""),G252/J252,"")</x:f>
      </x:c>
      <x:c r="L252" s="197" t="str">
        <x:f>IF(AND(G252&lt;&gt;"",I252&lt;&gt;""),G252/I252,"")</x:f>
      </x:c>
      <x:c r="M252" s="83" t="str">
        <x:v>S09</x:v>
      </x:c>
      <x:c r="N252" s="83" t="str">
        <x:v>Documento di Descrizione degli Scenari 2024</x:v>
      </x:c>
      <x:c r="O252" s="83" t="n">
        <x:v>63</x:v>
      </x:c>
      <x:c r="P252" s="83" t="str">
        <x:v>60-61</x:v>
      </x:c>
      <x:c r="Q252" s="83" t="str">
        <x:v>Tabella 16</x:v>
      </x:c>
      <x:c r="R252" s="83" t="str">
        <x:v>Assunzione di scenario</x:v>
      </x:c>
      <x:c r="S252" s="83" t="str">
        <x:v>Direct table extraction</x:v>
      </x:c>
      <x:c r="T252" s="83" t="str">
        <x:v>A — Direct</x:v>
      </x:c>
      <x:c r="U252" s="83" t="str">
        <x:v>Energy capacity by zone and class; derive power only where duration is specified.</x:v>
      </x:c>
      <x:c r="V252" s="83" t="str">
        <x:v>Small-scale source classes are 2 or 4 hours; utility-scale is 8 hours. CM duration is not stated.</x:v>
      </x:c>
    </x:row>
    <x:row r="253">
      <x:c r="A253" s="83" t="str">
        <x:v>SZ-249</x:v>
      </x:c>
      <x:c r="B253" s="83" t="str">
        <x:v>PNIEC_SLOW_2035</x:v>
      </x:c>
      <x:c r="C253" s="83" t="n">
        <x:v>2035</x:v>
      </x:c>
      <x:c r="D253" s="83" t="str">
        <x:v>PNIEC Slow 2035</x:v>
      </x:c>
      <x:c r="E253" s="83" t="str">
        <x:v>Sardegna</x:v>
      </x:c>
      <x:c r="F253" s="83" t="str">
        <x:v>Totale</x:v>
      </x:c>
      <x:c r="G253" s="197" t="n">
        <x:v>11.6</x:v>
      </x:c>
      <x:c r="H253" s="203" t="b">
        <x:v>1</x:v>
      </x:c>
      <x:c r="I253" s="197"/>
      <x:c r="J253" s="197"/>
      <x:c r="K253" s="197" t="str">
        <x:f>IF(AND(G253&lt;&gt;"",J253&lt;&gt;""),G253/J253,"")</x:f>
      </x:c>
      <x:c r="L253" s="197" t="str">
        <x:f>IF(AND(G253&lt;&gt;"",I253&lt;&gt;""),G253/I253,"")</x:f>
      </x:c>
      <x:c r="M253" s="83" t="str">
        <x:v>S09</x:v>
      </x:c>
      <x:c r="N253" s="83" t="str">
        <x:v>Documento di Descrizione degli Scenari 2024</x:v>
      </x:c>
      <x:c r="O253" s="83" t="n">
        <x:v>63</x:v>
      </x:c>
      <x:c r="P253" s="83" t="str">
        <x:v>60-61</x:v>
      </x:c>
      <x:c r="Q253" s="83" t="str">
        <x:v>Tabella 16</x:v>
      </x:c>
      <x:c r="R253" s="83" t="str">
        <x:v>Assunzione di scenario</x:v>
      </x:c>
      <x:c r="S253" s="83" t="str">
        <x:v>Direct table extraction</x:v>
      </x:c>
      <x:c r="T253" s="83" t="str">
        <x:v>A — Direct</x:v>
      </x:c>
      <x:c r="U253" s="83" t="str">
        <x:v>Energy capacity by zone and class; derive power only where duration is specified.</x:v>
      </x:c>
      <x:c r="V253" s="83" t="str">
        <x:v>Small-scale source classes are 2 or 4 hours; utility-scale is 8 hours. CM duration is not stated.</x:v>
      </x:c>
    </x:row>
    <x:row r="254">
      <x:c r="A254" s="83" t="str">
        <x:v>SZ-250</x:v>
      </x:c>
      <x:c r="B254" s="83" t="str">
        <x:v>DE_IT_2040</x:v>
      </x:c>
      <x:c r="C254" s="83" t="n">
        <x:v>2040</x:v>
      </x:c>
      <x:c r="D254" s="83" t="str">
        <x:v>DE-IT 2040</x:v>
      </x:c>
      <x:c r="E254" s="83" t="str">
        <x:v>Sardegna</x:v>
      </x:c>
      <x:c r="F254" s="83" t="str">
        <x:v>Totale</x:v>
      </x:c>
      <x:c r="G254" s="197" t="n">
        <x:v>24.1</x:v>
      </x:c>
      <x:c r="H254" s="203" t="b">
        <x:v>1</x:v>
      </x:c>
      <x:c r="I254" s="197"/>
      <x:c r="J254" s="197"/>
      <x:c r="K254" s="197" t="str">
        <x:f>IF(AND(G254&lt;&gt;"",J254&lt;&gt;""),G254/J254,"")</x:f>
      </x:c>
      <x:c r="L254" s="197" t="str">
        <x:f>IF(AND(G254&lt;&gt;"",I254&lt;&gt;""),G254/I254,"")</x:f>
      </x:c>
      <x:c r="M254" s="83" t="str">
        <x:v>S09</x:v>
      </x:c>
      <x:c r="N254" s="83" t="str">
        <x:v>Documento di Descrizione degli Scenari 2024</x:v>
      </x:c>
      <x:c r="O254" s="83" t="n">
        <x:v>63</x:v>
      </x:c>
      <x:c r="P254" s="83" t="str">
        <x:v>60-61</x:v>
      </x:c>
      <x:c r="Q254" s="83" t="str">
        <x:v>Tabella 16</x:v>
      </x:c>
      <x:c r="R254" s="83" t="str">
        <x:v>Assunzione di scenario</x:v>
      </x:c>
      <x:c r="S254" s="83" t="str">
        <x:v>Direct table extraction</x:v>
      </x:c>
      <x:c r="T254" s="83" t="str">
        <x:v>A — Direct</x:v>
      </x:c>
      <x:c r="U254" s="83" t="str">
        <x:v>Energy capacity by zone and class; derive power only where duration is specified.</x:v>
      </x:c>
      <x:c r="V254" s="83" t="str">
        <x:v>Small-scale source classes are 2 or 4 hours; utility-scale is 8 hours. CM duration is not stated.</x:v>
      </x:c>
    </x:row>
    <x:row r="255">
      <x:c r="A255" s="83" t="str">
        <x:v>SZ-251</x:v>
      </x:c>
      <x:c r="B255" s="83" t="str">
        <x:v>GA_IT_2040</x:v>
      </x:c>
      <x:c r="C255" s="83" t="n">
        <x:v>2040</x:v>
      </x:c>
      <x:c r="D255" s="83" t="str">
        <x:v>GA-IT 2040</x:v>
      </x:c>
      <x:c r="E255" s="83" t="str">
        <x:v>Sardegna</x:v>
      </x:c>
      <x:c r="F255" s="83" t="str">
        <x:v>Totale</x:v>
      </x:c>
      <x:c r="G255" s="197" t="n">
        <x:v>17.2</x:v>
      </x:c>
      <x:c r="H255" s="203" t="b">
        <x:v>1</x:v>
      </x:c>
      <x:c r="I255" s="197"/>
      <x:c r="J255" s="197"/>
      <x:c r="K255" s="197" t="str">
        <x:f>IF(AND(G255&lt;&gt;"",J255&lt;&gt;""),G255/J255,"")</x:f>
      </x:c>
      <x:c r="L255" s="197" t="str">
        <x:f>IF(AND(G255&lt;&gt;"",I255&lt;&gt;""),G255/I255,"")</x:f>
      </x:c>
      <x:c r="M255" s="83" t="str">
        <x:v>S09</x:v>
      </x:c>
      <x:c r="N255" s="83" t="str">
        <x:v>Documento di Descrizione degli Scenari 2024</x:v>
      </x:c>
      <x:c r="O255" s="83" t="n">
        <x:v>63</x:v>
      </x:c>
      <x:c r="P255" s="83" t="str">
        <x:v>60-61</x:v>
      </x:c>
      <x:c r="Q255" s="83" t="str">
        <x:v>Tabella 16</x:v>
      </x:c>
      <x:c r="R255" s="83" t="str">
        <x:v>Assunzione di scenario</x:v>
      </x:c>
      <x:c r="S255" s="83" t="str">
        <x:v>Direct table extraction</x:v>
      </x:c>
      <x:c r="T255" s="83" t="str">
        <x:v>A — Direct</x:v>
      </x:c>
      <x:c r="U255" s="83" t="str">
        <x:v>Energy capacity by zone and class; derive power only where duration is specified.</x:v>
      </x:c>
      <x:c r="V255" s="83" t="str">
        <x:v>Small-scale source classes are 2 or 4 hours; utility-scale is 8 hours. CM duration is not stated.</x:v>
      </x:c>
    </x:row>
    <x:row r="256">
      <x:c r="A256" s="83" t="str">
        <x:v>SZ-252</x:v>
      </x:c>
      <x:c r="B256" s="83" t="str">
        <x:v>PNIEC_SLOW_2040</x:v>
      </x:c>
      <x:c r="C256" s="83" t="n">
        <x:v>2040</x:v>
      </x:c>
      <x:c r="D256" s="83" t="str">
        <x:v>PNIEC Slow 2040</x:v>
      </x:c>
      <x:c r="E256" s="83" t="str">
        <x:v>Sardegna</x:v>
      </x:c>
      <x:c r="F256" s="83" t="str">
        <x:v>Totale</x:v>
      </x:c>
      <x:c r="G256" s="197" t="n">
        <x:v>15.9</x:v>
      </x:c>
      <x:c r="H256" s="203" t="b">
        <x:v>1</x:v>
      </x:c>
      <x:c r="I256" s="197"/>
      <x:c r="J256" s="197"/>
      <x:c r="K256" s="197" t="str">
        <x:f>IF(AND(G256&lt;&gt;"",J256&lt;&gt;""),G256/J256,"")</x:f>
      </x:c>
      <x:c r="L256" s="197" t="str">
        <x:f>IF(AND(G256&lt;&gt;"",I256&lt;&gt;""),G256/I256,"")</x:f>
      </x:c>
      <x:c r="M256" s="83" t="str">
        <x:v>S09</x:v>
      </x:c>
      <x:c r="N256" s="83" t="str">
        <x:v>Documento di Descrizione degli Scenari 2024</x:v>
      </x:c>
      <x:c r="O256" s="83" t="n">
        <x:v>63</x:v>
      </x:c>
      <x:c r="P256" s="83" t="str">
        <x:v>60-61</x:v>
      </x:c>
      <x:c r="Q256" s="83" t="str">
        <x:v>Tabella 16</x:v>
      </x:c>
      <x:c r="R256" s="83" t="str">
        <x:v>Assunzione di scenario</x:v>
      </x:c>
      <x:c r="S256" s="83" t="str">
        <x:v>Direct table extraction</x:v>
      </x:c>
      <x:c r="T256" s="83" t="str">
        <x:v>A — Direct</x:v>
      </x:c>
      <x:c r="U256" s="83" t="str">
        <x:v>Energy capacity by zone and class; derive power only where duration is specified.</x:v>
      </x:c>
      <x:c r="V256" s="83" t="str">
        <x:v>Small-scale source classes are 2 or 4 hours; utility-scale is 8 hours. CM duration is not stated.</x:v>
      </x:c>
    </x:row>
  </x:sheetData>
  <x:mergeCells>
    <x:mergeCell ref="A1:V1"/>
    <x:mergeCell ref="A2:V2"/>
  </x:mergeCells>
  <x:pageMargins left="0.7" right="0.7" top="0.75" bottom="0.75" header="0.3" footer="0.3"/>
  <x:tableParts count="1">
    <x:tablePart xmlns:r="http://schemas.openxmlformats.org/officeDocument/2006/relationships" r:id="Rd85af623a93c4574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28" hidden="0" customWidth="1"/>
    <x:col min="5" max="5" width="18" hidden="0" customWidth="1"/>
    <x:col min="6" max="6" width="18" hidden="0" customWidth="1"/>
    <x:col min="7" max="7" width="30" hidden="0" customWidth="1"/>
    <x:col min="8" max="8" width="42" hidden="0" customWidth="1"/>
    <x:col min="9" max="9" width="15" hidden="0" customWidth="1"/>
    <x:col min="10" max="10" width="14" hidden="0" customWidth="1"/>
    <x:col min="11" max="11" width="28" hidden="0" customWidth="1"/>
    <x:col min="12" max="12" width="14" hidden="0" customWidth="1"/>
    <x:col min="13" max="13" width="44" hidden="0" customWidth="1"/>
    <x:col min="14" max="14" width="12" hidden="0" customWidth="1"/>
    <x:col min="15" max="15" width="16" hidden="0" customWidth="1"/>
    <x:col min="16" max="16" width="24" hidden="0" customWidth="1"/>
    <x:col min="17" max="17" width="28" hidden="0" customWidth="1"/>
    <x:col min="18" max="18" width="34" hidden="0" customWidth="1"/>
    <x:col min="19" max="19" width="20" hidden="0" customWidth="1"/>
    <x:col min="20" max="20" width="48" hidden="0" customWidth="1"/>
    <x:col min="21" max="21" width="54" hidden="0" customWidth="1"/>
  </x:cols>
  <x:sheetData>
    <x:row r="1" ht="34" customHeight="1">
      <x:c r="A1" s="188" t="str">
        <x:v>Idroelettrico e pompaggi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</x:row>
    <x:row r="2" ht="30" customHeight="1">
      <x:c r="A2" s="192" t="str">
        <x:v>67 record: generazione storica/scenario, stock fisico, pipeline e gap espliciti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</x:row>
    <x:row r="4" ht="42" customHeight="1">
      <x:c r="A4" s="196" t="str">
        <x:v>Record ID</x:v>
      </x:c>
      <x:c r="B4" s="196" t="str">
        <x:v>Scenario ID</x:v>
      </x:c>
      <x:c r="C4" s="196" t="str">
        <x:v>Anno</x:v>
      </x:c>
      <x:c r="D4" s="196" t="str">
        <x:v>Scenario</x:v>
      </x:c>
      <x:c r="E4" s="196" t="str">
        <x:v>Geografia</x:v>
      </x:c>
      <x:c r="F4" s="196" t="str">
        <x:v>Zona</x:v>
      </x:c>
      <x:c r="G4" s="196" t="str">
        <x:v>Classe idro</x:v>
      </x:c>
      <x:c r="H4" s="196" t="str">
        <x:v>Metrica</x:v>
      </x:c>
      <x:c r="I4" s="196" t="str">
        <x:v>Valore</x:v>
      </x:c>
      <x:c r="J4" s="196" t="str">
        <x:v>Unità</x:v>
      </x:c>
      <x:c r="K4" s="196" t="str">
        <x:v>Status</x:v>
      </x:c>
      <x:c r="L4" s="196" t="str">
        <x:v>Fonte</x:v>
      </x:c>
      <x:c r="M4" s="196" t="str">
        <x:v>File fonte</x:v>
      </x:c>
      <x:c r="N4" s="196" t="str">
        <x:v>Pagina PDF</x:v>
      </x:c>
      <x:c r="O4" s="196" t="str">
        <x:v>Pagina stampata</x:v>
      </x:c>
      <x:c r="P4" s="196" t="str">
        <x:v>Tabella/Figura</x:v>
      </x:c>
      <x:c r="Q4" s="196" t="str">
        <x:v>Tipo evidenza</x:v>
      </x:c>
      <x:c r="R4" s="196" t="str">
        <x:v>Metodo</x:v>
      </x:c>
      <x:c r="S4" s="196" t="str">
        <x:v>Affidabilità</x:v>
      </x:c>
      <x:c r="T4" s="196" t="str">
        <x:v>Uso modello</x:v>
      </x:c>
      <x:c r="U4" s="196" t="str">
        <x:v>Note</x:v>
      </x:c>
    </x:row>
    <x:row r="5">
      <x:c r="A5" s="83" t="str">
        <x:v>HY-001</x:v>
      </x:c>
      <x:c r="B5" s="83" t="str"/>
      <x:c r="C5" s="83" t="n">
        <x:v>2016</x:v>
      </x:c>
      <x:c r="D5" s="83" t="str">
        <x:v>Storico 2016</x:v>
      </x:c>
      <x:c r="E5" s="83" t="str">
        <x:v>Italia</x:v>
      </x:c>
      <x:c r="F5" s="83" t="str"/>
      <x:c r="G5" s="83" t="str">
        <x:v>Renewable hydro aggregate</x:v>
      </x:c>
      <x:c r="H5" s="83" t="str">
        <x:v>Annual renewable hydro generation</x:v>
      </x:c>
      <x:c r="I5" s="197" t="n">
        <x:v>42.1</x:v>
      </x:c>
      <x:c r="J5" s="83" t="str">
        <x:v>TWh</x:v>
      </x:c>
      <x:c r="K5" s="83" t="str">
        <x:v>Observed historical</x:v>
      </x:c>
      <x:c r="L5" s="83" t="str">
        <x:v>S01</x:v>
      </x:c>
      <x:c r="M5" s="83" t="str">
        <x:v>Stato del sistema elettrico e scenari energetici 2025</x:v>
      </x:c>
      <x:c r="N5" s="83" t="n">
        <x:v>29</x:v>
      </x:c>
      <x:c r="O5" s="83" t="n">
        <x:v>27</x:v>
      </x:c>
      <x:c r="P5" s="83" t="str">
        <x:v>Figure 16</x:v>
      </x:c>
      <x:c r="Q5" s="83" t="str">
        <x:v>Dato osservato storico</x:v>
      </x:c>
      <x:c r="R5" s="83" t="str">
        <x:v>Direct chart labels</x:v>
      </x:c>
      <x:c r="S5" s="83" t="str">
        <x:v>A — Direct</x:v>
      </x:c>
      <x:c r="T5" s="83" t="str">
        <x:v>Annual hydro generation QA; not a dispatch profile.</x:v>
      </x:c>
      <x:c r="U5" s="83" t="str">
        <x:v>2024 provisional. Includes renewable hydro; not split run-of-river/reservoir.</x:v>
      </x:c>
    </x:row>
    <x:row r="6">
      <x:c r="A6" s="83" t="str">
        <x:v>HY-002</x:v>
      </x:c>
      <x:c r="B6" s="83" t="str"/>
      <x:c r="C6" s="83" t="n">
        <x:v>2017</x:v>
      </x:c>
      <x:c r="D6" s="83" t="str">
        <x:v>Storico 2017</x:v>
      </x:c>
      <x:c r="E6" s="83" t="str">
        <x:v>Italia</x:v>
      </x:c>
      <x:c r="F6" s="83" t="str"/>
      <x:c r="G6" s="83" t="str">
        <x:v>Renewable hydro aggregate</x:v>
      </x:c>
      <x:c r="H6" s="83" t="str">
        <x:v>Annual renewable hydro generation</x:v>
      </x:c>
      <x:c r="I6" s="197" t="n">
        <x:v>35.8</x:v>
      </x:c>
      <x:c r="J6" s="83" t="str">
        <x:v>TWh</x:v>
      </x:c>
      <x:c r="K6" s="83" t="str">
        <x:v>Observed historical</x:v>
      </x:c>
      <x:c r="L6" s="83" t="str">
        <x:v>S01</x:v>
      </x:c>
      <x:c r="M6" s="83" t="str">
        <x:v>Stato del sistema elettrico e scenari energetici 2025</x:v>
      </x:c>
      <x:c r="N6" s="83" t="n">
        <x:v>29</x:v>
      </x:c>
      <x:c r="O6" s="83" t="n">
        <x:v>27</x:v>
      </x:c>
      <x:c r="P6" s="83" t="str">
        <x:v>Figure 16</x:v>
      </x:c>
      <x:c r="Q6" s="83" t="str">
        <x:v>Dato osservato storico</x:v>
      </x:c>
      <x:c r="R6" s="83" t="str">
        <x:v>Direct chart labels</x:v>
      </x:c>
      <x:c r="S6" s="83" t="str">
        <x:v>A — Direct</x:v>
      </x:c>
      <x:c r="T6" s="83" t="str">
        <x:v>Annual hydro generation QA; not a dispatch profile.</x:v>
      </x:c>
      <x:c r="U6" s="83" t="str">
        <x:v>2024 provisional. Includes renewable hydro; not split run-of-river/reservoir.</x:v>
      </x:c>
    </x:row>
    <x:row r="7">
      <x:c r="A7" s="83" t="str">
        <x:v>HY-003</x:v>
      </x:c>
      <x:c r="B7" s="83" t="str"/>
      <x:c r="C7" s="83" t="n">
        <x:v>2018</x:v>
      </x:c>
      <x:c r="D7" s="83" t="str">
        <x:v>Storico 2018</x:v>
      </x:c>
      <x:c r="E7" s="83" t="str">
        <x:v>Italia</x:v>
      </x:c>
      <x:c r="F7" s="83" t="str"/>
      <x:c r="G7" s="83" t="str">
        <x:v>Renewable hydro aggregate</x:v>
      </x:c>
      <x:c r="H7" s="83" t="str">
        <x:v>Annual renewable hydro generation</x:v>
      </x:c>
      <x:c r="I7" s="197" t="n">
        <x:v>48.3</x:v>
      </x:c>
      <x:c r="J7" s="83" t="str">
        <x:v>TWh</x:v>
      </x:c>
      <x:c r="K7" s="83" t="str">
        <x:v>Observed historical</x:v>
      </x:c>
      <x:c r="L7" s="83" t="str">
        <x:v>S01</x:v>
      </x:c>
      <x:c r="M7" s="83" t="str">
        <x:v>Stato del sistema elettrico e scenari energetici 2025</x:v>
      </x:c>
      <x:c r="N7" s="83" t="n">
        <x:v>29</x:v>
      </x:c>
      <x:c r="O7" s="83" t="n">
        <x:v>27</x:v>
      </x:c>
      <x:c r="P7" s="83" t="str">
        <x:v>Figure 16</x:v>
      </x:c>
      <x:c r="Q7" s="83" t="str">
        <x:v>Dato osservato storico</x:v>
      </x:c>
      <x:c r="R7" s="83" t="str">
        <x:v>Direct chart labels</x:v>
      </x:c>
      <x:c r="S7" s="83" t="str">
        <x:v>A — Direct</x:v>
      </x:c>
      <x:c r="T7" s="83" t="str">
        <x:v>Annual hydro generation QA; not a dispatch profile.</x:v>
      </x:c>
      <x:c r="U7" s="83" t="str">
        <x:v>2024 provisional. Includes renewable hydro; not split run-of-river/reservoir.</x:v>
      </x:c>
    </x:row>
    <x:row r="8">
      <x:c r="A8" s="83" t="str">
        <x:v>HY-004</x:v>
      </x:c>
      <x:c r="B8" s="83" t="str"/>
      <x:c r="C8" s="83" t="n">
        <x:v>2019</x:v>
      </x:c>
      <x:c r="D8" s="83" t="str">
        <x:v>Storico 2019</x:v>
      </x:c>
      <x:c r="E8" s="83" t="str">
        <x:v>Italia</x:v>
      </x:c>
      <x:c r="F8" s="83" t="str"/>
      <x:c r="G8" s="83" t="str">
        <x:v>Renewable hydro aggregate</x:v>
      </x:c>
      <x:c r="H8" s="83" t="str">
        <x:v>Annual renewable hydro generation</x:v>
      </x:c>
      <x:c r="I8" s="197" t="n">
        <x:v>45.9</x:v>
      </x:c>
      <x:c r="J8" s="83" t="str">
        <x:v>TWh</x:v>
      </x:c>
      <x:c r="K8" s="83" t="str">
        <x:v>Observed historical</x:v>
      </x:c>
      <x:c r="L8" s="83" t="str">
        <x:v>S01</x:v>
      </x:c>
      <x:c r="M8" s="83" t="str">
        <x:v>Stato del sistema elettrico e scenari energetici 2025</x:v>
      </x:c>
      <x:c r="N8" s="83" t="n">
        <x:v>29</x:v>
      </x:c>
      <x:c r="O8" s="83" t="n">
        <x:v>27</x:v>
      </x:c>
      <x:c r="P8" s="83" t="str">
        <x:v>Figure 16</x:v>
      </x:c>
      <x:c r="Q8" s="83" t="str">
        <x:v>Dato osservato storico</x:v>
      </x:c>
      <x:c r="R8" s="83" t="str">
        <x:v>Direct chart labels</x:v>
      </x:c>
      <x:c r="S8" s="83" t="str">
        <x:v>A — Direct</x:v>
      </x:c>
      <x:c r="T8" s="83" t="str">
        <x:v>Annual hydro generation QA; not a dispatch profile.</x:v>
      </x:c>
      <x:c r="U8" s="83" t="str">
        <x:v>2024 provisional. Includes renewable hydro; not split run-of-river/reservoir.</x:v>
      </x:c>
    </x:row>
    <x:row r="9">
      <x:c r="A9" s="83" t="str">
        <x:v>HY-005</x:v>
      </x:c>
      <x:c r="B9" s="83" t="str"/>
      <x:c r="C9" s="83" t="n">
        <x:v>2020</x:v>
      </x:c>
      <x:c r="D9" s="83" t="str">
        <x:v>Storico 2020</x:v>
      </x:c>
      <x:c r="E9" s="83" t="str">
        <x:v>Italia</x:v>
      </x:c>
      <x:c r="F9" s="83" t="str"/>
      <x:c r="G9" s="83" t="str">
        <x:v>Renewable hydro aggregate</x:v>
      </x:c>
      <x:c r="H9" s="83" t="str">
        <x:v>Annual renewable hydro generation</x:v>
      </x:c>
      <x:c r="I9" s="197" t="n">
        <x:v>47</x:v>
      </x:c>
      <x:c r="J9" s="83" t="str">
        <x:v>TWh</x:v>
      </x:c>
      <x:c r="K9" s="83" t="str">
        <x:v>Observed historical</x:v>
      </x:c>
      <x:c r="L9" s="83" t="str">
        <x:v>S01</x:v>
      </x:c>
      <x:c r="M9" s="83" t="str">
        <x:v>Stato del sistema elettrico e scenari energetici 2025</x:v>
      </x:c>
      <x:c r="N9" s="83" t="n">
        <x:v>29</x:v>
      </x:c>
      <x:c r="O9" s="83" t="n">
        <x:v>27</x:v>
      </x:c>
      <x:c r="P9" s="83" t="str">
        <x:v>Figure 16</x:v>
      </x:c>
      <x:c r="Q9" s="83" t="str">
        <x:v>Dato osservato storico</x:v>
      </x:c>
      <x:c r="R9" s="83" t="str">
        <x:v>Direct chart labels</x:v>
      </x:c>
      <x:c r="S9" s="83" t="str">
        <x:v>A — Direct</x:v>
      </x:c>
      <x:c r="T9" s="83" t="str">
        <x:v>Annual hydro generation QA; not a dispatch profile.</x:v>
      </x:c>
      <x:c r="U9" s="83" t="str">
        <x:v>2024 provisional. Includes renewable hydro; not split run-of-river/reservoir.</x:v>
      </x:c>
    </x:row>
    <x:row r="10">
      <x:c r="A10" s="83" t="str">
        <x:v>HY-006</x:v>
      </x:c>
      <x:c r="B10" s="83" t="str"/>
      <x:c r="C10" s="83" t="n">
        <x:v>2021</x:v>
      </x:c>
      <x:c r="D10" s="83" t="str">
        <x:v>Storico 2021</x:v>
      </x:c>
      <x:c r="E10" s="83" t="str">
        <x:v>Italia</x:v>
      </x:c>
      <x:c r="F10" s="83" t="str"/>
      <x:c r="G10" s="83" t="str">
        <x:v>Renewable hydro aggregate</x:v>
      </x:c>
      <x:c r="H10" s="83" t="str">
        <x:v>Annual renewable hydro generation</x:v>
      </x:c>
      <x:c r="I10" s="197" t="n">
        <x:v>44.9</x:v>
      </x:c>
      <x:c r="J10" s="83" t="str">
        <x:v>TWh</x:v>
      </x:c>
      <x:c r="K10" s="83" t="str">
        <x:v>Observed historical</x:v>
      </x:c>
      <x:c r="L10" s="83" t="str">
        <x:v>S01</x:v>
      </x:c>
      <x:c r="M10" s="83" t="str">
        <x:v>Stato del sistema elettrico e scenari energetici 2025</x:v>
      </x:c>
      <x:c r="N10" s="83" t="n">
        <x:v>29</x:v>
      </x:c>
      <x:c r="O10" s="83" t="n">
        <x:v>27</x:v>
      </x:c>
      <x:c r="P10" s="83" t="str">
        <x:v>Figure 16</x:v>
      </x:c>
      <x:c r="Q10" s="83" t="str">
        <x:v>Dato osservato storico</x:v>
      </x:c>
      <x:c r="R10" s="83" t="str">
        <x:v>Direct chart labels</x:v>
      </x:c>
      <x:c r="S10" s="83" t="str">
        <x:v>A — Direct</x:v>
      </x:c>
      <x:c r="T10" s="83" t="str">
        <x:v>Annual hydro generation QA; not a dispatch profile.</x:v>
      </x:c>
      <x:c r="U10" s="83" t="str">
        <x:v>2024 provisional. Includes renewable hydro; not split run-of-river/reservoir.</x:v>
      </x:c>
    </x:row>
    <x:row r="11">
      <x:c r="A11" s="83" t="str">
        <x:v>HY-007</x:v>
      </x:c>
      <x:c r="B11" s="83" t="str"/>
      <x:c r="C11" s="83" t="n">
        <x:v>2022</x:v>
      </x:c>
      <x:c r="D11" s="83" t="str">
        <x:v>Storico 2022</x:v>
      </x:c>
      <x:c r="E11" s="83" t="str">
        <x:v>Italia</x:v>
      </x:c>
      <x:c r="F11" s="83" t="str"/>
      <x:c r="G11" s="83" t="str">
        <x:v>Renewable hydro aggregate</x:v>
      </x:c>
      <x:c r="H11" s="83" t="str">
        <x:v>Annual renewable hydro generation</x:v>
      </x:c>
      <x:c r="I11" s="197" t="n">
        <x:v>28.1</x:v>
      </x:c>
      <x:c r="J11" s="83" t="str">
        <x:v>TWh</x:v>
      </x:c>
      <x:c r="K11" s="83" t="str">
        <x:v>Observed historical</x:v>
      </x:c>
      <x:c r="L11" s="83" t="str">
        <x:v>S01</x:v>
      </x:c>
      <x:c r="M11" s="83" t="str">
        <x:v>Stato del sistema elettrico e scenari energetici 2025</x:v>
      </x:c>
      <x:c r="N11" s="83" t="n">
        <x:v>29</x:v>
      </x:c>
      <x:c r="O11" s="83" t="n">
        <x:v>27</x:v>
      </x:c>
      <x:c r="P11" s="83" t="str">
        <x:v>Figure 16</x:v>
      </x:c>
      <x:c r="Q11" s="83" t="str">
        <x:v>Dato osservato storico</x:v>
      </x:c>
      <x:c r="R11" s="83" t="str">
        <x:v>Direct chart labels</x:v>
      </x:c>
      <x:c r="S11" s="83" t="str">
        <x:v>A — Direct</x:v>
      </x:c>
      <x:c r="T11" s="83" t="str">
        <x:v>Annual hydro generation QA; not a dispatch profile.</x:v>
      </x:c>
      <x:c r="U11" s="83" t="str">
        <x:v>2024 provisional. Includes renewable hydro; not split run-of-river/reservoir.</x:v>
      </x:c>
    </x:row>
    <x:row r="12">
      <x:c r="A12" s="83" t="str">
        <x:v>HY-008</x:v>
      </x:c>
      <x:c r="B12" s="83" t="str"/>
      <x:c r="C12" s="83" t="n">
        <x:v>2023</x:v>
      </x:c>
      <x:c r="D12" s="83" t="str">
        <x:v>Storico 2023</x:v>
      </x:c>
      <x:c r="E12" s="83" t="str">
        <x:v>Italia</x:v>
      </x:c>
      <x:c r="F12" s="83" t="str"/>
      <x:c r="G12" s="83" t="str">
        <x:v>Renewable hydro aggregate</x:v>
      </x:c>
      <x:c r="H12" s="83" t="str">
        <x:v>Annual renewable hydro generation</x:v>
      </x:c>
      <x:c r="I12" s="197" t="n">
        <x:v>40</x:v>
      </x:c>
      <x:c r="J12" s="83" t="str">
        <x:v>TWh</x:v>
      </x:c>
      <x:c r="K12" s="83" t="str">
        <x:v>Observed historical</x:v>
      </x:c>
      <x:c r="L12" s="83" t="str">
        <x:v>S01</x:v>
      </x:c>
      <x:c r="M12" s="83" t="str">
        <x:v>Stato del sistema elettrico e scenari energetici 2025</x:v>
      </x:c>
      <x:c r="N12" s="83" t="n">
        <x:v>29</x:v>
      </x:c>
      <x:c r="O12" s="83" t="n">
        <x:v>27</x:v>
      </x:c>
      <x:c r="P12" s="83" t="str">
        <x:v>Figure 16</x:v>
      </x:c>
      <x:c r="Q12" s="83" t="str">
        <x:v>Dato osservato storico</x:v>
      </x:c>
      <x:c r="R12" s="83" t="str">
        <x:v>Direct chart labels</x:v>
      </x:c>
      <x:c r="S12" s="83" t="str">
        <x:v>A — Direct</x:v>
      </x:c>
      <x:c r="T12" s="83" t="str">
        <x:v>Annual hydro generation QA; not a dispatch profile.</x:v>
      </x:c>
      <x:c r="U12" s="83" t="str">
        <x:v>2024 provisional. Includes renewable hydro; not split run-of-river/reservoir.</x:v>
      </x:c>
    </x:row>
    <x:row r="13">
      <x:c r="A13" s="83" t="str">
        <x:v>HY-009</x:v>
      </x:c>
      <x:c r="B13" s="83" t="str"/>
      <x:c r="C13" s="83" t="n">
        <x:v>2024</x:v>
      </x:c>
      <x:c r="D13" s="83" t="str">
        <x:v>Storico 2024</x:v>
      </x:c>
      <x:c r="E13" s="83" t="str">
        <x:v>Italia</x:v>
      </x:c>
      <x:c r="F13" s="83" t="str"/>
      <x:c r="G13" s="83" t="str">
        <x:v>Renewable hydro aggregate</x:v>
      </x:c>
      <x:c r="H13" s="83" t="str">
        <x:v>Annual renewable hydro generation</x:v>
      </x:c>
      <x:c r="I13" s="197" t="n">
        <x:v>52.1</x:v>
      </x:c>
      <x:c r="J13" s="83" t="str">
        <x:v>TWh</x:v>
      </x:c>
      <x:c r="K13" s="83" t="str">
        <x:v>Observed historical</x:v>
      </x:c>
      <x:c r="L13" s="83" t="str">
        <x:v>S01</x:v>
      </x:c>
      <x:c r="M13" s="83" t="str">
        <x:v>Stato del sistema elettrico e scenari energetici 2025</x:v>
      </x:c>
      <x:c r="N13" s="83" t="n">
        <x:v>29</x:v>
      </x:c>
      <x:c r="O13" s="83" t="n">
        <x:v>27</x:v>
      </x:c>
      <x:c r="P13" s="83" t="str">
        <x:v>Figure 16</x:v>
      </x:c>
      <x:c r="Q13" s="83" t="str">
        <x:v>Dato osservato storico</x:v>
      </x:c>
      <x:c r="R13" s="83" t="str">
        <x:v>Direct chart labels</x:v>
      </x:c>
      <x:c r="S13" s="83" t="str">
        <x:v>A — Direct</x:v>
      </x:c>
      <x:c r="T13" s="83" t="str">
        <x:v>Annual hydro generation QA; not a dispatch profile.</x:v>
      </x:c>
      <x:c r="U13" s="83" t="str">
        <x:v>2024 provisional. Includes renewable hydro; not split run-of-river/reservoir.</x:v>
      </x:c>
    </x:row>
    <x:row r="14">
      <x:c r="A14" s="83" t="str">
        <x:v>HY-010</x:v>
      </x:c>
      <x:c r="B14" s="83" t="str">
        <x:v>HIST_2023</x:v>
      </x:c>
      <x:c r="C14" s="83" t="n">
        <x:v>2023</x:v>
      </x:c>
      <x:c r="D14" s="83" t="str">
        <x:v>Storico 2023</x:v>
      </x:c>
      <x:c r="E14" s="83" t="str">
        <x:v>Italia</x:v>
      </x:c>
      <x:c r="F14" s="83" t="str"/>
      <x:c r="G14" s="83" t="str">
        <x:v>Hydro aggregate in DDS</x:v>
      </x:c>
      <x:c r="H14" s="83" t="str">
        <x:v>Annual modeled hydro generation</x:v>
      </x:c>
      <x:c r="I14" s="197" t="n">
        <x:v>38</x:v>
      </x:c>
      <x:c r="J14" s="83" t="str">
        <x:v>TWh</x:v>
      </x:c>
      <x:c r="K14" s="83" t="str">
        <x:v>DDS historical control</x:v>
      </x:c>
      <x:c r="L14" s="83" t="str">
        <x:v>S09</x:v>
      </x:c>
      <x:c r="M14" s="83" t="str">
        <x:v>Documento di Descrizione degli Scenari 2024</x:v>
      </x:c>
      <x:c r="N14" s="83" t="n">
        <x:v>66</x:v>
      </x:c>
      <x:c r="O14" s="83" t="n">
        <x:v>64</x:v>
      </x:c>
      <x:c r="P14" s="83" t="str">
        <x:v>Table 18</x:v>
      </x:c>
      <x:c r="Q14" s="83" t="str">
        <x:v>Risultato di modello / controllo DDS</x:v>
      </x:c>
      <x:c r="R14" s="83" t="str">
        <x:v>Direct table extraction</x:v>
      </x:c>
      <x:c r="S14" s="83" t="str">
        <x:v>A — Direct</x:v>
      </x:c>
      <x:c r="T14" s="83" t="str">
        <x:v>Annual production constraint/QA after hydro disaggregation.</x:v>
      </x:c>
      <x:c r="U14" s="83" t="str">
        <x:v>DDS 2023 value (38 TWh) differs from S01 renewable hydro statistic (40 TWh) due to source perimeter/rounding.</x:v>
      </x:c>
    </x:row>
    <x:row r="15">
      <x:c r="A15" s="83" t="str">
        <x:v>HY-011</x:v>
      </x:c>
      <x:c r="B15" s="83" t="str">
        <x:v>PNIEC_POLICY_2030</x:v>
      </x:c>
      <x:c r="C15" s="83" t="n">
        <x:v>2030</x:v>
      </x:c>
      <x:c r="D15" s="83" t="str">
        <x:v>PNIEC Policy 2030</x:v>
      </x:c>
      <x:c r="E15" s="83" t="str">
        <x:v>Italia</x:v>
      </x:c>
      <x:c r="F15" s="83" t="str"/>
      <x:c r="G15" s="83" t="str">
        <x:v>Hydro aggregate in DDS</x:v>
      </x:c>
      <x:c r="H15" s="83" t="str">
        <x:v>Annual modeled hydro generation</x:v>
      </x:c>
      <x:c r="I15" s="197" t="n">
        <x:v>46</x:v>
      </x:c>
      <x:c r="J15" s="83" t="str">
        <x:v>TWh</x:v>
      </x:c>
      <x:c r="K15" s="83" t="str">
        <x:v>Scenario/model result</x:v>
      </x:c>
      <x:c r="L15" s="83" t="str">
        <x:v>S09</x:v>
      </x:c>
      <x:c r="M15" s="83" t="str">
        <x:v>Documento di Descrizione degli Scenari 2024</x:v>
      </x:c>
      <x:c r="N15" s="83" t="n">
        <x:v>66</x:v>
      </x:c>
      <x:c r="O15" s="83" t="n">
        <x:v>64</x:v>
      </x:c>
      <x:c r="P15" s="83" t="str">
        <x:v>Table 18</x:v>
      </x:c>
      <x:c r="Q15" s="83" t="str">
        <x:v>Risultato di modello / controllo DDS</x:v>
      </x:c>
      <x:c r="R15" s="83" t="str">
        <x:v>Direct table extraction</x:v>
      </x:c>
      <x:c r="S15" s="83" t="str">
        <x:v>A — Direct</x:v>
      </x:c>
      <x:c r="T15" s="83" t="str">
        <x:v>Annual production constraint/QA after hydro disaggregation.</x:v>
      </x:c>
      <x:c r="U15" s="83" t="str">
        <x:v>DDS 2023 value (38 TWh) differs from S01 renewable hydro statistic (40 TWh) due to source perimeter/rounding.</x:v>
      </x:c>
    </x:row>
    <x:row r="16">
      <x:c r="A16" s="83" t="str">
        <x:v>HY-012</x:v>
      </x:c>
      <x:c r="B16" s="83" t="str">
        <x:v>PNIEC_SLOW_2030</x:v>
      </x:c>
      <x:c r="C16" s="83" t="n">
        <x:v>2030</x:v>
      </x:c>
      <x:c r="D16" s="83" t="str">
        <x:v>PNIEC Slow 2030</x:v>
      </x:c>
      <x:c r="E16" s="83" t="str">
        <x:v>Italia</x:v>
      </x:c>
      <x:c r="F16" s="83" t="str"/>
      <x:c r="G16" s="83" t="str">
        <x:v>Hydro aggregate in DDS</x:v>
      </x:c>
      <x:c r="H16" s="83" t="str">
        <x:v>Annual modeled hydro generation</x:v>
      </x:c>
      <x:c r="I16" s="197" t="n">
        <x:v>46</x:v>
      </x:c>
      <x:c r="J16" s="83" t="str">
        <x:v>TWh</x:v>
      </x:c>
      <x:c r="K16" s="83" t="str">
        <x:v>Scenario/model result</x:v>
      </x:c>
      <x:c r="L16" s="83" t="str">
        <x:v>S09</x:v>
      </x:c>
      <x:c r="M16" s="83" t="str">
        <x:v>Documento di Descrizione degli Scenari 2024</x:v>
      </x:c>
      <x:c r="N16" s="83" t="n">
        <x:v>66</x:v>
      </x:c>
      <x:c r="O16" s="83" t="n">
        <x:v>64</x:v>
      </x:c>
      <x:c r="P16" s="83" t="str">
        <x:v>Table 18</x:v>
      </x:c>
      <x:c r="Q16" s="83" t="str">
        <x:v>Risultato di modello / controllo DDS</x:v>
      </x:c>
      <x:c r="R16" s="83" t="str">
        <x:v>Direct table extraction</x:v>
      </x:c>
      <x:c r="S16" s="83" t="str">
        <x:v>A — Direct</x:v>
      </x:c>
      <x:c r="T16" s="83" t="str">
        <x:v>Annual production constraint/QA after hydro disaggregation.</x:v>
      </x:c>
      <x:c r="U16" s="83" t="str">
        <x:v>DDS 2023 value (38 TWh) differs from S01 renewable hydro statistic (40 TWh) due to source perimeter/rounding.</x:v>
      </x:c>
    </x:row>
    <x:row r="17">
      <x:c r="A17" s="83" t="str">
        <x:v>HY-013</x:v>
      </x:c>
      <x:c r="B17" s="83" t="str">
        <x:v>DE_IT_2035</x:v>
      </x:c>
      <x:c r="C17" s="83" t="n">
        <x:v>2035</x:v>
      </x:c>
      <x:c r="D17" s="83" t="str">
        <x:v>DE-IT 2035</x:v>
      </x:c>
      <x:c r="E17" s="83" t="str">
        <x:v>Italia</x:v>
      </x:c>
      <x:c r="F17" s="83" t="str"/>
      <x:c r="G17" s="83" t="str">
        <x:v>Hydro aggregate in DDS</x:v>
      </x:c>
      <x:c r="H17" s="83" t="str">
        <x:v>Annual modeled hydro generation</x:v>
      </x:c>
      <x:c r="I17" s="197" t="n">
        <x:v>46</x:v>
      </x:c>
      <x:c r="J17" s="83" t="str">
        <x:v>TWh</x:v>
      </x:c>
      <x:c r="K17" s="83" t="str">
        <x:v>Scenario/model result</x:v>
      </x:c>
      <x:c r="L17" s="83" t="str">
        <x:v>S09</x:v>
      </x:c>
      <x:c r="M17" s="83" t="str">
        <x:v>Documento di Descrizione degli Scenari 2024</x:v>
      </x:c>
      <x:c r="N17" s="83" t="n">
        <x:v>66</x:v>
      </x:c>
      <x:c r="O17" s="83" t="n">
        <x:v>64</x:v>
      </x:c>
      <x:c r="P17" s="83" t="str">
        <x:v>Table 18</x:v>
      </x:c>
      <x:c r="Q17" s="83" t="str">
        <x:v>Risultato di modello / controllo DDS</x:v>
      </x:c>
      <x:c r="R17" s="83" t="str">
        <x:v>Direct table extraction</x:v>
      </x:c>
      <x:c r="S17" s="83" t="str">
        <x:v>A — Direct</x:v>
      </x:c>
      <x:c r="T17" s="83" t="str">
        <x:v>Annual production constraint/QA after hydro disaggregation.</x:v>
      </x:c>
      <x:c r="U17" s="83" t="str">
        <x:v>DDS 2023 value (38 TWh) differs from S01 renewable hydro statistic (40 TWh) due to source perimeter/rounding.</x:v>
      </x:c>
    </x:row>
    <x:row r="18">
      <x:c r="A18" s="83" t="str">
        <x:v>HY-014</x:v>
      </x:c>
      <x:c r="B18" s="83" t="str">
        <x:v>GA_IT_2035</x:v>
      </x:c>
      <x:c r="C18" s="83" t="n">
        <x:v>2035</x:v>
      </x:c>
      <x:c r="D18" s="83" t="str">
        <x:v>GA-IT 2035</x:v>
      </x:c>
      <x:c r="E18" s="83" t="str">
        <x:v>Italia</x:v>
      </x:c>
      <x:c r="F18" s="83" t="str"/>
      <x:c r="G18" s="83" t="str">
        <x:v>Hydro aggregate in DDS</x:v>
      </x:c>
      <x:c r="H18" s="83" t="str">
        <x:v>Annual modeled hydro generation</x:v>
      </x:c>
      <x:c r="I18" s="197" t="n">
        <x:v>46</x:v>
      </x:c>
      <x:c r="J18" s="83" t="str">
        <x:v>TWh</x:v>
      </x:c>
      <x:c r="K18" s="83" t="str">
        <x:v>Scenario/model result</x:v>
      </x:c>
      <x:c r="L18" s="83" t="str">
        <x:v>S09</x:v>
      </x:c>
      <x:c r="M18" s="83" t="str">
        <x:v>Documento di Descrizione degli Scenari 2024</x:v>
      </x:c>
      <x:c r="N18" s="83" t="n">
        <x:v>66</x:v>
      </x:c>
      <x:c r="O18" s="83" t="n">
        <x:v>64</x:v>
      </x:c>
      <x:c r="P18" s="83" t="str">
        <x:v>Table 18</x:v>
      </x:c>
      <x:c r="Q18" s="83" t="str">
        <x:v>Risultato di modello / controllo DDS</x:v>
      </x:c>
      <x:c r="R18" s="83" t="str">
        <x:v>Direct table extraction</x:v>
      </x:c>
      <x:c r="S18" s="83" t="str">
        <x:v>A — Direct</x:v>
      </x:c>
      <x:c r="T18" s="83" t="str">
        <x:v>Annual production constraint/QA after hydro disaggregation.</x:v>
      </x:c>
      <x:c r="U18" s="83" t="str">
        <x:v>DDS 2023 value (38 TWh) differs from S01 renewable hydro statistic (40 TWh) due to source perimeter/rounding.</x:v>
      </x:c>
    </x:row>
    <x:row r="19">
      <x:c r="A19" s="83" t="str">
        <x:v>HY-015</x:v>
      </x:c>
      <x:c r="B19" s="83" t="str">
        <x:v>PNIEC_SLOW_2035</x:v>
      </x:c>
      <x:c r="C19" s="83" t="n">
        <x:v>2035</x:v>
      </x:c>
      <x:c r="D19" s="83" t="str">
        <x:v>PNIEC Slow 2035</x:v>
      </x:c>
      <x:c r="E19" s="83" t="str">
        <x:v>Italia</x:v>
      </x:c>
      <x:c r="F19" s="83" t="str"/>
      <x:c r="G19" s="83" t="str">
        <x:v>Hydro aggregate in DDS</x:v>
      </x:c>
      <x:c r="H19" s="83" t="str">
        <x:v>Annual modeled hydro generation</x:v>
      </x:c>
      <x:c r="I19" s="197" t="n">
        <x:v>46</x:v>
      </x:c>
      <x:c r="J19" s="83" t="str">
        <x:v>TWh</x:v>
      </x:c>
      <x:c r="K19" s="83" t="str">
        <x:v>Scenario/model result</x:v>
      </x:c>
      <x:c r="L19" s="83" t="str">
        <x:v>S09</x:v>
      </x:c>
      <x:c r="M19" s="83" t="str">
        <x:v>Documento di Descrizione degli Scenari 2024</x:v>
      </x:c>
      <x:c r="N19" s="83" t="n">
        <x:v>66</x:v>
      </x:c>
      <x:c r="O19" s="83" t="n">
        <x:v>64</x:v>
      </x:c>
      <x:c r="P19" s="83" t="str">
        <x:v>Table 18</x:v>
      </x:c>
      <x:c r="Q19" s="83" t="str">
        <x:v>Risultato di modello / controllo DDS</x:v>
      </x:c>
      <x:c r="R19" s="83" t="str">
        <x:v>Direct table extraction</x:v>
      </x:c>
      <x:c r="S19" s="83" t="str">
        <x:v>A — Direct</x:v>
      </x:c>
      <x:c r="T19" s="83" t="str">
        <x:v>Annual production constraint/QA after hydro disaggregation.</x:v>
      </x:c>
      <x:c r="U19" s="83" t="str">
        <x:v>DDS 2023 value (38 TWh) differs from S01 renewable hydro statistic (40 TWh) due to source perimeter/rounding.</x:v>
      </x:c>
    </x:row>
    <x:row r="20">
      <x:c r="A20" s="83" t="str">
        <x:v>HY-016</x:v>
      </x:c>
      <x:c r="B20" s="83" t="str">
        <x:v>DE_IT_2040</x:v>
      </x:c>
      <x:c r="C20" s="83" t="n">
        <x:v>2040</x:v>
      </x:c>
      <x:c r="D20" s="83" t="str">
        <x:v>DE-IT 2040</x:v>
      </x:c>
      <x:c r="E20" s="83" t="str">
        <x:v>Italia</x:v>
      </x:c>
      <x:c r="F20" s="83" t="str"/>
      <x:c r="G20" s="83" t="str">
        <x:v>Hydro aggregate in DDS</x:v>
      </x:c>
      <x:c r="H20" s="83" t="str">
        <x:v>Annual modeled hydro generation</x:v>
      </x:c>
      <x:c r="I20" s="197" t="n">
        <x:v>46</x:v>
      </x:c>
      <x:c r="J20" s="83" t="str">
        <x:v>TWh</x:v>
      </x:c>
      <x:c r="K20" s="83" t="str">
        <x:v>Scenario/model result</x:v>
      </x:c>
      <x:c r="L20" s="83" t="str">
        <x:v>S09</x:v>
      </x:c>
      <x:c r="M20" s="83" t="str">
        <x:v>Documento di Descrizione degli Scenari 2024</x:v>
      </x:c>
      <x:c r="N20" s="83" t="n">
        <x:v>66</x:v>
      </x:c>
      <x:c r="O20" s="83" t="n">
        <x:v>64</x:v>
      </x:c>
      <x:c r="P20" s="83" t="str">
        <x:v>Table 18</x:v>
      </x:c>
      <x:c r="Q20" s="83" t="str">
        <x:v>Risultato di modello / controllo DDS</x:v>
      </x:c>
      <x:c r="R20" s="83" t="str">
        <x:v>Direct table extraction</x:v>
      </x:c>
      <x:c r="S20" s="83" t="str">
        <x:v>A — Direct</x:v>
      </x:c>
      <x:c r="T20" s="83" t="str">
        <x:v>Annual production constraint/QA after hydro disaggregation.</x:v>
      </x:c>
      <x:c r="U20" s="83" t="str">
        <x:v>DDS 2023 value (38 TWh) differs from S01 renewable hydro statistic (40 TWh) due to source perimeter/rounding.</x:v>
      </x:c>
    </x:row>
    <x:row r="21">
      <x:c r="A21" s="83" t="str">
        <x:v>HY-017</x:v>
      </x:c>
      <x:c r="B21" s="83" t="str">
        <x:v>GA_IT_2040</x:v>
      </x:c>
      <x:c r="C21" s="83" t="n">
        <x:v>2040</x:v>
      </x:c>
      <x:c r="D21" s="83" t="str">
        <x:v>GA-IT 2040</x:v>
      </x:c>
      <x:c r="E21" s="83" t="str">
        <x:v>Italia</x:v>
      </x:c>
      <x:c r="F21" s="83" t="str"/>
      <x:c r="G21" s="83" t="str">
        <x:v>Hydro aggregate in DDS</x:v>
      </x:c>
      <x:c r="H21" s="83" t="str">
        <x:v>Annual modeled hydro generation</x:v>
      </x:c>
      <x:c r="I21" s="197" t="n">
        <x:v>46</x:v>
      </x:c>
      <x:c r="J21" s="83" t="str">
        <x:v>TWh</x:v>
      </x:c>
      <x:c r="K21" s="83" t="str">
        <x:v>Scenario/model result</x:v>
      </x:c>
      <x:c r="L21" s="83" t="str">
        <x:v>S09</x:v>
      </x:c>
      <x:c r="M21" s="83" t="str">
        <x:v>Documento di Descrizione degli Scenari 2024</x:v>
      </x:c>
      <x:c r="N21" s="83" t="n">
        <x:v>66</x:v>
      </x:c>
      <x:c r="O21" s="83" t="n">
        <x:v>64</x:v>
      </x:c>
      <x:c r="P21" s="83" t="str">
        <x:v>Table 18</x:v>
      </x:c>
      <x:c r="Q21" s="83" t="str">
        <x:v>Risultato di modello / controllo DDS</x:v>
      </x:c>
      <x:c r="R21" s="83" t="str">
        <x:v>Direct table extraction</x:v>
      </x:c>
      <x:c r="S21" s="83" t="str">
        <x:v>A — Direct</x:v>
      </x:c>
      <x:c r="T21" s="83" t="str">
        <x:v>Annual production constraint/QA after hydro disaggregation.</x:v>
      </x:c>
      <x:c r="U21" s="83" t="str">
        <x:v>DDS 2023 value (38 TWh) differs from S01 renewable hydro statistic (40 TWh) due to source perimeter/rounding.</x:v>
      </x:c>
    </x:row>
    <x:row r="22">
      <x:c r="A22" s="83" t="str">
        <x:v>HY-018</x:v>
      </x:c>
      <x:c r="B22" s="83" t="str">
        <x:v>PNIEC_SLOW_2040</x:v>
      </x:c>
      <x:c r="C22" s="83" t="n">
        <x:v>2040</x:v>
      </x:c>
      <x:c r="D22" s="83" t="str">
        <x:v>PNIEC Slow 2040</x:v>
      </x:c>
      <x:c r="E22" s="83" t="str">
        <x:v>Italia</x:v>
      </x:c>
      <x:c r="F22" s="83" t="str"/>
      <x:c r="G22" s="83" t="str">
        <x:v>Hydro aggregate in DDS</x:v>
      </x:c>
      <x:c r="H22" s="83" t="str">
        <x:v>Annual modeled hydro generation</x:v>
      </x:c>
      <x:c r="I22" s="197" t="n">
        <x:v>46</x:v>
      </x:c>
      <x:c r="J22" s="83" t="str">
        <x:v>TWh</x:v>
      </x:c>
      <x:c r="K22" s="83" t="str">
        <x:v>Scenario/model result</x:v>
      </x:c>
      <x:c r="L22" s="83" t="str">
        <x:v>S09</x:v>
      </x:c>
      <x:c r="M22" s="83" t="str">
        <x:v>Documento di Descrizione degli Scenari 2024</x:v>
      </x:c>
      <x:c r="N22" s="83" t="n">
        <x:v>66</x:v>
      </x:c>
      <x:c r="O22" s="83" t="n">
        <x:v>64</x:v>
      </x:c>
      <x:c r="P22" s="83" t="str">
        <x:v>Table 18</x:v>
      </x:c>
      <x:c r="Q22" s="83" t="str">
        <x:v>Risultato di modello / controllo DDS</x:v>
      </x:c>
      <x:c r="R22" s="83" t="str">
        <x:v>Direct table extraction</x:v>
      </x:c>
      <x:c r="S22" s="83" t="str">
        <x:v>A — Direct</x:v>
      </x:c>
      <x:c r="T22" s="83" t="str">
        <x:v>Annual production constraint/QA after hydro disaggregation.</x:v>
      </x:c>
      <x:c r="U22" s="83" t="str">
        <x:v>DDS 2023 value (38 TWh) differs from S01 renewable hydro statistic (40 TWh) due to source perimeter/rounding.</x:v>
      </x:c>
    </x:row>
    <x:row r="23">
      <x:c r="A23" s="83" t="str">
        <x:v>HY-019</x:v>
      </x:c>
      <x:c r="B23" s="83" t="str"/>
      <x:c r="C23" s="83" t="n">
        <x:v>2025</x:v>
      </x:c>
      <x:c r="D23" s="83" t="str">
        <x:v>Existing stock</x:v>
      </x:c>
      <x:c r="E23" s="83" t="str">
        <x:v>Italia</x:v>
      </x:c>
      <x:c r="F23" s="83" t="str"/>
      <x:c r="G23" s="83" t="str">
        <x:v>Pumped hydro</x:v>
      </x:c>
      <x:c r="H23" s="83" t="str">
        <x:v>Number of relevant pumped-storage plants</x:v>
      </x:c>
      <x:c r="I23" s="197" t="n">
        <x:v>22</x:v>
      </x:c>
      <x:c r="J23" s="83" t="str">
        <x:v>plants</x:v>
      </x:c>
      <x:c r="K23" s="83" t="str">
        <x:v>Observed installed / derived</x:v>
      </x:c>
      <x:c r="L23" s="83" t="str">
        <x:v>S01</x:v>
      </x:c>
      <x:c r="M23" s="83" t="str">
        <x:v>Stato del sistema elettrico e scenari energetici 2025</x:v>
      </x:c>
      <x:c r="N23" s="83" t="n">
        <x:v>57</x:v>
      </x:c>
      <x:c r="O23" s="83" t="n">
        <x:v>55</x:v>
      </x:c>
      <x:c r="P23" s="83" t="str">
        <x:v>Section 3.5.1 / Figure 36</x:v>
      </x:c>
      <x:c r="Q23" s="83" t="str">
        <x:v>Dato osservato</x:v>
      </x:c>
      <x:c r="R23" s="83" t="str">
        <x:v>Direct</x:v>
      </x:c>
      <x:c r="S23" s="83" t="str">
        <x:v>A direct / B derived</x:v>
      </x:c>
      <x:c r="T23" s="83" t="str">
        <x:v>Store+Links with asymmetric charge/discharge power; plant/zone mapping still needed.</x:v>
      </x:c>
      <x:c r="U23" s="83" t="str">
        <x:v>Production-relevant plants.</x:v>
      </x:c>
    </x:row>
    <x:row r="24">
      <x:c r="A24" s="83" t="str">
        <x:v>HY-020</x:v>
      </x:c>
      <x:c r="B24" s="83" t="str"/>
      <x:c r="C24" s="83" t="n">
        <x:v>2025</x:v>
      </x:c>
      <x:c r="D24" s="83" t="str">
        <x:v>Existing stock</x:v>
      </x:c>
      <x:c r="E24" s="83" t="str">
        <x:v>Italia</x:v>
      </x:c>
      <x:c r="F24" s="83" t="str"/>
      <x:c r="G24" s="83" t="str">
        <x:v>Pumped hydro</x:v>
      </x:c>
      <x:c r="H24" s="83" t="str">
        <x:v>Maximum pumping/absorption power</x:v>
      </x:c>
      <x:c r="I24" s="197" t="n">
        <x:v>6.4</x:v>
      </x:c>
      <x:c r="J24" s="83" t="str">
        <x:v>GW</x:v>
      </x:c>
      <x:c r="K24" s="83" t="str">
        <x:v>Observed installed / derived</x:v>
      </x:c>
      <x:c r="L24" s="83" t="str">
        <x:v>S01</x:v>
      </x:c>
      <x:c r="M24" s="83" t="str">
        <x:v>Stato del sistema elettrico e scenari energetici 2025</x:v>
      </x:c>
      <x:c r="N24" s="83" t="n">
        <x:v>57</x:v>
      </x:c>
      <x:c r="O24" s="83" t="n">
        <x:v>55</x:v>
      </x:c>
      <x:c r="P24" s="83" t="str">
        <x:v>Section 3.5.1 / Figure 36</x:v>
      </x:c>
      <x:c r="Q24" s="83" t="str">
        <x:v>Dato osservato</x:v>
      </x:c>
      <x:c r="R24" s="83" t="str">
        <x:v>Direct</x:v>
      </x:c>
      <x:c r="S24" s="83" t="str">
        <x:v>A direct / B derived</x:v>
      </x:c>
      <x:c r="T24" s="83" t="str">
        <x:v>Store+Links with asymmetric charge/discharge power; plant/zone mapping still needed.</x:v>
      </x:c>
      <x:c r="U24" s="83" t="str">
        <x:v>Aggregate charge-side power.</x:v>
      </x:c>
    </x:row>
    <x:row r="25">
      <x:c r="A25" s="83" t="str">
        <x:v>HY-021</x:v>
      </x:c>
      <x:c r="B25" s="83" t="str"/>
      <x:c r="C25" s="83" t="n">
        <x:v>2025</x:v>
      </x:c>
      <x:c r="D25" s="83" t="str">
        <x:v>Existing stock</x:v>
      </x:c>
      <x:c r="E25" s="83" t="str">
        <x:v>Italia</x:v>
      </x:c>
      <x:c r="F25" s="83" t="str"/>
      <x:c r="G25" s="83" t="str">
        <x:v>Pumped hydro</x:v>
      </x:c>
      <x:c r="H25" s="83" t="str">
        <x:v>Maximum generation power</x:v>
      </x:c>
      <x:c r="I25" s="197" t="n">
        <x:v>7.3</x:v>
      </x:c>
      <x:c r="J25" s="83" t="str">
        <x:v>GW</x:v>
      </x:c>
      <x:c r="K25" s="83" t="str">
        <x:v>Observed installed / derived</x:v>
      </x:c>
      <x:c r="L25" s="83" t="str">
        <x:v>S01</x:v>
      </x:c>
      <x:c r="M25" s="83" t="str">
        <x:v>Stato del sistema elettrico e scenari energetici 2025</x:v>
      </x:c>
      <x:c r="N25" s="83" t="n">
        <x:v>57</x:v>
      </x:c>
      <x:c r="O25" s="83" t="n">
        <x:v>55</x:v>
      </x:c>
      <x:c r="P25" s="83" t="str">
        <x:v>Section 3.5.1 / Figure 36</x:v>
      </x:c>
      <x:c r="Q25" s="83" t="str">
        <x:v>Dato osservato</x:v>
      </x:c>
      <x:c r="R25" s="83" t="str">
        <x:v>Direct</x:v>
      </x:c>
      <x:c r="S25" s="83" t="str">
        <x:v>A direct / B derived</x:v>
      </x:c>
      <x:c r="T25" s="83" t="str">
        <x:v>Store+Links with asymmetric charge/discharge power; plant/zone mapping still needed.</x:v>
      </x:c>
      <x:c r="U25" s="83" t="str">
        <x:v>Aggregate discharge-side power.</x:v>
      </x:c>
    </x:row>
    <x:row r="26">
      <x:c r="A26" s="83" t="str">
        <x:v>HY-022</x:v>
      </x:c>
      <x:c r="B26" s="83" t="str"/>
      <x:c r="C26" s="83" t="n">
        <x:v>2025</x:v>
      </x:c>
      <x:c r="D26" s="83" t="str">
        <x:v>Existing stock</x:v>
      </x:c>
      <x:c r="E26" s="83" t="str">
        <x:v>Italia</x:v>
      </x:c>
      <x:c r="F26" s="83" t="str"/>
      <x:c r="G26" s="83" t="str">
        <x:v>Pumped hydro</x:v>
      </x:c>
      <x:c r="H26" s="83" t="str">
        <x:v>Storage energy capacity</x:v>
      </x:c>
      <x:c r="I26" s="197" t="n">
        <x:v>53</x:v>
      </x:c>
      <x:c r="J26" s="83" t="str">
        <x:v>GWh</x:v>
      </x:c>
      <x:c r="K26" s="83" t="str">
        <x:v>Observed installed / derived</x:v>
      </x:c>
      <x:c r="L26" s="83" t="str">
        <x:v>S01</x:v>
      </x:c>
      <x:c r="M26" s="83" t="str">
        <x:v>Stato del sistema elettrico e scenari energetici 2025</x:v>
      </x:c>
      <x:c r="N26" s="83" t="n">
        <x:v>57</x:v>
      </x:c>
      <x:c r="O26" s="83" t="n">
        <x:v>55</x:v>
      </x:c>
      <x:c r="P26" s="83" t="str">
        <x:v>Section 3.5.1 / Figure 36</x:v>
      </x:c>
      <x:c r="Q26" s="83" t="str">
        <x:v>Dato osservato</x:v>
      </x:c>
      <x:c r="R26" s="83" t="str">
        <x:v>Direct</x:v>
      </x:c>
      <x:c r="S26" s="83" t="str">
        <x:v>A direct / B derived</x:v>
      </x:c>
      <x:c r="T26" s="83" t="str">
        <x:v>Store+Links with asymmetric charge/discharge power; plant/zone mapping still needed.</x:v>
      </x:c>
      <x:c r="U26" s="83" t="str">
        <x:v>Physical stock estimate.</x:v>
      </x:c>
    </x:row>
    <x:row r="27">
      <x:c r="A27" s="83" t="str">
        <x:v>HY-023</x:v>
      </x:c>
      <x:c r="B27" s="83" t="str"/>
      <x:c r="C27" s="83" t="n">
        <x:v>2025</x:v>
      </x:c>
      <x:c r="D27" s="83" t="str">
        <x:v>Existing stock</x:v>
      </x:c>
      <x:c r="E27" s="83" t="str">
        <x:v>Italia</x:v>
      </x:c>
      <x:c r="F27" s="83" t="str"/>
      <x:c r="G27" s="83" t="str">
        <x:v>Pumped hydro</x:v>
      </x:c>
      <x:c r="H27" s="83" t="str">
        <x:v>Share of energy in four main pure-pumping plants &gt;500 MW</x:v>
      </x:c>
      <x:c r="I27" s="197" t="n">
        <x:v>75</x:v>
      </x:c>
      <x:c r="J27" s="83" t="str">
        <x:v>%</x:v>
      </x:c>
      <x:c r="K27" s="83" t="str">
        <x:v>Observed installed / derived</x:v>
      </x:c>
      <x:c r="L27" s="83" t="str">
        <x:v>S01</x:v>
      </x:c>
      <x:c r="M27" s="83" t="str">
        <x:v>Stato del sistema elettrico e scenari energetici 2025</x:v>
      </x:c>
      <x:c r="N27" s="83" t="n">
        <x:v>57</x:v>
      </x:c>
      <x:c r="O27" s="83" t="n">
        <x:v>55</x:v>
      </x:c>
      <x:c r="P27" s="83" t="str">
        <x:v>Section 3.5.1 / Figure 36</x:v>
      </x:c>
      <x:c r="Q27" s="83" t="str">
        <x:v>Dato osservato</x:v>
      </x:c>
      <x:c r="R27" s="83" t="str">
        <x:v>Direct</x:v>
      </x:c>
      <x:c r="S27" s="83" t="str">
        <x:v>A direct / B derived</x:v>
      </x:c>
      <x:c r="T27" s="83" t="str">
        <x:v>Store+Links with asymmetric charge/discharge power; plant/zone mapping still needed.</x:v>
      </x:c>
      <x:c r="U27" s="83" t="str">
        <x:v>Concentration indicator; approximate.</x:v>
      </x:c>
    </x:row>
    <x:row r="28">
      <x:c r="A28" s="83" t="str">
        <x:v>HY-024</x:v>
      </x:c>
      <x:c r="B28" s="83" t="str"/>
      <x:c r="C28" s="83" t="n">
        <x:v>2025</x:v>
      </x:c>
      <x:c r="D28" s="83" t="str">
        <x:v>Existing stock</x:v>
      </x:c>
      <x:c r="E28" s="83" t="str">
        <x:v>Italia</x:v>
      </x:c>
      <x:c r="F28" s="83" t="str"/>
      <x:c r="G28" s="83" t="str">
        <x:v>Pumped hydro</x:v>
      </x:c>
      <x:c r="H28" s="83" t="str">
        <x:v>Equivalent duration on generation power</x:v>
      </x:c>
      <x:c r="I28" s="197" t="n">
        <x:v>7.26027397260274</x:v>
      </x:c>
      <x:c r="J28" s="83" t="str">
        <x:v>h</x:v>
      </x:c>
      <x:c r="K28" s="83" t="str">
        <x:v>Observed installed / derived</x:v>
      </x:c>
      <x:c r="L28" s="83" t="str">
        <x:v>S01</x:v>
      </x:c>
      <x:c r="M28" s="83" t="str">
        <x:v>Stato del sistema elettrico e scenari energetici 2025</x:v>
      </x:c>
      <x:c r="N28" s="83" t="n">
        <x:v>57</x:v>
      </x:c>
      <x:c r="O28" s="83" t="n">
        <x:v>55</x:v>
      </x:c>
      <x:c r="P28" s="83" t="str">
        <x:v>Section 3.5.1 / Figure 36</x:v>
      </x:c>
      <x:c r="Q28" s="83" t="str">
        <x:v>B — Derived</x:v>
      </x:c>
      <x:c r="R28" s="83" t="str">
        <x:v>Energy divided by power</x:v>
      </x:c>
      <x:c r="S28" s="83" t="str">
        <x:v>A direct / B derived</x:v>
      </x:c>
      <x:c r="T28" s="83" t="str">
        <x:v>Store+Links with asymmetric charge/discharge power; plant/zone mapping still needed.</x:v>
      </x:c>
      <x:c r="U28" s="83" t="str">
        <x:v>Derived aggregate ratio; not plant-specific max_hours.</x:v>
      </x:c>
    </x:row>
    <x:row r="29">
      <x:c r="A29" s="83" t="str">
        <x:v>HY-025</x:v>
      </x:c>
      <x:c r="B29" s="83" t="str"/>
      <x:c r="C29" s="83" t="n">
        <x:v>2025</x:v>
      </x:c>
      <x:c r="D29" s="83" t="str">
        <x:v>Existing stock</x:v>
      </x:c>
      <x:c r="E29" s="83" t="str">
        <x:v>Italia</x:v>
      </x:c>
      <x:c r="F29" s="83" t="str"/>
      <x:c r="G29" s="83" t="str">
        <x:v>Pumped hydro</x:v>
      </x:c>
      <x:c r="H29" s="83" t="str">
        <x:v>Equivalent duration on pumping power</x:v>
      </x:c>
      <x:c r="I29" s="197" t="n">
        <x:v>8.28125</x:v>
      </x:c>
      <x:c r="J29" s="83" t="str">
        <x:v>h</x:v>
      </x:c>
      <x:c r="K29" s="83" t="str">
        <x:v>Observed installed / derived</x:v>
      </x:c>
      <x:c r="L29" s="83" t="str">
        <x:v>S01</x:v>
      </x:c>
      <x:c r="M29" s="83" t="str">
        <x:v>Stato del sistema elettrico e scenari energetici 2025</x:v>
      </x:c>
      <x:c r="N29" s="83" t="n">
        <x:v>57</x:v>
      </x:c>
      <x:c r="O29" s="83" t="n">
        <x:v>55</x:v>
      </x:c>
      <x:c r="P29" s="83" t="str">
        <x:v>Section 3.5.1 / Figure 36</x:v>
      </x:c>
      <x:c r="Q29" s="83" t="str">
        <x:v>B — Derived</x:v>
      </x:c>
      <x:c r="R29" s="83" t="str">
        <x:v>Energy divided by power</x:v>
      </x:c>
      <x:c r="S29" s="83" t="str">
        <x:v>A direct / B derived</x:v>
      </x:c>
      <x:c r="T29" s="83" t="str">
        <x:v>Store+Links with asymmetric charge/discharge power; plant/zone mapping still needed.</x:v>
      </x:c>
      <x:c r="U29" s="83" t="str">
        <x:v>Derived aggregate ratio; not plant-specific max_hours.</x:v>
      </x:c>
    </x:row>
    <x:row r="30">
      <x:c r="A30" s="83" t="str">
        <x:v>HY-026</x:v>
      </x:c>
      <x:c r="B30" s="83" t="str">
        <x:v>PNIEC_POLICY_2030</x:v>
      </x:c>
      <x:c r="C30" s="83" t="n">
        <x:v>2030</x:v>
      </x:c>
      <x:c r="D30" s="83" t="str">
        <x:v>PNIEC Policy 2030</x:v>
      </x:c>
      <x:c r="E30" s="83" t="str">
        <x:v>Italia</x:v>
      </x:c>
      <x:c r="F30" s="83" t="str"/>
      <x:c r="G30" s="83" t="str">
        <x:v>Existing pumped hydro convention</x:v>
      </x:c>
      <x:c r="H30" s="83" t="str">
        <x:v>Storage energy capacity used in scenario accounting</x:v>
      </x:c>
      <x:c r="I30" s="197" t="n">
        <x:v>50</x:v>
      </x:c>
      <x:c r="J30" s="83" t="str">
        <x:v>GWh</x:v>
      </x:c>
      <x:c r="K30" s="83" t="str">
        <x:v>Scenario convention</x:v>
      </x:c>
      <x:c r="L30" s="83" t="str">
        <x:v>S09</x:v>
      </x:c>
      <x:c r="M30" s="83" t="str">
        <x:v>Documento di Descrizione degli Scenari 2024</x:v>
      </x:c>
      <x:c r="N30" s="83" t="n">
        <x:v>49</x:v>
      </x:c>
      <x:c r="O30" s="83" t="n">
        <x:v>47</x:v>
      </x:c>
      <x:c r="P30" s="83" t="str">
        <x:v>Figure 19 / storage accounting</x:v>
      </x:c>
      <x:c r="Q30" s="83" t="str">
        <x:v>Assunzione di scenario</x:v>
      </x:c>
      <x:c r="R30" s="83" t="str">
        <x:v>Direct</x:v>
      </x:c>
      <x:c r="S30" s="83" t="str">
        <x:v>A — Direct</x:v>
      </x:c>
      <x:c r="T30" s="83" t="str">
        <x:v>Scenario reconciliation only; compare with 53 GWh physical stock.</x:v>
      </x:c>
      <x:c r="U30" s="83" t="str">
        <x:v>DDS convention preserved; 3 GWh below S01 physical estimate.</x:v>
      </x:c>
    </x:row>
    <x:row r="31">
      <x:c r="A31" s="83" t="str">
        <x:v>HY-027</x:v>
      </x:c>
      <x:c r="B31" s="83" t="str">
        <x:v>PNIEC_SLOW_2030</x:v>
      </x:c>
      <x:c r="C31" s="83" t="n">
        <x:v>2030</x:v>
      </x:c>
      <x:c r="D31" s="83" t="str">
        <x:v>PNIEC Slow 2030</x:v>
      </x:c>
      <x:c r="E31" s="83" t="str">
        <x:v>Italia</x:v>
      </x:c>
      <x:c r="F31" s="83" t="str"/>
      <x:c r="G31" s="83" t="str">
        <x:v>Existing pumped hydro convention</x:v>
      </x:c>
      <x:c r="H31" s="83" t="str">
        <x:v>Storage energy capacity used in scenario accounting</x:v>
      </x:c>
      <x:c r="I31" s="197" t="n">
        <x:v>50</x:v>
      </x:c>
      <x:c r="J31" s="83" t="str">
        <x:v>GWh</x:v>
      </x:c>
      <x:c r="K31" s="83" t="str">
        <x:v>Scenario convention</x:v>
      </x:c>
      <x:c r="L31" s="83" t="str">
        <x:v>S09</x:v>
      </x:c>
      <x:c r="M31" s="83" t="str">
        <x:v>Documento di Descrizione degli Scenari 2024</x:v>
      </x:c>
      <x:c r="N31" s="83" t="n">
        <x:v>49</x:v>
      </x:c>
      <x:c r="O31" s="83" t="n">
        <x:v>47</x:v>
      </x:c>
      <x:c r="P31" s="83" t="str">
        <x:v>Figure 19 / storage accounting</x:v>
      </x:c>
      <x:c r="Q31" s="83" t="str">
        <x:v>Assunzione di scenario</x:v>
      </x:c>
      <x:c r="R31" s="83" t="str">
        <x:v>Direct</x:v>
      </x:c>
      <x:c r="S31" s="83" t="str">
        <x:v>A — Direct</x:v>
      </x:c>
      <x:c r="T31" s="83" t="str">
        <x:v>Scenario reconciliation only; compare with 53 GWh physical stock.</x:v>
      </x:c>
      <x:c r="U31" s="83" t="str">
        <x:v>DDS convention preserved; 3 GWh below S01 physical estimate.</x:v>
      </x:c>
    </x:row>
    <x:row r="32">
      <x:c r="A32" s="83" t="str">
        <x:v>HY-028</x:v>
      </x:c>
      <x:c r="B32" s="83" t="str">
        <x:v>DE_IT_2035</x:v>
      </x:c>
      <x:c r="C32" s="83" t="n">
        <x:v>2035</x:v>
      </x:c>
      <x:c r="D32" s="83" t="str">
        <x:v>DE-IT 2035</x:v>
      </x:c>
      <x:c r="E32" s="83" t="str">
        <x:v>Italia</x:v>
      </x:c>
      <x:c r="F32" s="83" t="str"/>
      <x:c r="G32" s="83" t="str">
        <x:v>Existing pumped hydro convention</x:v>
      </x:c>
      <x:c r="H32" s="83" t="str">
        <x:v>Storage energy capacity used in scenario accounting</x:v>
      </x:c>
      <x:c r="I32" s="197" t="n">
        <x:v>50</x:v>
      </x:c>
      <x:c r="J32" s="83" t="str">
        <x:v>GWh</x:v>
      </x:c>
      <x:c r="K32" s="83" t="str">
        <x:v>Scenario convention</x:v>
      </x:c>
      <x:c r="L32" s="83" t="str">
        <x:v>S09</x:v>
      </x:c>
      <x:c r="M32" s="83" t="str">
        <x:v>Documento di Descrizione degli Scenari 2024</x:v>
      </x:c>
      <x:c r="N32" s="83" t="n">
        <x:v>49</x:v>
      </x:c>
      <x:c r="O32" s="83" t="n">
        <x:v>47</x:v>
      </x:c>
      <x:c r="P32" s="83" t="str">
        <x:v>Figure 19 / storage accounting</x:v>
      </x:c>
      <x:c r="Q32" s="83" t="str">
        <x:v>Assunzione di scenario</x:v>
      </x:c>
      <x:c r="R32" s="83" t="str">
        <x:v>Direct</x:v>
      </x:c>
      <x:c r="S32" s="83" t="str">
        <x:v>A — Direct</x:v>
      </x:c>
      <x:c r="T32" s="83" t="str">
        <x:v>Scenario reconciliation only; compare with 53 GWh physical stock.</x:v>
      </x:c>
      <x:c r="U32" s="83" t="str">
        <x:v>DDS convention preserved; 3 GWh below S01 physical estimate.</x:v>
      </x:c>
    </x:row>
    <x:row r="33">
      <x:c r="A33" s="83" t="str">
        <x:v>HY-029</x:v>
      </x:c>
      <x:c r="B33" s="83" t="str">
        <x:v>GA_IT_2035</x:v>
      </x:c>
      <x:c r="C33" s="83" t="n">
        <x:v>2035</x:v>
      </x:c>
      <x:c r="D33" s="83" t="str">
        <x:v>GA-IT 2035</x:v>
      </x:c>
      <x:c r="E33" s="83" t="str">
        <x:v>Italia</x:v>
      </x:c>
      <x:c r="F33" s="83" t="str"/>
      <x:c r="G33" s="83" t="str">
        <x:v>Existing pumped hydro convention</x:v>
      </x:c>
      <x:c r="H33" s="83" t="str">
        <x:v>Storage energy capacity used in scenario accounting</x:v>
      </x:c>
      <x:c r="I33" s="197" t="n">
        <x:v>50</x:v>
      </x:c>
      <x:c r="J33" s="83" t="str">
        <x:v>GWh</x:v>
      </x:c>
      <x:c r="K33" s="83" t="str">
        <x:v>Scenario convention</x:v>
      </x:c>
      <x:c r="L33" s="83" t="str">
        <x:v>S09</x:v>
      </x:c>
      <x:c r="M33" s="83" t="str">
        <x:v>Documento di Descrizione degli Scenari 2024</x:v>
      </x:c>
      <x:c r="N33" s="83" t="n">
        <x:v>49</x:v>
      </x:c>
      <x:c r="O33" s="83" t="n">
        <x:v>47</x:v>
      </x:c>
      <x:c r="P33" s="83" t="str">
        <x:v>Figure 19 / storage accounting</x:v>
      </x:c>
      <x:c r="Q33" s="83" t="str">
        <x:v>Assunzione di scenario</x:v>
      </x:c>
      <x:c r="R33" s="83" t="str">
        <x:v>Direct</x:v>
      </x:c>
      <x:c r="S33" s="83" t="str">
        <x:v>A — Direct</x:v>
      </x:c>
      <x:c r="T33" s="83" t="str">
        <x:v>Scenario reconciliation only; compare with 53 GWh physical stock.</x:v>
      </x:c>
      <x:c r="U33" s="83" t="str">
        <x:v>DDS convention preserved; 3 GWh below S01 physical estimate.</x:v>
      </x:c>
    </x:row>
    <x:row r="34">
      <x:c r="A34" s="83" t="str">
        <x:v>HY-030</x:v>
      </x:c>
      <x:c r="B34" s="83" t="str">
        <x:v>PNIEC_SLOW_2035</x:v>
      </x:c>
      <x:c r="C34" s="83" t="n">
        <x:v>2035</x:v>
      </x:c>
      <x:c r="D34" s="83" t="str">
        <x:v>PNIEC Slow 2035</x:v>
      </x:c>
      <x:c r="E34" s="83" t="str">
        <x:v>Italia</x:v>
      </x:c>
      <x:c r="F34" s="83" t="str"/>
      <x:c r="G34" s="83" t="str">
        <x:v>Existing pumped hydro convention</x:v>
      </x:c>
      <x:c r="H34" s="83" t="str">
        <x:v>Storage energy capacity used in scenario accounting</x:v>
      </x:c>
      <x:c r="I34" s="197" t="n">
        <x:v>50</x:v>
      </x:c>
      <x:c r="J34" s="83" t="str">
        <x:v>GWh</x:v>
      </x:c>
      <x:c r="K34" s="83" t="str">
        <x:v>Scenario convention</x:v>
      </x:c>
      <x:c r="L34" s="83" t="str">
        <x:v>S09</x:v>
      </x:c>
      <x:c r="M34" s="83" t="str">
        <x:v>Documento di Descrizione degli Scenari 2024</x:v>
      </x:c>
      <x:c r="N34" s="83" t="n">
        <x:v>49</x:v>
      </x:c>
      <x:c r="O34" s="83" t="n">
        <x:v>47</x:v>
      </x:c>
      <x:c r="P34" s="83" t="str">
        <x:v>Figure 19 / storage accounting</x:v>
      </x:c>
      <x:c r="Q34" s="83" t="str">
        <x:v>Assunzione di scenario</x:v>
      </x:c>
      <x:c r="R34" s="83" t="str">
        <x:v>Direct</x:v>
      </x:c>
      <x:c r="S34" s="83" t="str">
        <x:v>A — Direct</x:v>
      </x:c>
      <x:c r="T34" s="83" t="str">
        <x:v>Scenario reconciliation only; compare with 53 GWh physical stock.</x:v>
      </x:c>
      <x:c r="U34" s="83" t="str">
        <x:v>DDS convention preserved; 3 GWh below S01 physical estimate.</x:v>
      </x:c>
    </x:row>
    <x:row r="35">
      <x:c r="A35" s="83" t="str">
        <x:v>HY-031</x:v>
      </x:c>
      <x:c r="B35" s="83" t="str">
        <x:v>DE_IT_2040</x:v>
      </x:c>
      <x:c r="C35" s="83" t="n">
        <x:v>2040</x:v>
      </x:c>
      <x:c r="D35" s="83" t="str">
        <x:v>DE-IT 2040</x:v>
      </x:c>
      <x:c r="E35" s="83" t="str">
        <x:v>Italia</x:v>
      </x:c>
      <x:c r="F35" s="83" t="str"/>
      <x:c r="G35" s="83" t="str">
        <x:v>Existing pumped hydro convention</x:v>
      </x:c>
      <x:c r="H35" s="83" t="str">
        <x:v>Storage energy capacity used in scenario accounting</x:v>
      </x:c>
      <x:c r="I35" s="197" t="n">
        <x:v>50</x:v>
      </x:c>
      <x:c r="J35" s="83" t="str">
        <x:v>GWh</x:v>
      </x:c>
      <x:c r="K35" s="83" t="str">
        <x:v>Scenario convention</x:v>
      </x:c>
      <x:c r="L35" s="83" t="str">
        <x:v>S09</x:v>
      </x:c>
      <x:c r="M35" s="83" t="str">
        <x:v>Documento di Descrizione degli Scenari 2024</x:v>
      </x:c>
      <x:c r="N35" s="83" t="n">
        <x:v>49</x:v>
      </x:c>
      <x:c r="O35" s="83" t="n">
        <x:v>47</x:v>
      </x:c>
      <x:c r="P35" s="83" t="str">
        <x:v>Figure 19 / storage accounting</x:v>
      </x:c>
      <x:c r="Q35" s="83" t="str">
        <x:v>Assunzione di scenario</x:v>
      </x:c>
      <x:c r="R35" s="83" t="str">
        <x:v>Direct</x:v>
      </x:c>
      <x:c r="S35" s="83" t="str">
        <x:v>A — Direct</x:v>
      </x:c>
      <x:c r="T35" s="83" t="str">
        <x:v>Scenario reconciliation only; compare with 53 GWh physical stock.</x:v>
      </x:c>
      <x:c r="U35" s="83" t="str">
        <x:v>DDS convention preserved; 3 GWh below S01 physical estimate.</x:v>
      </x:c>
    </x:row>
    <x:row r="36">
      <x:c r="A36" s="83" t="str">
        <x:v>HY-032</x:v>
      </x:c>
      <x:c r="B36" s="83" t="str">
        <x:v>GA_IT_2040</x:v>
      </x:c>
      <x:c r="C36" s="83" t="n">
        <x:v>2040</x:v>
      </x:c>
      <x:c r="D36" s="83" t="str">
        <x:v>GA-IT 2040</x:v>
      </x:c>
      <x:c r="E36" s="83" t="str">
        <x:v>Italia</x:v>
      </x:c>
      <x:c r="F36" s="83" t="str"/>
      <x:c r="G36" s="83" t="str">
        <x:v>Existing pumped hydro convention</x:v>
      </x:c>
      <x:c r="H36" s="83" t="str">
        <x:v>Storage energy capacity used in scenario accounting</x:v>
      </x:c>
      <x:c r="I36" s="197" t="n">
        <x:v>50</x:v>
      </x:c>
      <x:c r="J36" s="83" t="str">
        <x:v>GWh</x:v>
      </x:c>
      <x:c r="K36" s="83" t="str">
        <x:v>Scenario convention</x:v>
      </x:c>
      <x:c r="L36" s="83" t="str">
        <x:v>S09</x:v>
      </x:c>
      <x:c r="M36" s="83" t="str">
        <x:v>Documento di Descrizione degli Scenari 2024</x:v>
      </x:c>
      <x:c r="N36" s="83" t="n">
        <x:v>49</x:v>
      </x:c>
      <x:c r="O36" s="83" t="n">
        <x:v>47</x:v>
      </x:c>
      <x:c r="P36" s="83" t="str">
        <x:v>Figure 19 / storage accounting</x:v>
      </x:c>
      <x:c r="Q36" s="83" t="str">
        <x:v>Assunzione di scenario</x:v>
      </x:c>
      <x:c r="R36" s="83" t="str">
        <x:v>Direct</x:v>
      </x:c>
      <x:c r="S36" s="83" t="str">
        <x:v>A — Direct</x:v>
      </x:c>
      <x:c r="T36" s="83" t="str">
        <x:v>Scenario reconciliation only; compare with 53 GWh physical stock.</x:v>
      </x:c>
      <x:c r="U36" s="83" t="str">
        <x:v>DDS convention preserved; 3 GWh below S01 physical estimate.</x:v>
      </x:c>
    </x:row>
    <x:row r="37">
      <x:c r="A37" s="83" t="str">
        <x:v>HY-033</x:v>
      </x:c>
      <x:c r="B37" s="83" t="str">
        <x:v>PNIEC_SLOW_2040</x:v>
      </x:c>
      <x:c r="C37" s="83" t="n">
        <x:v>2040</x:v>
      </x:c>
      <x:c r="D37" s="83" t="str">
        <x:v>PNIEC Slow 2040</x:v>
      </x:c>
      <x:c r="E37" s="83" t="str">
        <x:v>Italia</x:v>
      </x:c>
      <x:c r="F37" s="83" t="str"/>
      <x:c r="G37" s="83" t="str">
        <x:v>Existing pumped hydro convention</x:v>
      </x:c>
      <x:c r="H37" s="83" t="str">
        <x:v>Storage energy capacity used in scenario accounting</x:v>
      </x:c>
      <x:c r="I37" s="197" t="n">
        <x:v>50</x:v>
      </x:c>
      <x:c r="J37" s="83" t="str">
        <x:v>GWh</x:v>
      </x:c>
      <x:c r="K37" s="83" t="str">
        <x:v>Scenario convention</x:v>
      </x:c>
      <x:c r="L37" s="83" t="str">
        <x:v>S09</x:v>
      </x:c>
      <x:c r="M37" s="83" t="str">
        <x:v>Documento di Descrizione degli Scenari 2024</x:v>
      </x:c>
      <x:c r="N37" s="83" t="n">
        <x:v>49</x:v>
      </x:c>
      <x:c r="O37" s="83" t="n">
        <x:v>47</x:v>
      </x:c>
      <x:c r="P37" s="83" t="str">
        <x:v>Figure 19 / storage accounting</x:v>
      </x:c>
      <x:c r="Q37" s="83" t="str">
        <x:v>Assunzione di scenario</x:v>
      </x:c>
      <x:c r="R37" s="83" t="str">
        <x:v>Direct</x:v>
      </x:c>
      <x:c r="S37" s="83" t="str">
        <x:v>A — Direct</x:v>
      </x:c>
      <x:c r="T37" s="83" t="str">
        <x:v>Scenario reconciliation only; compare with 53 GWh physical stock.</x:v>
      </x:c>
      <x:c r="U37" s="83" t="str">
        <x:v>DDS convention preserved; 3 GWh below S01 physical estimate.</x:v>
      </x:c>
    </x:row>
    <x:row r="38">
      <x:c r="A38" s="83" t="str">
        <x:v>HY-034</x:v>
      </x:c>
      <x:c r="B38" s="83" t="str">
        <x:v>TERNA_2050_NUCLEAR</x:v>
      </x:c>
      <x:c r="C38" s="83" t="n">
        <x:v>2050</x:v>
      </x:c>
      <x:c r="D38" s="83" t="str">
        <x:v>Terna 2050 con nucleare</x:v>
      </x:c>
      <x:c r="E38" s="83" t="str">
        <x:v>Italia</x:v>
      </x:c>
      <x:c r="F38" s="83" t="str"/>
      <x:c r="G38" s="83" t="str">
        <x:v>Hydro and pumping aggregate</x:v>
      </x:c>
      <x:c r="H38" s="83" t="str">
        <x:v>Installed power</x:v>
      </x:c>
      <x:c r="I38" s="197" t="n">
        <x:v>23</x:v>
      </x:c>
      <x:c r="J38" s="83" t="str">
        <x:v>GW</x:v>
      </x:c>
      <x:c r="K38" s="83" t="str">
        <x:v>Source scenario configuration</x:v>
      </x:c>
      <x:c r="L38" s="83" t="str">
        <x:v>S07</x:v>
      </x:c>
      <x:c r="M38" s="83" t="str">
        <x:v>Prospettive di Sviluppo del Sistema Energetico 2050</x:v>
      </x:c>
      <x:c r="N38" s="83" t="n">
        <x:v>65</x:v>
      </x:c>
      <x:c r="O38" s="83" t="n">
        <x:v>63</x:v>
      </x:c>
      <x:c r="P38" s="83" t="str">
        <x:v>Figure 55</x:v>
      </x:c>
      <x:c r="Q38" s="83" t="str">
        <x:v>Risultato/configurazione di modello</x:v>
      </x:c>
      <x:c r="R38" s="83" t="str">
        <x:v>Direct chart label</x:v>
      </x:c>
      <x:c r="S38" s="83" t="str">
        <x:v>A — Direct</x:v>
      </x:c>
      <x:c r="T38" s="83" t="str">
        <x:v>Control total only; must split run-of-river, reservoir and pumping.</x:v>
      </x:c>
      <x:c r="U38" s="83" t="str">
        <x:v>Reported as a combined category; not sufficient for PyPSA component assignment.</x:v>
      </x:c>
    </x:row>
    <x:row r="39">
      <x:c r="A39" s="83" t="str">
        <x:v>HY-035</x:v>
      </x:c>
      <x:c r="B39" s="83" t="str"/>
      <x:c r="C39" s="83" t="n">
        <x:v>2024</x:v>
      </x:c>
      <x:c r="D39" s="83" t="str">
        <x:v>Connection requests at 31 Dec 2024</x:v>
      </x:c>
      <x:c r="E39" s="83" t="str">
        <x:v>Italia</x:v>
      </x:c>
      <x:c r="F39" s="83" t="str"/>
      <x:c r="G39" s="83" t="str">
        <x:v>Pumping pure</x:v>
      </x:c>
      <x:c r="H39" s="83" t="str">
        <x:v>Connection request power — STMG da elaborare</x:v>
      </x:c>
      <x:c r="I39" s="197" t="n">
        <x:v>0.69</x:v>
      </x:c>
      <x:c r="J39" s="83" t="str">
        <x:v>GW</x:v>
      </x:c>
      <x:c r="K39" s="83" t="str">
        <x:v>Connection pipeline</x:v>
      </x:c>
      <x:c r="L39" s="83" t="str">
        <x:v>S04</x:v>
      </x:c>
      <x:c r="M39" s="83" t="str">
        <x:v>Programmazione territoriale efficiente e interventi di connessione</x:v>
      </x:c>
      <x:c r="N39" s="83" t="n">
        <x:v>30</x:v>
      </x:c>
      <x:c r="O39" s="83" t="n">
        <x:v>28</x:v>
      </x:c>
      <x:c r="P39" s="83" t="str">
        <x:v>Table 7</x:v>
      </x:c>
      <x:c r="Q39" s="83" t="str">
        <x:v>Pipeline / connection request</x:v>
      </x:c>
      <x:c r="R39" s="83" t="str">
        <x:v>Direct</x:v>
      </x:c>
      <x:c r="S39" s="83" t="str">
        <x:v>A — Direct</x:v>
      </x:c>
      <x:c r="T39" s="83" t="str">
        <x:v>Exclude from installed base; use maturity filter for sensitivities.</x:v>
      </x:c>
      <x:c r="U39" s="83" t="str">
        <x:v>Connection-process status, not COD certainty.</x:v>
      </x:c>
    </x:row>
    <x:row r="40">
      <x:c r="A40" s="83" t="str">
        <x:v>HY-036</x:v>
      </x:c>
      <x:c r="B40" s="83" t="str"/>
      <x:c r="C40" s="83" t="n">
        <x:v>2024</x:v>
      </x:c>
      <x:c r="D40" s="83" t="str">
        <x:v>Connection requests at 31 Dec 2024</x:v>
      </x:c>
      <x:c r="E40" s="83" t="str">
        <x:v>Italia</x:v>
      </x:c>
      <x:c r="F40" s="83" t="str"/>
      <x:c r="G40" s="83" t="str">
        <x:v>Pumping mixed</x:v>
      </x:c>
      <x:c r="H40" s="83" t="str">
        <x:v>Connection request power — STMG da elaborare</x:v>
      </x:c>
      <x:c r="I40" s="197" t="n">
        <x:v>0</x:v>
      </x:c>
      <x:c r="J40" s="83" t="str">
        <x:v>GW</x:v>
      </x:c>
      <x:c r="K40" s="83" t="str">
        <x:v>Connection pipeline</x:v>
      </x:c>
      <x:c r="L40" s="83" t="str">
        <x:v>S04</x:v>
      </x:c>
      <x:c r="M40" s="83" t="str">
        <x:v>Programmazione territoriale efficiente e interventi di connessione</x:v>
      </x:c>
      <x:c r="N40" s="83" t="n">
        <x:v>30</x:v>
      </x:c>
      <x:c r="O40" s="83" t="n">
        <x:v>28</x:v>
      </x:c>
      <x:c r="P40" s="83" t="str">
        <x:v>Table 7</x:v>
      </x:c>
      <x:c r="Q40" s="83" t="str">
        <x:v>Pipeline / connection request</x:v>
      </x:c>
      <x:c r="R40" s="83" t="str">
        <x:v>Direct</x:v>
      </x:c>
      <x:c r="S40" s="83" t="str">
        <x:v>A — Direct</x:v>
      </x:c>
      <x:c r="T40" s="83" t="str">
        <x:v>Exclude from installed base; use maturity filter for sensitivities.</x:v>
      </x:c>
      <x:c r="U40" s="83" t="str">
        <x:v>Connection-process status, not COD certainty.</x:v>
      </x:c>
    </x:row>
    <x:row r="41">
      <x:c r="A41" s="83" t="str">
        <x:v>HY-037</x:v>
      </x:c>
      <x:c r="B41" s="83" t="str"/>
      <x:c r="C41" s="83" t="n">
        <x:v>2024</x:v>
      </x:c>
      <x:c r="D41" s="83" t="str">
        <x:v>Connection requests at 31 Dec 2024</x:v>
      </x:c>
      <x:c r="E41" s="83" t="str">
        <x:v>Italia</x:v>
      </x:c>
      <x:c r="F41" s="83" t="str"/>
      <x:c r="G41" s="83" t="str">
        <x:v>Pumping pure</x:v>
      </x:c>
      <x:c r="H41" s="83" t="str">
        <x:v>Connection request power — STMG fornito</x:v>
      </x:c>
      <x:c r="I41" s="197" t="n">
        <x:v>0.39</x:v>
      </x:c>
      <x:c r="J41" s="83" t="str">
        <x:v>GW</x:v>
      </x:c>
      <x:c r="K41" s="83" t="str">
        <x:v>Connection pipeline</x:v>
      </x:c>
      <x:c r="L41" s="83" t="str">
        <x:v>S04</x:v>
      </x:c>
      <x:c r="M41" s="83" t="str">
        <x:v>Programmazione territoriale efficiente e interventi di connessione</x:v>
      </x:c>
      <x:c r="N41" s="83" t="n">
        <x:v>30</x:v>
      </x:c>
      <x:c r="O41" s="83" t="n">
        <x:v>28</x:v>
      </x:c>
      <x:c r="P41" s="83" t="str">
        <x:v>Table 7</x:v>
      </x:c>
      <x:c r="Q41" s="83" t="str">
        <x:v>Pipeline / connection request</x:v>
      </x:c>
      <x:c r="R41" s="83" t="str">
        <x:v>Direct</x:v>
      </x:c>
      <x:c r="S41" s="83" t="str">
        <x:v>A — Direct</x:v>
      </x:c>
      <x:c r="T41" s="83" t="str">
        <x:v>Exclude from installed base; use maturity filter for sensitivities.</x:v>
      </x:c>
      <x:c r="U41" s="83" t="str">
        <x:v>Connection-process status, not COD certainty.</x:v>
      </x:c>
    </x:row>
    <x:row r="42">
      <x:c r="A42" s="83" t="str">
        <x:v>HY-038</x:v>
      </x:c>
      <x:c r="B42" s="83" t="str"/>
      <x:c r="C42" s="83" t="n">
        <x:v>2024</x:v>
      </x:c>
      <x:c r="D42" s="83" t="str">
        <x:v>Connection requests at 31 Dec 2024</x:v>
      </x:c>
      <x:c r="E42" s="83" t="str">
        <x:v>Italia</x:v>
      </x:c>
      <x:c r="F42" s="83" t="str"/>
      <x:c r="G42" s="83" t="str">
        <x:v>Pumping mixed</x:v>
      </x:c>
      <x:c r="H42" s="83" t="str">
        <x:v>Connection request power — STMG fornito</x:v>
      </x:c>
      <x:c r="I42" s="197" t="n">
        <x:v>0.16</x:v>
      </x:c>
      <x:c r="J42" s="83" t="str">
        <x:v>GW</x:v>
      </x:c>
      <x:c r="K42" s="83" t="str">
        <x:v>Connection pipeline</x:v>
      </x:c>
      <x:c r="L42" s="83" t="str">
        <x:v>S04</x:v>
      </x:c>
      <x:c r="M42" s="83" t="str">
        <x:v>Programmazione territoriale efficiente e interventi di connessione</x:v>
      </x:c>
      <x:c r="N42" s="83" t="n">
        <x:v>30</x:v>
      </x:c>
      <x:c r="O42" s="83" t="n">
        <x:v>28</x:v>
      </x:c>
      <x:c r="P42" s="83" t="str">
        <x:v>Table 7</x:v>
      </x:c>
      <x:c r="Q42" s="83" t="str">
        <x:v>Pipeline / connection request</x:v>
      </x:c>
      <x:c r="R42" s="83" t="str">
        <x:v>Direct</x:v>
      </x:c>
      <x:c r="S42" s="83" t="str">
        <x:v>A — Direct</x:v>
      </x:c>
      <x:c r="T42" s="83" t="str">
        <x:v>Exclude from installed base; use maturity filter for sensitivities.</x:v>
      </x:c>
      <x:c r="U42" s="83" t="str">
        <x:v>Connection-process status, not COD certainty.</x:v>
      </x:c>
    </x:row>
    <x:row r="43">
      <x:c r="A43" s="83" t="str">
        <x:v>HY-039</x:v>
      </x:c>
      <x:c r="B43" s="83" t="str"/>
      <x:c r="C43" s="83" t="n">
        <x:v>2024</x:v>
      </x:c>
      <x:c r="D43" s="83" t="str">
        <x:v>Connection requests at 31 Dec 2024</x:v>
      </x:c>
      <x:c r="E43" s="83" t="str">
        <x:v>Italia</x:v>
      </x:c>
      <x:c r="F43" s="83" t="str"/>
      <x:c r="G43" s="83" t="str">
        <x:v>Pumping pure</x:v>
      </x:c>
      <x:c r="H43" s="83" t="str">
        <x:v>Connection request power — STMG accettata</x:v>
      </x:c>
      <x:c r="I43" s="197" t="n">
        <x:v>3.68</x:v>
      </x:c>
      <x:c r="J43" s="83" t="str">
        <x:v>GW</x:v>
      </x:c>
      <x:c r="K43" s="83" t="str">
        <x:v>Connection pipeline</x:v>
      </x:c>
      <x:c r="L43" s="83" t="str">
        <x:v>S04</x:v>
      </x:c>
      <x:c r="M43" s="83" t="str">
        <x:v>Programmazione territoriale efficiente e interventi di connessione</x:v>
      </x:c>
      <x:c r="N43" s="83" t="n">
        <x:v>30</x:v>
      </x:c>
      <x:c r="O43" s="83" t="n">
        <x:v>28</x:v>
      </x:c>
      <x:c r="P43" s="83" t="str">
        <x:v>Table 7</x:v>
      </x:c>
      <x:c r="Q43" s="83" t="str">
        <x:v>Pipeline / connection request</x:v>
      </x:c>
      <x:c r="R43" s="83" t="str">
        <x:v>Direct</x:v>
      </x:c>
      <x:c r="S43" s="83" t="str">
        <x:v>A — Direct</x:v>
      </x:c>
      <x:c r="T43" s="83" t="str">
        <x:v>Exclude from installed base; use maturity filter for sensitivities.</x:v>
      </x:c>
      <x:c r="U43" s="83" t="str">
        <x:v>Connection-process status, not COD certainty.</x:v>
      </x:c>
    </x:row>
    <x:row r="44">
      <x:c r="A44" s="83" t="str">
        <x:v>HY-040</x:v>
      </x:c>
      <x:c r="B44" s="83" t="str"/>
      <x:c r="C44" s="83" t="n">
        <x:v>2024</x:v>
      </x:c>
      <x:c r="D44" s="83" t="str">
        <x:v>Connection requests at 31 Dec 2024</x:v>
      </x:c>
      <x:c r="E44" s="83" t="str">
        <x:v>Italia</x:v>
      </x:c>
      <x:c r="F44" s="83" t="str"/>
      <x:c r="G44" s="83" t="str">
        <x:v>Pumping mixed</x:v>
      </x:c>
      <x:c r="H44" s="83" t="str">
        <x:v>Connection request power — STMG accettata</x:v>
      </x:c>
      <x:c r="I44" s="197" t="n">
        <x:v>1.24</x:v>
      </x:c>
      <x:c r="J44" s="83" t="str">
        <x:v>GW</x:v>
      </x:c>
      <x:c r="K44" s="83" t="str">
        <x:v>Connection pipeline</x:v>
      </x:c>
      <x:c r="L44" s="83" t="str">
        <x:v>S04</x:v>
      </x:c>
      <x:c r="M44" s="83" t="str">
        <x:v>Programmazione territoriale efficiente e interventi di connessione</x:v>
      </x:c>
      <x:c r="N44" s="83" t="n">
        <x:v>30</x:v>
      </x:c>
      <x:c r="O44" s="83" t="n">
        <x:v>28</x:v>
      </x:c>
      <x:c r="P44" s="83" t="str">
        <x:v>Table 7</x:v>
      </x:c>
      <x:c r="Q44" s="83" t="str">
        <x:v>Pipeline / connection request</x:v>
      </x:c>
      <x:c r="R44" s="83" t="str">
        <x:v>Direct</x:v>
      </x:c>
      <x:c r="S44" s="83" t="str">
        <x:v>A — Direct</x:v>
      </x:c>
      <x:c r="T44" s="83" t="str">
        <x:v>Exclude from installed base; use maturity filter for sensitivities.</x:v>
      </x:c>
      <x:c r="U44" s="83" t="str">
        <x:v>Connection-process status, not COD certainty.</x:v>
      </x:c>
    </x:row>
    <x:row r="45">
      <x:c r="A45" s="83" t="str">
        <x:v>HY-041</x:v>
      </x:c>
      <x:c r="B45" s="83" t="str"/>
      <x:c r="C45" s="83" t="n">
        <x:v>2024</x:v>
      </x:c>
      <x:c r="D45" s="83" t="str">
        <x:v>Connection requests at 31 Dec 2024</x:v>
      </x:c>
      <x:c r="E45" s="83" t="str">
        <x:v>Italia</x:v>
      </x:c>
      <x:c r="F45" s="83" t="str"/>
      <x:c r="G45" s="83" t="str">
        <x:v>Pumping pure</x:v>
      </x:c>
      <x:c r="H45" s="83" t="str">
        <x:v>Connection request power — Progettazione in corso</x:v>
      </x:c>
      <x:c r="I45" s="197" t="n">
        <x:v>1.76</x:v>
      </x:c>
      <x:c r="J45" s="83" t="str">
        <x:v>GW</x:v>
      </x:c>
      <x:c r="K45" s="83" t="str">
        <x:v>Connection pipeline</x:v>
      </x:c>
      <x:c r="L45" s="83" t="str">
        <x:v>S04</x:v>
      </x:c>
      <x:c r="M45" s="83" t="str">
        <x:v>Programmazione territoriale efficiente e interventi di connessione</x:v>
      </x:c>
      <x:c r="N45" s="83" t="n">
        <x:v>30</x:v>
      </x:c>
      <x:c r="O45" s="83" t="n">
        <x:v>28</x:v>
      </x:c>
      <x:c r="P45" s="83" t="str">
        <x:v>Table 7</x:v>
      </x:c>
      <x:c r="Q45" s="83" t="str">
        <x:v>Pipeline / connection request</x:v>
      </x:c>
      <x:c r="R45" s="83" t="str">
        <x:v>Direct</x:v>
      </x:c>
      <x:c r="S45" s="83" t="str">
        <x:v>A — Direct</x:v>
      </x:c>
      <x:c r="T45" s="83" t="str">
        <x:v>Exclude from installed base; use maturity filter for sensitivities.</x:v>
      </x:c>
      <x:c r="U45" s="83" t="str">
        <x:v>Connection-process status, not COD certainty.</x:v>
      </x:c>
    </x:row>
    <x:row r="46">
      <x:c r="A46" s="83" t="str">
        <x:v>HY-042</x:v>
      </x:c>
      <x:c r="B46" s="83" t="str"/>
      <x:c r="C46" s="83" t="n">
        <x:v>2024</x:v>
      </x:c>
      <x:c r="D46" s="83" t="str">
        <x:v>Connection requests at 31 Dec 2024</x:v>
      </x:c>
      <x:c r="E46" s="83" t="str">
        <x:v>Italia</x:v>
      </x:c>
      <x:c r="F46" s="83" t="str"/>
      <x:c r="G46" s="83" t="str">
        <x:v>Pumping mixed</x:v>
      </x:c>
      <x:c r="H46" s="83" t="str">
        <x:v>Connection request power — Progettazione in corso</x:v>
      </x:c>
      <x:c r="I46" s="197" t="n">
        <x:v>0</x:v>
      </x:c>
      <x:c r="J46" s="83" t="str">
        <x:v>GW</x:v>
      </x:c>
      <x:c r="K46" s="83" t="str">
        <x:v>Connection pipeline</x:v>
      </x:c>
      <x:c r="L46" s="83" t="str">
        <x:v>S04</x:v>
      </x:c>
      <x:c r="M46" s="83" t="str">
        <x:v>Programmazione territoriale efficiente e interventi di connessione</x:v>
      </x:c>
      <x:c r="N46" s="83" t="n">
        <x:v>30</x:v>
      </x:c>
      <x:c r="O46" s="83" t="n">
        <x:v>28</x:v>
      </x:c>
      <x:c r="P46" s="83" t="str">
        <x:v>Table 7</x:v>
      </x:c>
      <x:c r="Q46" s="83" t="str">
        <x:v>Pipeline / connection request</x:v>
      </x:c>
      <x:c r="R46" s="83" t="str">
        <x:v>Direct</x:v>
      </x:c>
      <x:c r="S46" s="83" t="str">
        <x:v>A — Direct</x:v>
      </x:c>
      <x:c r="T46" s="83" t="str">
        <x:v>Exclude from installed base; use maturity filter for sensitivities.</x:v>
      </x:c>
      <x:c r="U46" s="83" t="str">
        <x:v>Connection-process status, not COD certainty.</x:v>
      </x:c>
    </x:row>
    <x:row r="47">
      <x:c r="A47" s="83" t="str">
        <x:v>HY-043</x:v>
      </x:c>
      <x:c r="B47" s="83" t="str"/>
      <x:c r="C47" s="83" t="n">
        <x:v>2024</x:v>
      </x:c>
      <x:c r="D47" s="83" t="str">
        <x:v>Connection requests at 31 Dec 2024</x:v>
      </x:c>
      <x:c r="E47" s="83" t="str">
        <x:v>Italia</x:v>
      </x:c>
      <x:c r="F47" s="83" t="str"/>
      <x:c r="G47" s="83" t="str">
        <x:v>Pumping pure</x:v>
      </x:c>
      <x:c r="H47" s="83" t="str">
        <x:v>Connection request power — Progetti con nulla osta</x:v>
      </x:c>
      <x:c r="I47" s="197" t="n">
        <x:v>0.67</x:v>
      </x:c>
      <x:c r="J47" s="83" t="str">
        <x:v>GW</x:v>
      </x:c>
      <x:c r="K47" s="83" t="str">
        <x:v>Connection pipeline</x:v>
      </x:c>
      <x:c r="L47" s="83" t="str">
        <x:v>S04</x:v>
      </x:c>
      <x:c r="M47" s="83" t="str">
        <x:v>Programmazione territoriale efficiente e interventi di connessione</x:v>
      </x:c>
      <x:c r="N47" s="83" t="n">
        <x:v>30</x:v>
      </x:c>
      <x:c r="O47" s="83" t="n">
        <x:v>28</x:v>
      </x:c>
      <x:c r="P47" s="83" t="str">
        <x:v>Table 7</x:v>
      </x:c>
      <x:c r="Q47" s="83" t="str">
        <x:v>Pipeline / connection request</x:v>
      </x:c>
      <x:c r="R47" s="83" t="str">
        <x:v>Direct</x:v>
      </x:c>
      <x:c r="S47" s="83" t="str">
        <x:v>A — Direct</x:v>
      </x:c>
      <x:c r="T47" s="83" t="str">
        <x:v>Exclude from installed base; use maturity filter for sensitivities.</x:v>
      </x:c>
      <x:c r="U47" s="83" t="str">
        <x:v>Connection-process status, not COD certainty.</x:v>
      </x:c>
    </x:row>
    <x:row r="48">
      <x:c r="A48" s="83" t="str">
        <x:v>HY-044</x:v>
      </x:c>
      <x:c r="B48" s="83" t="str"/>
      <x:c r="C48" s="83" t="n">
        <x:v>2024</x:v>
      </x:c>
      <x:c r="D48" s="83" t="str">
        <x:v>Connection requests at 31 Dec 2024</x:v>
      </x:c>
      <x:c r="E48" s="83" t="str">
        <x:v>Italia</x:v>
      </x:c>
      <x:c r="F48" s="83" t="str"/>
      <x:c r="G48" s="83" t="str">
        <x:v>Pumping mixed</x:v>
      </x:c>
      <x:c r="H48" s="83" t="str">
        <x:v>Connection request power — Progetti con nulla osta</x:v>
      </x:c>
      <x:c r="I48" s="197" t="n">
        <x:v>0.55</x:v>
      </x:c>
      <x:c r="J48" s="83" t="str">
        <x:v>GW</x:v>
      </x:c>
      <x:c r="K48" s="83" t="str">
        <x:v>Connection pipeline</x:v>
      </x:c>
      <x:c r="L48" s="83" t="str">
        <x:v>S04</x:v>
      </x:c>
      <x:c r="M48" s="83" t="str">
        <x:v>Programmazione territoriale efficiente e interventi di connessione</x:v>
      </x:c>
      <x:c r="N48" s="83" t="n">
        <x:v>30</x:v>
      </x:c>
      <x:c r="O48" s="83" t="n">
        <x:v>28</x:v>
      </x:c>
      <x:c r="P48" s="83" t="str">
        <x:v>Table 7</x:v>
      </x:c>
      <x:c r="Q48" s="83" t="str">
        <x:v>Pipeline / connection request</x:v>
      </x:c>
      <x:c r="R48" s="83" t="str">
        <x:v>Direct</x:v>
      </x:c>
      <x:c r="S48" s="83" t="str">
        <x:v>A — Direct</x:v>
      </x:c>
      <x:c r="T48" s="83" t="str">
        <x:v>Exclude from installed base; use maturity filter for sensitivities.</x:v>
      </x:c>
      <x:c r="U48" s="83" t="str">
        <x:v>Connection-process status, not COD certainty.</x:v>
      </x:c>
    </x:row>
    <x:row r="49">
      <x:c r="A49" s="83" t="str">
        <x:v>HY-045</x:v>
      </x:c>
      <x:c r="B49" s="83" t="str"/>
      <x:c r="C49" s="83" t="n">
        <x:v>2024</x:v>
      </x:c>
      <x:c r="D49" s="83" t="str">
        <x:v>Connection requests at 31 Dec 2024</x:v>
      </x:c>
      <x:c r="E49" s="83" t="str">
        <x:v>Italia</x:v>
      </x:c>
      <x:c r="F49" s="83" t="str"/>
      <x:c r="G49" s="83" t="str">
        <x:v>Pumping pure</x:v>
      </x:c>
      <x:c r="H49" s="83" t="str">
        <x:v>Connection request power — STMD/Contratto</x:v>
      </x:c>
      <x:c r="I49" s="197" t="n">
        <x:v>0</x:v>
      </x:c>
      <x:c r="J49" s="83" t="str">
        <x:v>GW</x:v>
      </x:c>
      <x:c r="K49" s="83" t="str">
        <x:v>Connection pipeline</x:v>
      </x:c>
      <x:c r="L49" s="83" t="str">
        <x:v>S04</x:v>
      </x:c>
      <x:c r="M49" s="83" t="str">
        <x:v>Programmazione territoriale efficiente e interventi di connessione</x:v>
      </x:c>
      <x:c r="N49" s="83" t="n">
        <x:v>30</x:v>
      </x:c>
      <x:c r="O49" s="83" t="n">
        <x:v>28</x:v>
      </x:c>
      <x:c r="P49" s="83" t="str">
        <x:v>Table 7</x:v>
      </x:c>
      <x:c r="Q49" s="83" t="str">
        <x:v>Pipeline / connection request</x:v>
      </x:c>
      <x:c r="R49" s="83" t="str">
        <x:v>Direct</x:v>
      </x:c>
      <x:c r="S49" s="83" t="str">
        <x:v>A — Direct</x:v>
      </x:c>
      <x:c r="T49" s="83" t="str">
        <x:v>Exclude from installed base; use maturity filter for sensitivities.</x:v>
      </x:c>
      <x:c r="U49" s="83" t="str">
        <x:v>Connection-process status, not COD certainty.</x:v>
      </x:c>
    </x:row>
    <x:row r="50">
      <x:c r="A50" s="83" t="str">
        <x:v>HY-046</x:v>
      </x:c>
      <x:c r="B50" s="83" t="str"/>
      <x:c r="C50" s="83" t="n">
        <x:v>2024</x:v>
      </x:c>
      <x:c r="D50" s="83" t="str">
        <x:v>Connection requests at 31 Dec 2024</x:v>
      </x:c>
      <x:c r="E50" s="83" t="str">
        <x:v>Italia</x:v>
      </x:c>
      <x:c r="F50" s="83" t="str"/>
      <x:c r="G50" s="83" t="str">
        <x:v>Pumping mixed</x:v>
      </x:c>
      <x:c r="H50" s="83" t="str">
        <x:v>Connection request power — STMD/Contratto</x:v>
      </x:c>
      <x:c r="I50" s="197" t="n">
        <x:v>0</x:v>
      </x:c>
      <x:c r="J50" s="83" t="str">
        <x:v>GW</x:v>
      </x:c>
      <x:c r="K50" s="83" t="str">
        <x:v>Connection pipeline</x:v>
      </x:c>
      <x:c r="L50" s="83" t="str">
        <x:v>S04</x:v>
      </x:c>
      <x:c r="M50" s="83" t="str">
        <x:v>Programmazione territoriale efficiente e interventi di connessione</x:v>
      </x:c>
      <x:c r="N50" s="83" t="n">
        <x:v>30</x:v>
      </x:c>
      <x:c r="O50" s="83" t="n">
        <x:v>28</x:v>
      </x:c>
      <x:c r="P50" s="83" t="str">
        <x:v>Table 7</x:v>
      </x:c>
      <x:c r="Q50" s="83" t="str">
        <x:v>Pipeline / connection request</x:v>
      </x:c>
      <x:c r="R50" s="83" t="str">
        <x:v>Direct</x:v>
      </x:c>
      <x:c r="S50" s="83" t="str">
        <x:v>A — Direct</x:v>
      </x:c>
      <x:c r="T50" s="83" t="str">
        <x:v>Exclude from installed base; use maturity filter for sensitivities.</x:v>
      </x:c>
      <x:c r="U50" s="83" t="str">
        <x:v>Connection-process status, not COD certainty.</x:v>
      </x:c>
    </x:row>
    <x:row r="51">
      <x:c r="A51" s="83" t="str">
        <x:v>HY-047</x:v>
      </x:c>
      <x:c r="B51" s="83" t="str"/>
      <x:c r="C51" s="83" t="n">
        <x:v>2024</x:v>
      </x:c>
      <x:c r="D51" s="83" t="str">
        <x:v>Connection requests at 31 Dec 2024</x:v>
      </x:c>
      <x:c r="E51" s="83" t="str">
        <x:v>Italia</x:v>
      </x:c>
      <x:c r="F51" s="83" t="str">
        <x:v>Nord</x:v>
      </x:c>
      <x:c r="G51" s="83" t="str">
        <x:v>Pumping mixed</x:v>
      </x:c>
      <x:c r="H51" s="83" t="str">
        <x:v>Connection request power by market zone</x:v>
      </x:c>
      <x:c r="I51" s="197" t="n">
        <x:v>0</x:v>
      </x:c>
      <x:c r="J51" s="83" t="str">
        <x:v>GW</x:v>
      </x:c>
      <x:c r="K51" s="83" t="str">
        <x:v>Connection pipeline</x:v>
      </x:c>
      <x:c r="L51" s="83" t="str">
        <x:v>S04</x:v>
      </x:c>
      <x:c r="M51" s="83" t="str">
        <x:v>Programmazione territoriale efficiente e interventi di connessione</x:v>
      </x:c>
      <x:c r="N51" s="83" t="n">
        <x:v>30</x:v>
      </x:c>
      <x:c r="O51" s="83" t="n">
        <x:v>28</x:v>
      </x:c>
      <x:c r="P51" s="83" t="str">
        <x:v>Table 8</x:v>
      </x:c>
      <x:c r="Q51" s="83" t="str">
        <x:v>Pipeline / connection request</x:v>
      </x:c>
      <x:c r="R51" s="83" t="str">
        <x:v>Direct</x:v>
      </x:c>
      <x:c r="S51" s="83" t="str">
        <x:v>A — Direct</x:v>
      </x:c>
      <x:c r="T51" s="83" t="str">
        <x:v>Siting/maturity context only.</x:v>
      </x:c>
      <x:c r="U51" s="83" t="str">
        <x:v>Pure and mixed pumping categories as defined by source.</x:v>
      </x:c>
    </x:row>
    <x:row r="52">
      <x:c r="A52" s="83" t="str">
        <x:v>HY-048</x:v>
      </x:c>
      <x:c r="B52" s="83" t="str"/>
      <x:c r="C52" s="83" t="n">
        <x:v>2024</x:v>
      </x:c>
      <x:c r="D52" s="83" t="str">
        <x:v>Connection requests at 31 Dec 2024</x:v>
      </x:c>
      <x:c r="E52" s="83" t="str">
        <x:v>Italia</x:v>
      </x:c>
      <x:c r="F52" s="83" t="str">
        <x:v>Nord</x:v>
      </x:c>
      <x:c r="G52" s="83" t="str">
        <x:v>Pumping pure</x:v>
      </x:c>
      <x:c r="H52" s="83" t="str">
        <x:v>Connection request power by market zone</x:v>
      </x:c>
      <x:c r="I52" s="197" t="n">
        <x:v>1.1</x:v>
      </x:c>
      <x:c r="J52" s="83" t="str">
        <x:v>GW</x:v>
      </x:c>
      <x:c r="K52" s="83" t="str">
        <x:v>Connection pipeline</x:v>
      </x:c>
      <x:c r="L52" s="83" t="str">
        <x:v>S04</x:v>
      </x:c>
      <x:c r="M52" s="83" t="str">
        <x:v>Programmazione territoriale efficiente e interventi di connessione</x:v>
      </x:c>
      <x:c r="N52" s="83" t="n">
        <x:v>30</x:v>
      </x:c>
      <x:c r="O52" s="83" t="n">
        <x:v>28</x:v>
      </x:c>
      <x:c r="P52" s="83" t="str">
        <x:v>Table 8</x:v>
      </x:c>
      <x:c r="Q52" s="83" t="str">
        <x:v>Pipeline / connection request</x:v>
      </x:c>
      <x:c r="R52" s="83" t="str">
        <x:v>Direct</x:v>
      </x:c>
      <x:c r="S52" s="83" t="str">
        <x:v>A — Direct</x:v>
      </x:c>
      <x:c r="T52" s="83" t="str">
        <x:v>Siting/maturity context only.</x:v>
      </x:c>
      <x:c r="U52" s="83" t="str">
        <x:v>Pure and mixed pumping categories as defined by source.</x:v>
      </x:c>
    </x:row>
    <x:row r="53">
      <x:c r="A53" s="83" t="str">
        <x:v>HY-049</x:v>
      </x:c>
      <x:c r="B53" s="83" t="str"/>
      <x:c r="C53" s="83" t="n">
        <x:v>2024</x:v>
      </x:c>
      <x:c r="D53" s="83" t="str">
        <x:v>Connection requests at 31 Dec 2024</x:v>
      </x:c>
      <x:c r="E53" s="83" t="str">
        <x:v>Italia</x:v>
      </x:c>
      <x:c r="F53" s="83" t="str">
        <x:v>Centro Nord</x:v>
      </x:c>
      <x:c r="G53" s="83" t="str">
        <x:v>Pumping mixed</x:v>
      </x:c>
      <x:c r="H53" s="83" t="str">
        <x:v>Connection request power by market zone</x:v>
      </x:c>
      <x:c r="I53" s="197" t="n">
        <x:v>0.04</x:v>
      </x:c>
      <x:c r="J53" s="83" t="str">
        <x:v>GW</x:v>
      </x:c>
      <x:c r="K53" s="83" t="str">
        <x:v>Connection pipeline</x:v>
      </x:c>
      <x:c r="L53" s="83" t="str">
        <x:v>S04</x:v>
      </x:c>
      <x:c r="M53" s="83" t="str">
        <x:v>Programmazione territoriale efficiente e interventi di connessione</x:v>
      </x:c>
      <x:c r="N53" s="83" t="n">
        <x:v>30</x:v>
      </x:c>
      <x:c r="O53" s="83" t="n">
        <x:v>28</x:v>
      </x:c>
      <x:c r="P53" s="83" t="str">
        <x:v>Table 8</x:v>
      </x:c>
      <x:c r="Q53" s="83" t="str">
        <x:v>Pipeline / connection request</x:v>
      </x:c>
      <x:c r="R53" s="83" t="str">
        <x:v>Direct</x:v>
      </x:c>
      <x:c r="S53" s="83" t="str">
        <x:v>A — Direct</x:v>
      </x:c>
      <x:c r="T53" s="83" t="str">
        <x:v>Siting/maturity context only.</x:v>
      </x:c>
      <x:c r="U53" s="83" t="str">
        <x:v>Pure and mixed pumping categories as defined by source.</x:v>
      </x:c>
    </x:row>
    <x:row r="54">
      <x:c r="A54" s="83" t="str">
        <x:v>HY-050</x:v>
      </x:c>
      <x:c r="B54" s="83" t="str"/>
      <x:c r="C54" s="83" t="n">
        <x:v>2024</x:v>
      </x:c>
      <x:c r="D54" s="83" t="str">
        <x:v>Connection requests at 31 Dec 2024</x:v>
      </x:c>
      <x:c r="E54" s="83" t="str">
        <x:v>Italia</x:v>
      </x:c>
      <x:c r="F54" s="83" t="str">
        <x:v>Centro Nord</x:v>
      </x:c>
      <x:c r="G54" s="83" t="str">
        <x:v>Pumping pure</x:v>
      </x:c>
      <x:c r="H54" s="83" t="str">
        <x:v>Connection request power by market zone</x:v>
      </x:c>
      <x:c r="I54" s="197" t="n">
        <x:v>0</x:v>
      </x:c>
      <x:c r="J54" s="83" t="str">
        <x:v>GW</x:v>
      </x:c>
      <x:c r="K54" s="83" t="str">
        <x:v>Connection pipeline</x:v>
      </x:c>
      <x:c r="L54" s="83" t="str">
        <x:v>S04</x:v>
      </x:c>
      <x:c r="M54" s="83" t="str">
        <x:v>Programmazione territoriale efficiente e interventi di connessione</x:v>
      </x:c>
      <x:c r="N54" s="83" t="n">
        <x:v>30</x:v>
      </x:c>
      <x:c r="O54" s="83" t="n">
        <x:v>28</x:v>
      </x:c>
      <x:c r="P54" s="83" t="str">
        <x:v>Table 8</x:v>
      </x:c>
      <x:c r="Q54" s="83" t="str">
        <x:v>Pipeline / connection request</x:v>
      </x:c>
      <x:c r="R54" s="83" t="str">
        <x:v>Direct</x:v>
      </x:c>
      <x:c r="S54" s="83" t="str">
        <x:v>A — Direct</x:v>
      </x:c>
      <x:c r="T54" s="83" t="str">
        <x:v>Siting/maturity context only.</x:v>
      </x:c>
      <x:c r="U54" s="83" t="str">
        <x:v>Pure and mixed pumping categories as defined by source.</x:v>
      </x:c>
    </x:row>
    <x:row r="55">
      <x:c r="A55" s="83" t="str">
        <x:v>HY-051</x:v>
      </x:c>
      <x:c r="B55" s="83" t="str"/>
      <x:c r="C55" s="83" t="n">
        <x:v>2024</x:v>
      </x:c>
      <x:c r="D55" s="83" t="str">
        <x:v>Connection requests at 31 Dec 2024</x:v>
      </x:c>
      <x:c r="E55" s="83" t="str">
        <x:v>Italia</x:v>
      </x:c>
      <x:c r="F55" s="83" t="str">
        <x:v>Centro Sud</x:v>
      </x:c>
      <x:c r="G55" s="83" t="str">
        <x:v>Pumping mixed</x:v>
      </x:c>
      <x:c r="H55" s="83" t="str">
        <x:v>Connection request power by market zone</x:v>
      </x:c>
      <x:c r="I55" s="197" t="n">
        <x:v>1.27</x:v>
      </x:c>
      <x:c r="J55" s="83" t="str">
        <x:v>GW</x:v>
      </x:c>
      <x:c r="K55" s="83" t="str">
        <x:v>Connection pipeline</x:v>
      </x:c>
      <x:c r="L55" s="83" t="str">
        <x:v>S04</x:v>
      </x:c>
      <x:c r="M55" s="83" t="str">
        <x:v>Programmazione territoriale efficiente e interventi di connessione</x:v>
      </x:c>
      <x:c r="N55" s="83" t="n">
        <x:v>30</x:v>
      </x:c>
      <x:c r="O55" s="83" t="n">
        <x:v>28</x:v>
      </x:c>
      <x:c r="P55" s="83" t="str">
        <x:v>Table 8</x:v>
      </x:c>
      <x:c r="Q55" s="83" t="str">
        <x:v>Pipeline / connection request</x:v>
      </x:c>
      <x:c r="R55" s="83" t="str">
        <x:v>Direct</x:v>
      </x:c>
      <x:c r="S55" s="83" t="str">
        <x:v>A — Direct</x:v>
      </x:c>
      <x:c r="T55" s="83" t="str">
        <x:v>Siting/maturity context only.</x:v>
      </x:c>
      <x:c r="U55" s="83" t="str">
        <x:v>Pure and mixed pumping categories as defined by source.</x:v>
      </x:c>
    </x:row>
    <x:row r="56">
      <x:c r="A56" s="83" t="str">
        <x:v>HY-052</x:v>
      </x:c>
      <x:c r="B56" s="83" t="str"/>
      <x:c r="C56" s="83" t="n">
        <x:v>2024</x:v>
      </x:c>
      <x:c r="D56" s="83" t="str">
        <x:v>Connection requests at 31 Dec 2024</x:v>
      </x:c>
      <x:c r="E56" s="83" t="str">
        <x:v>Italia</x:v>
      </x:c>
      <x:c r="F56" s="83" t="str">
        <x:v>Centro Sud</x:v>
      </x:c>
      <x:c r="G56" s="83" t="str">
        <x:v>Pumping pure</x:v>
      </x:c>
      <x:c r="H56" s="83" t="str">
        <x:v>Connection request power by market zone</x:v>
      </x:c>
      <x:c r="I56" s="197" t="n">
        <x:v>0</x:v>
      </x:c>
      <x:c r="J56" s="83" t="str">
        <x:v>GW</x:v>
      </x:c>
      <x:c r="K56" s="83" t="str">
        <x:v>Connection pipeline</x:v>
      </x:c>
      <x:c r="L56" s="83" t="str">
        <x:v>S04</x:v>
      </x:c>
      <x:c r="M56" s="83" t="str">
        <x:v>Programmazione territoriale efficiente e interventi di connessione</x:v>
      </x:c>
      <x:c r="N56" s="83" t="n">
        <x:v>30</x:v>
      </x:c>
      <x:c r="O56" s="83" t="n">
        <x:v>28</x:v>
      </x:c>
      <x:c r="P56" s="83" t="str">
        <x:v>Table 8</x:v>
      </x:c>
      <x:c r="Q56" s="83" t="str">
        <x:v>Pipeline / connection request</x:v>
      </x:c>
      <x:c r="R56" s="83" t="str">
        <x:v>Direct</x:v>
      </x:c>
      <x:c r="S56" s="83" t="str">
        <x:v>A — Direct</x:v>
      </x:c>
      <x:c r="T56" s="83" t="str">
        <x:v>Siting/maturity context only.</x:v>
      </x:c>
      <x:c r="U56" s="83" t="str">
        <x:v>Pure and mixed pumping categories as defined by source.</x:v>
      </x:c>
    </x:row>
    <x:row r="57">
      <x:c r="A57" s="83" t="str">
        <x:v>HY-053</x:v>
      </x:c>
      <x:c r="B57" s="83" t="str"/>
      <x:c r="C57" s="83" t="n">
        <x:v>2024</x:v>
      </x:c>
      <x:c r="D57" s="83" t="str">
        <x:v>Connection requests at 31 Dec 2024</x:v>
      </x:c>
      <x:c r="E57" s="83" t="str">
        <x:v>Italia</x:v>
      </x:c>
      <x:c r="F57" s="83" t="str">
        <x:v>Sud</x:v>
      </x:c>
      <x:c r="G57" s="83" t="str">
        <x:v>Pumping mixed</x:v>
      </x:c>
      <x:c r="H57" s="83" t="str">
        <x:v>Connection request power by market zone</x:v>
      </x:c>
      <x:c r="I57" s="197" t="n">
        <x:v>0.16</x:v>
      </x:c>
      <x:c r="J57" s="83" t="str">
        <x:v>GW</x:v>
      </x:c>
      <x:c r="K57" s="83" t="str">
        <x:v>Connection pipeline</x:v>
      </x:c>
      <x:c r="L57" s="83" t="str">
        <x:v>S04</x:v>
      </x:c>
      <x:c r="M57" s="83" t="str">
        <x:v>Programmazione territoriale efficiente e interventi di connessione</x:v>
      </x:c>
      <x:c r="N57" s="83" t="n">
        <x:v>30</x:v>
      </x:c>
      <x:c r="O57" s="83" t="n">
        <x:v>28</x:v>
      </x:c>
      <x:c r="P57" s="83" t="str">
        <x:v>Table 8</x:v>
      </x:c>
      <x:c r="Q57" s="83" t="str">
        <x:v>Pipeline / connection request</x:v>
      </x:c>
      <x:c r="R57" s="83" t="str">
        <x:v>Direct</x:v>
      </x:c>
      <x:c r="S57" s="83" t="str">
        <x:v>A — Direct</x:v>
      </x:c>
      <x:c r="T57" s="83" t="str">
        <x:v>Siting/maturity context only.</x:v>
      </x:c>
      <x:c r="U57" s="83" t="str">
        <x:v>Pure and mixed pumping categories as defined by source.</x:v>
      </x:c>
    </x:row>
    <x:row r="58">
      <x:c r="A58" s="83" t="str">
        <x:v>HY-054</x:v>
      </x:c>
      <x:c r="B58" s="83" t="str"/>
      <x:c r="C58" s="83" t="n">
        <x:v>2024</x:v>
      </x:c>
      <x:c r="D58" s="83" t="str">
        <x:v>Connection requests at 31 Dec 2024</x:v>
      </x:c>
      <x:c r="E58" s="83" t="str">
        <x:v>Italia</x:v>
      </x:c>
      <x:c r="F58" s="83" t="str">
        <x:v>Sud</x:v>
      </x:c>
      <x:c r="G58" s="83" t="str">
        <x:v>Pumping pure</x:v>
      </x:c>
      <x:c r="H58" s="83" t="str">
        <x:v>Connection request power by market zone</x:v>
      </x:c>
      <x:c r="I58" s="197" t="n">
        <x:v>2.35</x:v>
      </x:c>
      <x:c r="J58" s="83" t="str">
        <x:v>GW</x:v>
      </x:c>
      <x:c r="K58" s="83" t="str">
        <x:v>Connection pipeline</x:v>
      </x:c>
      <x:c r="L58" s="83" t="str">
        <x:v>S04</x:v>
      </x:c>
      <x:c r="M58" s="83" t="str">
        <x:v>Programmazione territoriale efficiente e interventi di connessione</x:v>
      </x:c>
      <x:c r="N58" s="83" t="n">
        <x:v>30</x:v>
      </x:c>
      <x:c r="O58" s="83" t="n">
        <x:v>28</x:v>
      </x:c>
      <x:c r="P58" s="83" t="str">
        <x:v>Table 8</x:v>
      </x:c>
      <x:c r="Q58" s="83" t="str">
        <x:v>Pipeline / connection request</x:v>
      </x:c>
      <x:c r="R58" s="83" t="str">
        <x:v>Direct</x:v>
      </x:c>
      <x:c r="S58" s="83" t="str">
        <x:v>A — Direct</x:v>
      </x:c>
      <x:c r="T58" s="83" t="str">
        <x:v>Siting/maturity context only.</x:v>
      </x:c>
      <x:c r="U58" s="83" t="str">
        <x:v>Pure and mixed pumping categories as defined by source.</x:v>
      </x:c>
    </x:row>
    <x:row r="59">
      <x:c r="A59" s="83" t="str">
        <x:v>HY-055</x:v>
      </x:c>
      <x:c r="B59" s="83" t="str"/>
      <x:c r="C59" s="83" t="n">
        <x:v>2024</x:v>
      </x:c>
      <x:c r="D59" s="83" t="str">
        <x:v>Connection requests at 31 Dec 2024</x:v>
      </x:c>
      <x:c r="E59" s="83" t="str">
        <x:v>Italia</x:v>
      </x:c>
      <x:c r="F59" s="83" t="str">
        <x:v>Calabria</x:v>
      </x:c>
      <x:c r="G59" s="83" t="str">
        <x:v>Pumping mixed</x:v>
      </x:c>
      <x:c r="H59" s="83" t="str">
        <x:v>Connection request power by market zone</x:v>
      </x:c>
      <x:c r="I59" s="197" t="n">
        <x:v>0.15</x:v>
      </x:c>
      <x:c r="J59" s="83" t="str">
        <x:v>GW</x:v>
      </x:c>
      <x:c r="K59" s="83" t="str">
        <x:v>Connection pipeline</x:v>
      </x:c>
      <x:c r="L59" s="83" t="str">
        <x:v>S04</x:v>
      </x:c>
      <x:c r="M59" s="83" t="str">
        <x:v>Programmazione territoriale efficiente e interventi di connessione</x:v>
      </x:c>
      <x:c r="N59" s="83" t="n">
        <x:v>30</x:v>
      </x:c>
      <x:c r="O59" s="83" t="n">
        <x:v>28</x:v>
      </x:c>
      <x:c r="P59" s="83" t="str">
        <x:v>Table 8</x:v>
      </x:c>
      <x:c r="Q59" s="83" t="str">
        <x:v>Pipeline / connection request</x:v>
      </x:c>
      <x:c r="R59" s="83" t="str">
        <x:v>Direct</x:v>
      </x:c>
      <x:c r="S59" s="83" t="str">
        <x:v>A — Direct</x:v>
      </x:c>
      <x:c r="T59" s="83" t="str">
        <x:v>Siting/maturity context only.</x:v>
      </x:c>
      <x:c r="U59" s="83" t="str">
        <x:v>Pure and mixed pumping categories as defined by source.</x:v>
      </x:c>
    </x:row>
    <x:row r="60">
      <x:c r="A60" s="83" t="str">
        <x:v>HY-056</x:v>
      </x:c>
      <x:c r="B60" s="83" t="str"/>
      <x:c r="C60" s="83" t="n">
        <x:v>2024</x:v>
      </x:c>
      <x:c r="D60" s="83" t="str">
        <x:v>Connection requests at 31 Dec 2024</x:v>
      </x:c>
      <x:c r="E60" s="83" t="str">
        <x:v>Italia</x:v>
      </x:c>
      <x:c r="F60" s="83" t="str">
        <x:v>Calabria</x:v>
      </x:c>
      <x:c r="G60" s="83" t="str">
        <x:v>Pumping pure</x:v>
      </x:c>
      <x:c r="H60" s="83" t="str">
        <x:v>Connection request power by market zone</x:v>
      </x:c>
      <x:c r="I60" s="197" t="n">
        <x:v>0.56</x:v>
      </x:c>
      <x:c r="J60" s="83" t="str">
        <x:v>GW</x:v>
      </x:c>
      <x:c r="K60" s="83" t="str">
        <x:v>Connection pipeline</x:v>
      </x:c>
      <x:c r="L60" s="83" t="str">
        <x:v>S04</x:v>
      </x:c>
      <x:c r="M60" s="83" t="str">
        <x:v>Programmazione territoriale efficiente e interventi di connessione</x:v>
      </x:c>
      <x:c r="N60" s="83" t="n">
        <x:v>30</x:v>
      </x:c>
      <x:c r="O60" s="83" t="n">
        <x:v>28</x:v>
      </x:c>
      <x:c r="P60" s="83" t="str">
        <x:v>Table 8</x:v>
      </x:c>
      <x:c r="Q60" s="83" t="str">
        <x:v>Pipeline / connection request</x:v>
      </x:c>
      <x:c r="R60" s="83" t="str">
        <x:v>Direct</x:v>
      </x:c>
      <x:c r="S60" s="83" t="str">
        <x:v>A — Direct</x:v>
      </x:c>
      <x:c r="T60" s="83" t="str">
        <x:v>Siting/maturity context only.</x:v>
      </x:c>
      <x:c r="U60" s="83" t="str">
        <x:v>Pure and mixed pumping categories as defined by source.</x:v>
      </x:c>
    </x:row>
    <x:row r="61">
      <x:c r="A61" s="83" t="str">
        <x:v>HY-057</x:v>
      </x:c>
      <x:c r="B61" s="83" t="str"/>
      <x:c r="C61" s="83" t="n">
        <x:v>2024</x:v>
      </x:c>
      <x:c r="D61" s="83" t="str">
        <x:v>Connection requests at 31 Dec 2024</x:v>
      </x:c>
      <x:c r="E61" s="83" t="str">
        <x:v>Italia</x:v>
      </x:c>
      <x:c r="F61" s="83" t="str">
        <x:v>Sicilia</x:v>
      </x:c>
      <x:c r="G61" s="83" t="str">
        <x:v>Pumping mixed</x:v>
      </x:c>
      <x:c r="H61" s="83" t="str">
        <x:v>Connection request power by market zone</x:v>
      </x:c>
      <x:c r="I61" s="197" t="n">
        <x:v>0.33</x:v>
      </x:c>
      <x:c r="J61" s="83" t="str">
        <x:v>GW</x:v>
      </x:c>
      <x:c r="K61" s="83" t="str">
        <x:v>Connection pipeline</x:v>
      </x:c>
      <x:c r="L61" s="83" t="str">
        <x:v>S04</x:v>
      </x:c>
      <x:c r="M61" s="83" t="str">
        <x:v>Programmazione territoriale efficiente e interventi di connessione</x:v>
      </x:c>
      <x:c r="N61" s="83" t="n">
        <x:v>30</x:v>
      </x:c>
      <x:c r="O61" s="83" t="n">
        <x:v>28</x:v>
      </x:c>
      <x:c r="P61" s="83" t="str">
        <x:v>Table 8</x:v>
      </x:c>
      <x:c r="Q61" s="83" t="str">
        <x:v>Pipeline / connection request</x:v>
      </x:c>
      <x:c r="R61" s="83" t="str">
        <x:v>Direct</x:v>
      </x:c>
      <x:c r="S61" s="83" t="str">
        <x:v>A — Direct</x:v>
      </x:c>
      <x:c r="T61" s="83" t="str">
        <x:v>Siting/maturity context only.</x:v>
      </x:c>
      <x:c r="U61" s="83" t="str">
        <x:v>Pure and mixed pumping categories as defined by source.</x:v>
      </x:c>
    </x:row>
    <x:row r="62">
      <x:c r="A62" s="83" t="str">
        <x:v>HY-058</x:v>
      </x:c>
      <x:c r="B62" s="83" t="str"/>
      <x:c r="C62" s="83" t="n">
        <x:v>2024</x:v>
      </x:c>
      <x:c r="D62" s="83" t="str">
        <x:v>Connection requests at 31 Dec 2024</x:v>
      </x:c>
      <x:c r="E62" s="83" t="str">
        <x:v>Italia</x:v>
      </x:c>
      <x:c r="F62" s="83" t="str">
        <x:v>Sicilia</x:v>
      </x:c>
      <x:c r="G62" s="83" t="str">
        <x:v>Pumping pure</x:v>
      </x:c>
      <x:c r="H62" s="83" t="str">
        <x:v>Connection request power by market zone</x:v>
      </x:c>
      <x:c r="I62" s="197" t="n">
        <x:v>1.87</x:v>
      </x:c>
      <x:c r="J62" s="83" t="str">
        <x:v>GW</x:v>
      </x:c>
      <x:c r="K62" s="83" t="str">
        <x:v>Connection pipeline</x:v>
      </x:c>
      <x:c r="L62" s="83" t="str">
        <x:v>S04</x:v>
      </x:c>
      <x:c r="M62" s="83" t="str">
        <x:v>Programmazione territoriale efficiente e interventi di connessione</x:v>
      </x:c>
      <x:c r="N62" s="83" t="n">
        <x:v>30</x:v>
      </x:c>
      <x:c r="O62" s="83" t="n">
        <x:v>28</x:v>
      </x:c>
      <x:c r="P62" s="83" t="str">
        <x:v>Table 8</x:v>
      </x:c>
      <x:c r="Q62" s="83" t="str">
        <x:v>Pipeline / connection request</x:v>
      </x:c>
      <x:c r="R62" s="83" t="str">
        <x:v>Direct</x:v>
      </x:c>
      <x:c r="S62" s="83" t="str">
        <x:v>A — Direct</x:v>
      </x:c>
      <x:c r="T62" s="83" t="str">
        <x:v>Siting/maturity context only.</x:v>
      </x:c>
      <x:c r="U62" s="83" t="str">
        <x:v>Pure and mixed pumping categories as defined by source.</x:v>
      </x:c>
    </x:row>
    <x:row r="63">
      <x:c r="A63" s="83" t="str">
        <x:v>HY-059</x:v>
      </x:c>
      <x:c r="B63" s="83" t="str"/>
      <x:c r="C63" s="83" t="n">
        <x:v>2024</x:v>
      </x:c>
      <x:c r="D63" s="83" t="str">
        <x:v>Connection requests at 31 Dec 2024</x:v>
      </x:c>
      <x:c r="E63" s="83" t="str">
        <x:v>Italia</x:v>
      </x:c>
      <x:c r="F63" s="83" t="str">
        <x:v>Sardegna</x:v>
      </x:c>
      <x:c r="G63" s="83" t="str">
        <x:v>Pumping mixed</x:v>
      </x:c>
      <x:c r="H63" s="83" t="str">
        <x:v>Connection request power by market zone</x:v>
      </x:c>
      <x:c r="I63" s="197" t="n">
        <x:v>0</x:v>
      </x:c>
      <x:c r="J63" s="83" t="str">
        <x:v>GW</x:v>
      </x:c>
      <x:c r="K63" s="83" t="str">
        <x:v>Connection pipeline</x:v>
      </x:c>
      <x:c r="L63" s="83" t="str">
        <x:v>S04</x:v>
      </x:c>
      <x:c r="M63" s="83" t="str">
        <x:v>Programmazione territoriale efficiente e interventi di connessione</x:v>
      </x:c>
      <x:c r="N63" s="83" t="n">
        <x:v>30</x:v>
      </x:c>
      <x:c r="O63" s="83" t="n">
        <x:v>28</x:v>
      </x:c>
      <x:c r="P63" s="83" t="str">
        <x:v>Table 8</x:v>
      </x:c>
      <x:c r="Q63" s="83" t="str">
        <x:v>Pipeline / connection request</x:v>
      </x:c>
      <x:c r="R63" s="83" t="str">
        <x:v>Direct</x:v>
      </x:c>
      <x:c r="S63" s="83" t="str">
        <x:v>A — Direct</x:v>
      </x:c>
      <x:c r="T63" s="83" t="str">
        <x:v>Siting/maturity context only.</x:v>
      </x:c>
      <x:c r="U63" s="83" t="str">
        <x:v>Pure and mixed pumping categories as defined by source.</x:v>
      </x:c>
    </x:row>
    <x:row r="64">
      <x:c r="A64" s="83" t="str">
        <x:v>HY-060</x:v>
      </x:c>
      <x:c r="B64" s="83" t="str"/>
      <x:c r="C64" s="83" t="n">
        <x:v>2024</x:v>
      </x:c>
      <x:c r="D64" s="83" t="str">
        <x:v>Connection requests at 31 Dec 2024</x:v>
      </x:c>
      <x:c r="E64" s="83" t="str">
        <x:v>Italia</x:v>
      </x:c>
      <x:c r="F64" s="83" t="str">
        <x:v>Sardegna</x:v>
      </x:c>
      <x:c r="G64" s="83" t="str">
        <x:v>Pumping pure</x:v>
      </x:c>
      <x:c r="H64" s="83" t="str">
        <x:v>Connection request power by market zone</x:v>
      </x:c>
      <x:c r="I64" s="197" t="n">
        <x:v>1.3</x:v>
      </x:c>
      <x:c r="J64" s="83" t="str">
        <x:v>GW</x:v>
      </x:c>
      <x:c r="K64" s="83" t="str">
        <x:v>Connection pipeline</x:v>
      </x:c>
      <x:c r="L64" s="83" t="str">
        <x:v>S04</x:v>
      </x:c>
      <x:c r="M64" s="83" t="str">
        <x:v>Programmazione territoriale efficiente e interventi di connessione</x:v>
      </x:c>
      <x:c r="N64" s="83" t="n">
        <x:v>30</x:v>
      </x:c>
      <x:c r="O64" s="83" t="n">
        <x:v>28</x:v>
      </x:c>
      <x:c r="P64" s="83" t="str">
        <x:v>Table 8</x:v>
      </x:c>
      <x:c r="Q64" s="83" t="str">
        <x:v>Pipeline / connection request</x:v>
      </x:c>
      <x:c r="R64" s="83" t="str">
        <x:v>Direct</x:v>
      </x:c>
      <x:c r="S64" s="83" t="str">
        <x:v>A — Direct</x:v>
      </x:c>
      <x:c r="T64" s="83" t="str">
        <x:v>Siting/maturity context only.</x:v>
      </x:c>
      <x:c r="U64" s="83" t="str">
        <x:v>Pure and mixed pumping categories as defined by source.</x:v>
      </x:c>
    </x:row>
    <x:row r="65">
      <x:c r="A65" s="83" t="str">
        <x:v>HY-061</x:v>
      </x:c>
      <x:c r="B65" s="83" t="str"/>
      <x:c r="C65" s="83" t="n">
        <x:v>2040</x:v>
      </x:c>
      <x:c r="D65" s="83" t="str">
        <x:v>2040/2050 input gap</x:v>
      </x:c>
      <x:c r="E65" s="83" t="str">
        <x:v>Italia</x:v>
      </x:c>
      <x:c r="F65" s="83" t="str"/>
      <x:c r="G65" s="83" t="str">
        <x:v>Hydro parameter gap</x:v>
      </x:c>
      <x:c r="H65" s="83" t="str">
        <x:v>Run-of-river installed power by zone</x:v>
      </x:c>
      <x:c r="I65" s="197"/>
      <x:c r="J65" s="83" t="str">
        <x:v>GW</x:v>
      </x:c>
      <x:c r="K65" s="83" t="str">
        <x:v>Gap</x:v>
      </x:c>
      <x:c r="L65" s="83" t="str">
        <x:v>Corpus review</x:v>
      </x:c>
      <x:c r="M65" s="83" t="str">
        <x:v>Terna–PNIEC corpus</x:v>
      </x:c>
      <x:c r="N65" s="83"/>
      <x:c r="O65" s="83" t="str"/>
      <x:c r="P65" s="83" t="str">
        <x:v>Not available</x:v>
      </x:c>
      <x:c r="Q65" s="83" t="str">
        <x:v>Explicit gap</x:v>
      </x:c>
      <x:c r="R65" s="83" t="str">
        <x:v>Corpus completeness review</x:v>
      </x:c>
      <x:c r="S65" s="83" t="str">
        <x:v>E — Missing / external source required</x:v>
      </x:c>
      <x:c r="T65" s="83" t="str">
        <x:v>Generator p_nom and p_max_pu profile</x:v>
      </x:c>
      <x:c r="U65" s="83" t="str">
        <x:v>Resolve from PyPSA-Eur hydro data, ENTSO-E/JRC/Gaudì or plant-level official data in Phase 4.</x:v>
      </x:c>
    </x:row>
    <x:row r="66">
      <x:c r="A66" s="83" t="str">
        <x:v>HY-062</x:v>
      </x:c>
      <x:c r="B66" s="83" t="str"/>
      <x:c r="C66" s="83" t="n">
        <x:v>2040</x:v>
      </x:c>
      <x:c r="D66" s="83" t="str">
        <x:v>2040/2050 input gap</x:v>
      </x:c>
      <x:c r="E66" s="83" t="str">
        <x:v>Italia</x:v>
      </x:c>
      <x:c r="F66" s="83" t="str"/>
      <x:c r="G66" s="83" t="str">
        <x:v>Hydro parameter gap</x:v>
      </x:c>
      <x:c r="H66" s="83" t="str">
        <x:v>Reservoir turbine power by zone</x:v>
      </x:c>
      <x:c r="I66" s="197"/>
      <x:c r="J66" s="83" t="str">
        <x:v>GW</x:v>
      </x:c>
      <x:c r="K66" s="83" t="str">
        <x:v>Gap</x:v>
      </x:c>
      <x:c r="L66" s="83" t="str">
        <x:v>Corpus review</x:v>
      </x:c>
      <x:c r="M66" s="83" t="str">
        <x:v>Terna–PNIEC corpus</x:v>
      </x:c>
      <x:c r="N66" s="83"/>
      <x:c r="O66" s="83" t="str"/>
      <x:c r="P66" s="83" t="str">
        <x:v>Not available</x:v>
      </x:c>
      <x:c r="Q66" s="83" t="str">
        <x:v>Explicit gap</x:v>
      </x:c>
      <x:c r="R66" s="83" t="str">
        <x:v>Corpus completeness review</x:v>
      </x:c>
      <x:c r="S66" s="83" t="str">
        <x:v>E — Missing / external source required</x:v>
      </x:c>
      <x:c r="T66" s="83" t="str">
        <x:v>StorageUnit/Link p_nom</x:v>
      </x:c>
      <x:c r="U66" s="83" t="str">
        <x:v>Resolve from PyPSA-Eur hydro data, ENTSO-E/JRC/Gaudì or plant-level official data in Phase 4.</x:v>
      </x:c>
    </x:row>
    <x:row r="67">
      <x:c r="A67" s="83" t="str">
        <x:v>HY-063</x:v>
      </x:c>
      <x:c r="B67" s="83" t="str"/>
      <x:c r="C67" s="83" t="n">
        <x:v>2040</x:v>
      </x:c>
      <x:c r="D67" s="83" t="str">
        <x:v>2040/2050 input gap</x:v>
      </x:c>
      <x:c r="E67" s="83" t="str">
        <x:v>Italia</x:v>
      </x:c>
      <x:c r="F67" s="83" t="str"/>
      <x:c r="G67" s="83" t="str">
        <x:v>Hydro parameter gap</x:v>
      </x:c>
      <x:c r="H67" s="83" t="str">
        <x:v>Reservoir useful energy by zone</x:v>
      </x:c>
      <x:c r="I67" s="197"/>
      <x:c r="J67" s="83" t="str">
        <x:v>GWh</x:v>
      </x:c>
      <x:c r="K67" s="83" t="str">
        <x:v>Gap</x:v>
      </x:c>
      <x:c r="L67" s="83" t="str">
        <x:v>Corpus review</x:v>
      </x:c>
      <x:c r="M67" s="83" t="str">
        <x:v>Terna–PNIEC corpus</x:v>
      </x:c>
      <x:c r="N67" s="83"/>
      <x:c r="O67" s="83" t="str"/>
      <x:c r="P67" s="83" t="str">
        <x:v>Not available</x:v>
      </x:c>
      <x:c r="Q67" s="83" t="str">
        <x:v>Explicit gap</x:v>
      </x:c>
      <x:c r="R67" s="83" t="str">
        <x:v>Corpus completeness review</x:v>
      </x:c>
      <x:c r="S67" s="83" t="str">
        <x:v>E — Missing / external source required</x:v>
      </x:c>
      <x:c r="T67" s="83" t="str">
        <x:v>Store e_nom or max_hours</x:v>
      </x:c>
      <x:c r="U67" s="83" t="str">
        <x:v>Resolve from PyPSA-Eur hydro data, ENTSO-E/JRC/Gaudì or plant-level official data in Phase 4.</x:v>
      </x:c>
    </x:row>
    <x:row r="68">
      <x:c r="A68" s="83" t="str">
        <x:v>HY-064</x:v>
      </x:c>
      <x:c r="B68" s="83" t="str"/>
      <x:c r="C68" s="83" t="n">
        <x:v>2040</x:v>
      </x:c>
      <x:c r="D68" s="83" t="str">
        <x:v>2040/2050 input gap</x:v>
      </x:c>
      <x:c r="E68" s="83" t="str">
        <x:v>Italia</x:v>
      </x:c>
      <x:c r="F68" s="83" t="str"/>
      <x:c r="G68" s="83" t="str">
        <x:v>Hydro parameter gap</x:v>
      </x:c>
      <x:c r="H68" s="83" t="str">
        <x:v>Reservoir inflow time series</x:v>
      </x:c>
      <x:c r="I68" s="197"/>
      <x:c r="J68" s="83" t="str">
        <x:v>MW/TWh</x:v>
      </x:c>
      <x:c r="K68" s="83" t="str">
        <x:v>Gap</x:v>
      </x:c>
      <x:c r="L68" s="83" t="str">
        <x:v>Corpus review</x:v>
      </x:c>
      <x:c r="M68" s="83" t="str">
        <x:v>Terna–PNIEC corpus</x:v>
      </x:c>
      <x:c r="N68" s="83"/>
      <x:c r="O68" s="83" t="str"/>
      <x:c r="P68" s="83" t="str">
        <x:v>Not available</x:v>
      </x:c>
      <x:c r="Q68" s="83" t="str">
        <x:v>Explicit gap</x:v>
      </x:c>
      <x:c r="R68" s="83" t="str">
        <x:v>Corpus completeness review</x:v>
      </x:c>
      <x:c r="S68" s="83" t="str">
        <x:v>E — Missing / external source required</x:v>
      </x:c>
      <x:c r="T68" s="83" t="str">
        <x:v>Hourly/monthly inflow</x:v>
      </x:c>
      <x:c r="U68" s="83" t="str">
        <x:v>Resolve from PyPSA-Eur hydro data, ENTSO-E/JRC/Gaudì or plant-level official data in Phase 4.</x:v>
      </x:c>
    </x:row>
    <x:row r="69">
      <x:c r="A69" s="83" t="str">
        <x:v>HY-065</x:v>
      </x:c>
      <x:c r="B69" s="83" t="str"/>
      <x:c r="C69" s="83" t="n">
        <x:v>2040</x:v>
      </x:c>
      <x:c r="D69" s="83" t="str">
        <x:v>2040/2050 input gap</x:v>
      </x:c>
      <x:c r="E69" s="83" t="str">
        <x:v>Italia</x:v>
      </x:c>
      <x:c r="F69" s="83" t="str"/>
      <x:c r="G69" s="83" t="str">
        <x:v>Hydro parameter gap</x:v>
      </x:c>
      <x:c r="H69" s="83" t="str">
        <x:v>Pumped hydro charge/discharge efficiency</x:v>
      </x:c>
      <x:c r="I69" s="197"/>
      <x:c r="J69" s="83" t="str">
        <x:v>p.u.</x:v>
      </x:c>
      <x:c r="K69" s="83" t="str">
        <x:v>Gap</x:v>
      </x:c>
      <x:c r="L69" s="83" t="str">
        <x:v>Corpus review</x:v>
      </x:c>
      <x:c r="M69" s="83" t="str">
        <x:v>Terna–PNIEC corpus</x:v>
      </x:c>
      <x:c r="N69" s="83"/>
      <x:c r="O69" s="83" t="str"/>
      <x:c r="P69" s="83" t="str">
        <x:v>Not available</x:v>
      </x:c>
      <x:c r="Q69" s="83" t="str">
        <x:v>Explicit gap</x:v>
      </x:c>
      <x:c r="R69" s="83" t="str">
        <x:v>Corpus completeness review</x:v>
      </x:c>
      <x:c r="S69" s="83" t="str">
        <x:v>E — Missing / external source required</x:v>
      </x:c>
      <x:c r="T69" s="83" t="str">
        <x:v>Link efficiencies</x:v>
      </x:c>
      <x:c r="U69" s="83" t="str">
        <x:v>Resolve from PyPSA-Eur hydro data, ENTSO-E/JRC/Gaudì or plant-level official data in Phase 4.</x:v>
      </x:c>
    </x:row>
    <x:row r="70">
      <x:c r="A70" s="83" t="str">
        <x:v>HY-066</x:v>
      </x:c>
      <x:c r="B70" s="83" t="str"/>
      <x:c r="C70" s="83" t="n">
        <x:v>2040</x:v>
      </x:c>
      <x:c r="D70" s="83" t="str">
        <x:v>2040/2050 input gap</x:v>
      </x:c>
      <x:c r="E70" s="83" t="str">
        <x:v>Italia</x:v>
      </x:c>
      <x:c r="F70" s="83" t="str"/>
      <x:c r="G70" s="83" t="str">
        <x:v>Hydro parameter gap</x:v>
      </x:c>
      <x:c r="H70" s="83" t="str">
        <x:v>Hydro minimum flow and environmental constraints</x:v>
      </x:c>
      <x:c r="I70" s="197"/>
      <x:c r="J70" s="83" t="str">
        <x:v>MW/MWh</x:v>
      </x:c>
      <x:c r="K70" s="83" t="str">
        <x:v>Gap</x:v>
      </x:c>
      <x:c r="L70" s="83" t="str">
        <x:v>Corpus review</x:v>
      </x:c>
      <x:c r="M70" s="83" t="str">
        <x:v>Terna–PNIEC corpus</x:v>
      </x:c>
      <x:c r="N70" s="83"/>
      <x:c r="O70" s="83" t="str"/>
      <x:c r="P70" s="83" t="str">
        <x:v>Not available</x:v>
      </x:c>
      <x:c r="Q70" s="83" t="str">
        <x:v>Explicit gap</x:v>
      </x:c>
      <x:c r="R70" s="83" t="str">
        <x:v>Corpus completeness review</x:v>
      </x:c>
      <x:c r="S70" s="83" t="str">
        <x:v>E — Missing / external source required</x:v>
      </x:c>
      <x:c r="T70" s="83" t="str">
        <x:v>p_min_pu/custom constraints</x:v>
      </x:c>
      <x:c r="U70" s="83" t="str">
        <x:v>Resolve from PyPSA-Eur hydro data, ENTSO-E/JRC/Gaudì or plant-level official data in Phase 4.</x:v>
      </x:c>
    </x:row>
    <x:row r="71">
      <x:c r="A71" s="83" t="str">
        <x:v>HY-067</x:v>
      </x:c>
      <x:c r="B71" s="83" t="str"/>
      <x:c r="C71" s="83" t="n">
        <x:v>2040</x:v>
      </x:c>
      <x:c r="D71" s="83" t="str">
        <x:v>2040/2050 input gap</x:v>
      </x:c>
      <x:c r="E71" s="83" t="str">
        <x:v>Italia</x:v>
      </x:c>
      <x:c r="F71" s="83" t="str"/>
      <x:c r="G71" s="83" t="str">
        <x:v>Hydro parameter gap</x:v>
      </x:c>
      <x:c r="H71" s="83" t="str">
        <x:v>Initial and terminal reservoir SOC</x:v>
      </x:c>
      <x:c r="I71" s="197"/>
      <x:c r="J71" s="83" t="str">
        <x:v>MWh or p.u.</x:v>
      </x:c>
      <x:c r="K71" s="83" t="str">
        <x:v>Gap</x:v>
      </x:c>
      <x:c r="L71" s="83" t="str">
        <x:v>Corpus review</x:v>
      </x:c>
      <x:c r="M71" s="83" t="str">
        <x:v>Terna–PNIEC corpus</x:v>
      </x:c>
      <x:c r="N71" s="83"/>
      <x:c r="O71" s="83" t="str"/>
      <x:c r="P71" s="83" t="str">
        <x:v>Not available</x:v>
      </x:c>
      <x:c r="Q71" s="83" t="str">
        <x:v>Explicit gap</x:v>
      </x:c>
      <x:c r="R71" s="83" t="str">
        <x:v>Corpus completeness review</x:v>
      </x:c>
      <x:c r="S71" s="83" t="str">
        <x:v>E — Missing / external source required</x:v>
      </x:c>
      <x:c r="T71" s="83" t="str">
        <x:v>Cyclic or calibrated terminal constraint</x:v>
      </x:c>
      <x:c r="U71" s="83" t="str">
        <x:v>Resolve from PyPSA-Eur hydro data, ENTSO-E/JRC/Gaudì or plant-level official data in Phase 4.</x:v>
      </x:c>
    </x:row>
  </x:sheetData>
  <x:mergeCells>
    <x:mergeCell ref="A1:U1"/>
    <x:mergeCell ref="A2:U2"/>
  </x:mergeCells>
  <x:conditionalFormatting sqref="K5:K71">
    <x:cfRule type="expression" dxfId="39" priority="1">
      <x:formula>K5="Gap"</x:formula>
    </x:cfRule>
    <x:cfRule type="expression" dxfId="40" priority="2">
      <x:formula>K5="Connection pipeline"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c762528d6764ca2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0" hidden="0" customWidth="1"/>
    <x:col min="4" max="4" width="30" hidden="0" customWidth="1"/>
    <x:col min="5" max="5" width="22" hidden="0" customWidth="1"/>
    <x:col min="6" max="6" width="28" hidden="0" customWidth="1"/>
    <x:col min="7" max="7" width="46" hidden="0" customWidth="1"/>
    <x:col min="8" max="8" width="11" hidden="0" customWidth="1"/>
    <x:col min="9" max="9" width="15" hidden="0" customWidth="1"/>
    <x:col min="10" max="10" width="20" hidden="0" customWidth="1"/>
    <x:col min="11" max="11" width="28" hidden="0" customWidth="1"/>
    <x:col min="12" max="12" width="12" hidden="0" customWidth="1"/>
    <x:col min="13" max="13" width="44" hidden="0" customWidth="1"/>
    <x:col min="14" max="14" width="12" hidden="0" customWidth="1"/>
    <x:col min="15" max="15" width="16" hidden="0" customWidth="1"/>
    <x:col min="16" max="16" width="24" hidden="0" customWidth="1"/>
    <x:col min="17" max="17" width="30" hidden="0" customWidth="1"/>
    <x:col min="18" max="18" width="34" hidden="0" customWidth="1"/>
    <x:col min="19" max="19" width="20" hidden="0" customWidth="1"/>
    <x:col min="20" max="20" width="50" hidden="0" customWidth="1"/>
    <x:col min="21" max="21" width="54" hidden="0" customWidth="1"/>
  </x:cols>
  <x:sheetData>
    <x:row r="1" ht="34" customHeight="1">
      <x:c r="A1" s="188" t="str">
        <x:v>Flessibilità, carico residuo e risorse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  <x:c r="S1" s="188"/>
      <x:c r="T1" s="188"/>
      <x:c r="U1" s="188"/>
    </x:row>
    <x:row r="2" ht="30" customHeight="1">
      <x:c r="A2" s="192" t="str">
        <x:v>96 record: perdite, curtailment, elettrolizzatori, adequacy e flexibility needs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  <x:c r="S2" s="192"/>
      <x:c r="T2" s="192"/>
      <x:c r="U2" s="192"/>
    </x:row>
    <x:row r="4" ht="42" customHeight="1">
      <x:c r="A4" s="196" t="str">
        <x:v>Record ID</x:v>
      </x:c>
      <x:c r="B4" s="196" t="str">
        <x:v>Scenario ID</x:v>
      </x:c>
      <x:c r="C4" s="196" t="str">
        <x:v>Anno</x:v>
      </x:c>
      <x:c r="D4" s="196" t="str">
        <x:v>Scenario</x:v>
      </x:c>
      <x:c r="E4" s="196" t="str">
        <x:v>Scala temporale</x:v>
      </x:c>
      <x:c r="F4" s="196" t="str">
        <x:v>Categoria</x:v>
      </x:c>
      <x:c r="G4" s="196" t="str">
        <x:v>Metrica</x:v>
      </x:c>
      <x:c r="H4" s="196" t="str">
        <x:v>Operatore</x:v>
      </x:c>
      <x:c r="I4" s="196" t="str">
        <x:v>Valore</x:v>
      </x:c>
      <x:c r="J4" s="196" t="str">
        <x:v>Unità</x:v>
      </x:c>
      <x:c r="K4" s="196" t="str">
        <x:v>Status</x:v>
      </x:c>
      <x:c r="L4" s="196" t="str">
        <x:v>Fonte</x:v>
      </x:c>
      <x:c r="M4" s="196" t="str">
        <x:v>File fonte</x:v>
      </x:c>
      <x:c r="N4" s="196" t="str">
        <x:v>Pagina PDF</x:v>
      </x:c>
      <x:c r="O4" s="196" t="str">
        <x:v>Pagina stampata</x:v>
      </x:c>
      <x:c r="P4" s="196" t="str">
        <x:v>Tabella/Figura</x:v>
      </x:c>
      <x:c r="Q4" s="196" t="str">
        <x:v>Tipo evidenza</x:v>
      </x:c>
      <x:c r="R4" s="196" t="str">
        <x:v>Metodo</x:v>
      </x:c>
      <x:c r="S4" s="196" t="str">
        <x:v>Affidabilità</x:v>
      </x:c>
      <x:c r="T4" s="196" t="str">
        <x:v>Uso modello</x:v>
      </x:c>
      <x:c r="U4" s="196" t="str">
        <x:v>Note</x:v>
      </x:c>
    </x:row>
    <x:row r="5">
      <x:c r="A5" s="83" t="str">
        <x:v>FL-001</x:v>
      </x:c>
      <x:c r="B5" s="83" t="str">
        <x:v>PNIEC_POLICY_2030</x:v>
      </x:c>
      <x:c r="C5" s="83" t="n">
        <x:v>2030</x:v>
      </x:c>
      <x:c r="D5" s="83" t="str">
        <x:v>PNIEC Policy 2030</x:v>
      </x:c>
      <x:c r="E5" s="83" t="str">
        <x:v>Annual</x:v>
      </x:c>
      <x:c r="F5" s="83" t="str">
        <x:v>Storage</x:v>
      </x:c>
      <x:c r="G5" s="83" t="str">
        <x:v>Storage energy losses</x:v>
      </x:c>
      <x:c r="H5" s="83" t="str">
        <x:v>=</x:v>
      </x:c>
      <x:c r="I5" s="197" t="n">
        <x:v>4</x:v>
      </x:c>
      <x:c r="J5" s="83" t="str">
        <x:v>TWh</x:v>
      </x:c>
      <x:c r="K5" s="83" t="str">
        <x:v>Source model result</x:v>
      </x:c>
      <x:c r="L5" s="83" t="str">
        <x:v>S09</x:v>
      </x:c>
      <x:c r="M5" s="83" t="str">
        <x:v>Documento di Descrizione degli Scenari 2024</x:v>
      </x:c>
      <x:c r="N5" s="83" t="n">
        <x:v>66</x:v>
      </x:c>
      <x:c r="O5" s="83" t="n">
        <x:v>64</x:v>
      </x:c>
      <x:c r="P5" s="83" t="str">
        <x:v>Table 18</x:v>
      </x:c>
      <x:c r="Q5" s="83" t="str">
        <x:v>Risultato di modello della fonte</x:v>
      </x:c>
      <x:c r="R5" s="83" t="str">
        <x:v>Direct magnitude; source balance uses negative accounting signs</x:v>
      </x:c>
      <x:c r="S5" s="83" t="str">
        <x:v>A — Direct</x:v>
      </x:c>
      <x:c r="T5" s="83" t="str">
        <x:v>Annual QA after dispatch; not an efficiency parameter.</x:v>
      </x:c>
      <x:c r="U5" s="83" t="str">
        <x:v>Magnitude stored as positive value.</x:v>
      </x:c>
    </x:row>
    <x:row r="6">
      <x:c r="A6" s="83" t="str">
        <x:v>FL-002</x:v>
      </x:c>
      <x:c r="B6" s="83" t="str">
        <x:v>PNIEC_POLICY_2030</x:v>
      </x:c>
      <x:c r="C6" s="83" t="n">
        <x:v>2030</x:v>
      </x:c>
      <x:c r="D6" s="83" t="str">
        <x:v>PNIEC Policy 2030</x:v>
      </x:c>
      <x:c r="E6" s="83" t="str">
        <x:v>Annual</x:v>
      </x:c>
      <x:c r="F6" s="83" t="str">
        <x:v>Curtailment</x:v>
      </x:c>
      <x:c r="G6" s="83" t="str">
        <x:v>Overgeneration / curtailment</x:v>
      </x:c>
      <x:c r="H6" s="83" t="str">
        <x:v>=</x:v>
      </x:c>
      <x:c r="I6" s="197" t="n">
        <x:v>5</x:v>
      </x:c>
      <x:c r="J6" s="83" t="str">
        <x:v>TWh</x:v>
      </x:c>
      <x:c r="K6" s="83" t="str">
        <x:v>Source model result</x:v>
      </x:c>
      <x:c r="L6" s="83" t="str">
        <x:v>S09</x:v>
      </x:c>
      <x:c r="M6" s="83" t="str">
        <x:v>Documento di Descrizione degli Scenari 2024</x:v>
      </x:c>
      <x:c r="N6" s="83" t="n">
        <x:v>66</x:v>
      </x:c>
      <x:c r="O6" s="83" t="n">
        <x:v>64</x:v>
      </x:c>
      <x:c r="P6" s="83" t="str">
        <x:v>Table 18</x:v>
      </x:c>
      <x:c r="Q6" s="83" t="str">
        <x:v>Risultato di modello della fonte</x:v>
      </x:c>
      <x:c r="R6" s="83" t="str">
        <x:v>Direct magnitude; source balance uses negative accounting signs</x:v>
      </x:c>
      <x:c r="S6" s="83" t="str">
        <x:v>A — Direct</x:v>
      </x:c>
      <x:c r="T6" s="83" t="str">
        <x:v>Annual QA after dispatch; not an efficiency parameter.</x:v>
      </x:c>
      <x:c r="U6" s="83" t="str">
        <x:v>Magnitude stored as positive value.</x:v>
      </x:c>
    </x:row>
    <x:row r="7">
      <x:c r="A7" s="83" t="str">
        <x:v>FL-003</x:v>
      </x:c>
      <x:c r="B7" s="83" t="str">
        <x:v>PNIEC_SLOW_2030</x:v>
      </x:c>
      <x:c r="C7" s="83" t="n">
        <x:v>2030</x:v>
      </x:c>
      <x:c r="D7" s="83" t="str">
        <x:v>PNIEC Slow 2030</x:v>
      </x:c>
      <x:c r="E7" s="83" t="str">
        <x:v>Annual</x:v>
      </x:c>
      <x:c r="F7" s="83" t="str">
        <x:v>Storage</x:v>
      </x:c>
      <x:c r="G7" s="83" t="str">
        <x:v>Storage energy losses</x:v>
      </x:c>
      <x:c r="H7" s="83" t="str">
        <x:v>=</x:v>
      </x:c>
      <x:c r="I7" s="197" t="n">
        <x:v>3</x:v>
      </x:c>
      <x:c r="J7" s="83" t="str">
        <x:v>TWh</x:v>
      </x:c>
      <x:c r="K7" s="83" t="str">
        <x:v>Source model result</x:v>
      </x:c>
      <x:c r="L7" s="83" t="str">
        <x:v>S09</x:v>
      </x:c>
      <x:c r="M7" s="83" t="str">
        <x:v>Documento di Descrizione degli Scenari 2024</x:v>
      </x:c>
      <x:c r="N7" s="83" t="n">
        <x:v>66</x:v>
      </x:c>
      <x:c r="O7" s="83" t="n">
        <x:v>64</x:v>
      </x:c>
      <x:c r="P7" s="83" t="str">
        <x:v>Table 18</x:v>
      </x:c>
      <x:c r="Q7" s="83" t="str">
        <x:v>Risultato di modello della fonte</x:v>
      </x:c>
      <x:c r="R7" s="83" t="str">
        <x:v>Direct magnitude; source balance uses negative accounting signs</x:v>
      </x:c>
      <x:c r="S7" s="83" t="str">
        <x:v>A — Direct</x:v>
      </x:c>
      <x:c r="T7" s="83" t="str">
        <x:v>Annual QA after dispatch; not an efficiency parameter.</x:v>
      </x:c>
      <x:c r="U7" s="83" t="str">
        <x:v>Magnitude stored as positive value.</x:v>
      </x:c>
    </x:row>
    <x:row r="8">
      <x:c r="A8" s="83" t="str">
        <x:v>FL-004</x:v>
      </x:c>
      <x:c r="B8" s="83" t="str">
        <x:v>PNIEC_SLOW_2030</x:v>
      </x:c>
      <x:c r="C8" s="83" t="n">
        <x:v>2030</x:v>
      </x:c>
      <x:c r="D8" s="83" t="str">
        <x:v>PNIEC Slow 2030</x:v>
      </x:c>
      <x:c r="E8" s="83" t="str">
        <x:v>Annual</x:v>
      </x:c>
      <x:c r="F8" s="83" t="str">
        <x:v>Curtailment</x:v>
      </x:c>
      <x:c r="G8" s="83" t="str">
        <x:v>Overgeneration / curtailment</x:v>
      </x:c>
      <x:c r="H8" s="83" t="str">
        <x:v>=</x:v>
      </x:c>
      <x:c r="I8" s="197" t="n">
        <x:v>3</x:v>
      </x:c>
      <x:c r="J8" s="83" t="str">
        <x:v>TWh</x:v>
      </x:c>
      <x:c r="K8" s="83" t="str">
        <x:v>Source model result</x:v>
      </x:c>
      <x:c r="L8" s="83" t="str">
        <x:v>S09</x:v>
      </x:c>
      <x:c r="M8" s="83" t="str">
        <x:v>Documento di Descrizione degli Scenari 2024</x:v>
      </x:c>
      <x:c r="N8" s="83" t="n">
        <x:v>66</x:v>
      </x:c>
      <x:c r="O8" s="83" t="n">
        <x:v>64</x:v>
      </x:c>
      <x:c r="P8" s="83" t="str">
        <x:v>Table 18</x:v>
      </x:c>
      <x:c r="Q8" s="83" t="str">
        <x:v>Risultato di modello della fonte</x:v>
      </x:c>
      <x:c r="R8" s="83" t="str">
        <x:v>Direct magnitude; source balance uses negative accounting signs</x:v>
      </x:c>
      <x:c r="S8" s="83" t="str">
        <x:v>A — Direct</x:v>
      </x:c>
      <x:c r="T8" s="83" t="str">
        <x:v>Annual QA after dispatch; not an efficiency parameter.</x:v>
      </x:c>
      <x:c r="U8" s="83" t="str">
        <x:v>Magnitude stored as positive value.</x:v>
      </x:c>
    </x:row>
    <x:row r="9">
      <x:c r="A9" s="83" t="str">
        <x:v>FL-005</x:v>
      </x:c>
      <x:c r="B9" s="83" t="str">
        <x:v>DE_IT_2035</x:v>
      </x:c>
      <x:c r="C9" s="83" t="n">
        <x:v>2035</x:v>
      </x:c>
      <x:c r="D9" s="83" t="str">
        <x:v>DE-IT 2035</x:v>
      </x:c>
      <x:c r="E9" s="83" t="str">
        <x:v>Annual</x:v>
      </x:c>
      <x:c r="F9" s="83" t="str">
        <x:v>Storage</x:v>
      </x:c>
      <x:c r="G9" s="83" t="str">
        <x:v>Storage energy losses</x:v>
      </x:c>
      <x:c r="H9" s="83" t="str">
        <x:v>=</x:v>
      </x:c>
      <x:c r="I9" s="197" t="n">
        <x:v>6</x:v>
      </x:c>
      <x:c r="J9" s="83" t="str">
        <x:v>TWh</x:v>
      </x:c>
      <x:c r="K9" s="83" t="str">
        <x:v>Source model result</x:v>
      </x:c>
      <x:c r="L9" s="83" t="str">
        <x:v>S09</x:v>
      </x:c>
      <x:c r="M9" s="83" t="str">
        <x:v>Documento di Descrizione degli Scenari 2024</x:v>
      </x:c>
      <x:c r="N9" s="83" t="n">
        <x:v>66</x:v>
      </x:c>
      <x:c r="O9" s="83" t="n">
        <x:v>64</x:v>
      </x:c>
      <x:c r="P9" s="83" t="str">
        <x:v>Table 18</x:v>
      </x:c>
      <x:c r="Q9" s="83" t="str">
        <x:v>Risultato di modello della fonte</x:v>
      </x:c>
      <x:c r="R9" s="83" t="str">
        <x:v>Direct magnitude; source balance uses negative accounting signs</x:v>
      </x:c>
      <x:c r="S9" s="83" t="str">
        <x:v>A — Direct</x:v>
      </x:c>
      <x:c r="T9" s="83" t="str">
        <x:v>Annual QA after dispatch; not an efficiency parameter.</x:v>
      </x:c>
      <x:c r="U9" s="83" t="str">
        <x:v>Magnitude stored as positive value.</x:v>
      </x:c>
    </x:row>
    <x:row r="10">
      <x:c r="A10" s="83" t="str">
        <x:v>FL-006</x:v>
      </x:c>
      <x:c r="B10" s="83" t="str">
        <x:v>DE_IT_2035</x:v>
      </x:c>
      <x:c r="C10" s="83" t="n">
        <x:v>2035</x:v>
      </x:c>
      <x:c r="D10" s="83" t="str">
        <x:v>DE-IT 2035</x:v>
      </x:c>
      <x:c r="E10" s="83" t="str">
        <x:v>Annual</x:v>
      </x:c>
      <x:c r="F10" s="83" t="str">
        <x:v>Curtailment</x:v>
      </x:c>
      <x:c r="G10" s="83" t="str">
        <x:v>Overgeneration / curtailment</x:v>
      </x:c>
      <x:c r="H10" s="83" t="str">
        <x:v>=</x:v>
      </x:c>
      <x:c r="I10" s="197" t="n">
        <x:v>12</x:v>
      </x:c>
      <x:c r="J10" s="83" t="str">
        <x:v>TWh</x:v>
      </x:c>
      <x:c r="K10" s="83" t="str">
        <x:v>Source model result</x:v>
      </x:c>
      <x:c r="L10" s="83" t="str">
        <x:v>S09</x:v>
      </x:c>
      <x:c r="M10" s="83" t="str">
        <x:v>Documento di Descrizione degli Scenari 2024</x:v>
      </x:c>
      <x:c r="N10" s="83" t="n">
        <x:v>66</x:v>
      </x:c>
      <x:c r="O10" s="83" t="n">
        <x:v>64</x:v>
      </x:c>
      <x:c r="P10" s="83" t="str">
        <x:v>Table 18</x:v>
      </x:c>
      <x:c r="Q10" s="83" t="str">
        <x:v>Risultato di modello della fonte</x:v>
      </x:c>
      <x:c r="R10" s="83" t="str">
        <x:v>Direct magnitude; source balance uses negative accounting signs</x:v>
      </x:c>
      <x:c r="S10" s="83" t="str">
        <x:v>A — Direct</x:v>
      </x:c>
      <x:c r="T10" s="83" t="str">
        <x:v>Annual QA after dispatch; not an efficiency parameter.</x:v>
      </x:c>
      <x:c r="U10" s="83" t="str">
        <x:v>Magnitude stored as positive value.</x:v>
      </x:c>
    </x:row>
    <x:row r="11">
      <x:c r="A11" s="83" t="str">
        <x:v>FL-007</x:v>
      </x:c>
      <x:c r="B11" s="83" t="str">
        <x:v>GA_IT_2035</x:v>
      </x:c>
      <x:c r="C11" s="83" t="n">
        <x:v>2035</x:v>
      </x:c>
      <x:c r="D11" s="83" t="str">
        <x:v>GA-IT 2035</x:v>
      </x:c>
      <x:c r="E11" s="83" t="str">
        <x:v>Annual</x:v>
      </x:c>
      <x:c r="F11" s="83" t="str">
        <x:v>Storage</x:v>
      </x:c>
      <x:c r="G11" s="83" t="str">
        <x:v>Storage energy losses</x:v>
      </x:c>
      <x:c r="H11" s="83" t="str">
        <x:v>=</x:v>
      </x:c>
      <x:c r="I11" s="197" t="n">
        <x:v>5</x:v>
      </x:c>
      <x:c r="J11" s="83" t="str">
        <x:v>TWh</x:v>
      </x:c>
      <x:c r="K11" s="83" t="str">
        <x:v>Source model result</x:v>
      </x:c>
      <x:c r="L11" s="83" t="str">
        <x:v>S09</x:v>
      </x:c>
      <x:c r="M11" s="83" t="str">
        <x:v>Documento di Descrizione degli Scenari 2024</x:v>
      </x:c>
      <x:c r="N11" s="83" t="n">
        <x:v>66</x:v>
      </x:c>
      <x:c r="O11" s="83" t="n">
        <x:v>64</x:v>
      </x:c>
      <x:c r="P11" s="83" t="str">
        <x:v>Table 18</x:v>
      </x:c>
      <x:c r="Q11" s="83" t="str">
        <x:v>Risultato di modello della fonte</x:v>
      </x:c>
      <x:c r="R11" s="83" t="str">
        <x:v>Direct magnitude; source balance uses negative accounting signs</x:v>
      </x:c>
      <x:c r="S11" s="83" t="str">
        <x:v>A — Direct</x:v>
      </x:c>
      <x:c r="T11" s="83" t="str">
        <x:v>Annual QA after dispatch; not an efficiency parameter.</x:v>
      </x:c>
      <x:c r="U11" s="83" t="str">
        <x:v>Magnitude stored as positive value.</x:v>
      </x:c>
    </x:row>
    <x:row r="12">
      <x:c r="A12" s="83" t="str">
        <x:v>FL-008</x:v>
      </x:c>
      <x:c r="B12" s="83" t="str">
        <x:v>GA_IT_2035</x:v>
      </x:c>
      <x:c r="C12" s="83" t="n">
        <x:v>2035</x:v>
      </x:c>
      <x:c r="D12" s="83" t="str">
        <x:v>GA-IT 2035</x:v>
      </x:c>
      <x:c r="E12" s="83" t="str">
        <x:v>Annual</x:v>
      </x:c>
      <x:c r="F12" s="83" t="str">
        <x:v>Curtailment</x:v>
      </x:c>
      <x:c r="G12" s="83" t="str">
        <x:v>Overgeneration / curtailment</x:v>
      </x:c>
      <x:c r="H12" s="83" t="str">
        <x:v>=</x:v>
      </x:c>
      <x:c r="I12" s="197" t="n">
        <x:v>10</x:v>
      </x:c>
      <x:c r="J12" s="83" t="str">
        <x:v>TWh</x:v>
      </x:c>
      <x:c r="K12" s="83" t="str">
        <x:v>Source model result</x:v>
      </x:c>
      <x:c r="L12" s="83" t="str">
        <x:v>S09</x:v>
      </x:c>
      <x:c r="M12" s="83" t="str">
        <x:v>Documento di Descrizione degli Scenari 2024</x:v>
      </x:c>
      <x:c r="N12" s="83" t="n">
        <x:v>66</x:v>
      </x:c>
      <x:c r="O12" s="83" t="n">
        <x:v>64</x:v>
      </x:c>
      <x:c r="P12" s="83" t="str">
        <x:v>Table 18</x:v>
      </x:c>
      <x:c r="Q12" s="83" t="str">
        <x:v>Risultato di modello della fonte</x:v>
      </x:c>
      <x:c r="R12" s="83" t="str">
        <x:v>Direct magnitude; source balance uses negative accounting signs</x:v>
      </x:c>
      <x:c r="S12" s="83" t="str">
        <x:v>A — Direct</x:v>
      </x:c>
      <x:c r="T12" s="83" t="str">
        <x:v>Annual QA after dispatch; not an efficiency parameter.</x:v>
      </x:c>
      <x:c r="U12" s="83" t="str">
        <x:v>Magnitude stored as positive value.</x:v>
      </x:c>
    </x:row>
    <x:row r="13">
      <x:c r="A13" s="83" t="str">
        <x:v>FL-009</x:v>
      </x:c>
      <x:c r="B13" s="83" t="str">
        <x:v>PNIEC_SLOW_2035</x:v>
      </x:c>
      <x:c r="C13" s="83" t="n">
        <x:v>2035</x:v>
      </x:c>
      <x:c r="D13" s="83" t="str">
        <x:v>PNIEC Slow 2035</x:v>
      </x:c>
      <x:c r="E13" s="83" t="str">
        <x:v>Annual</x:v>
      </x:c>
      <x:c r="F13" s="83" t="str">
        <x:v>Storage</x:v>
      </x:c>
      <x:c r="G13" s="83" t="str">
        <x:v>Storage energy losses</x:v>
      </x:c>
      <x:c r="H13" s="83" t="str">
        <x:v>=</x:v>
      </x:c>
      <x:c r="I13" s="197" t="n">
        <x:v>5</x:v>
      </x:c>
      <x:c r="J13" s="83" t="str">
        <x:v>TWh</x:v>
      </x:c>
      <x:c r="K13" s="83" t="str">
        <x:v>Source model result</x:v>
      </x:c>
      <x:c r="L13" s="83" t="str">
        <x:v>S09</x:v>
      </x:c>
      <x:c r="M13" s="83" t="str">
        <x:v>Documento di Descrizione degli Scenari 2024</x:v>
      </x:c>
      <x:c r="N13" s="83" t="n">
        <x:v>66</x:v>
      </x:c>
      <x:c r="O13" s="83" t="n">
        <x:v>64</x:v>
      </x:c>
      <x:c r="P13" s="83" t="str">
        <x:v>Table 18</x:v>
      </x:c>
      <x:c r="Q13" s="83" t="str">
        <x:v>Risultato di modello della fonte</x:v>
      </x:c>
      <x:c r="R13" s="83" t="str">
        <x:v>Direct magnitude; source balance uses negative accounting signs</x:v>
      </x:c>
      <x:c r="S13" s="83" t="str">
        <x:v>A — Direct</x:v>
      </x:c>
      <x:c r="T13" s="83" t="str">
        <x:v>Annual QA after dispatch; not an efficiency parameter.</x:v>
      </x:c>
      <x:c r="U13" s="83" t="str">
        <x:v>Magnitude stored as positive value.</x:v>
      </x:c>
    </x:row>
    <x:row r="14">
      <x:c r="A14" s="83" t="str">
        <x:v>FL-010</x:v>
      </x:c>
      <x:c r="B14" s="83" t="str">
        <x:v>PNIEC_SLOW_2035</x:v>
      </x:c>
      <x:c r="C14" s="83" t="n">
        <x:v>2035</x:v>
      </x:c>
      <x:c r="D14" s="83" t="str">
        <x:v>PNIEC Slow 2035</x:v>
      </x:c>
      <x:c r="E14" s="83" t="str">
        <x:v>Annual</x:v>
      </x:c>
      <x:c r="F14" s="83" t="str">
        <x:v>Curtailment</x:v>
      </x:c>
      <x:c r="G14" s="83" t="str">
        <x:v>Overgeneration / curtailment</x:v>
      </x:c>
      <x:c r="H14" s="83" t="str">
        <x:v>=</x:v>
      </x:c>
      <x:c r="I14" s="197" t="n">
        <x:v>7</x:v>
      </x:c>
      <x:c r="J14" s="83" t="str">
        <x:v>TWh</x:v>
      </x:c>
      <x:c r="K14" s="83" t="str">
        <x:v>Source model result</x:v>
      </x:c>
      <x:c r="L14" s="83" t="str">
        <x:v>S09</x:v>
      </x:c>
      <x:c r="M14" s="83" t="str">
        <x:v>Documento di Descrizione degli Scenari 2024</x:v>
      </x:c>
      <x:c r="N14" s="83" t="n">
        <x:v>66</x:v>
      </x:c>
      <x:c r="O14" s="83" t="n">
        <x:v>64</x:v>
      </x:c>
      <x:c r="P14" s="83" t="str">
        <x:v>Table 18</x:v>
      </x:c>
      <x:c r="Q14" s="83" t="str">
        <x:v>Risultato di modello della fonte</x:v>
      </x:c>
      <x:c r="R14" s="83" t="str">
        <x:v>Direct magnitude; source balance uses negative accounting signs</x:v>
      </x:c>
      <x:c r="S14" s="83" t="str">
        <x:v>A — Direct</x:v>
      </x:c>
      <x:c r="T14" s="83" t="str">
        <x:v>Annual QA after dispatch; not an efficiency parameter.</x:v>
      </x:c>
      <x:c r="U14" s="83" t="str">
        <x:v>Magnitude stored as positive value.</x:v>
      </x:c>
    </x:row>
    <x:row r="15">
      <x:c r="A15" s="83" t="str">
        <x:v>FL-011</x:v>
      </x:c>
      <x:c r="B15" s="83" t="str">
        <x:v>DE_IT_2040</x:v>
      </x:c>
      <x:c r="C15" s="83" t="n">
        <x:v>2040</x:v>
      </x:c>
      <x:c r="D15" s="83" t="str">
        <x:v>DE-IT 2040</x:v>
      </x:c>
      <x:c r="E15" s="83" t="str">
        <x:v>Annual</x:v>
      </x:c>
      <x:c r="F15" s="83" t="str">
        <x:v>Storage</x:v>
      </x:c>
      <x:c r="G15" s="83" t="str">
        <x:v>Storage energy losses</x:v>
      </x:c>
      <x:c r="H15" s="83" t="str">
        <x:v>=</x:v>
      </x:c>
      <x:c r="I15" s="197" t="n">
        <x:v>9</x:v>
      </x:c>
      <x:c r="J15" s="83" t="str">
        <x:v>TWh</x:v>
      </x:c>
      <x:c r="K15" s="83" t="str">
        <x:v>Source model result</x:v>
      </x:c>
      <x:c r="L15" s="83" t="str">
        <x:v>S09</x:v>
      </x:c>
      <x:c r="M15" s="83" t="str">
        <x:v>Documento di Descrizione degli Scenari 2024</x:v>
      </x:c>
      <x:c r="N15" s="83" t="n">
        <x:v>66</x:v>
      </x:c>
      <x:c r="O15" s="83" t="n">
        <x:v>64</x:v>
      </x:c>
      <x:c r="P15" s="83" t="str">
        <x:v>Table 18</x:v>
      </x:c>
      <x:c r="Q15" s="83" t="str">
        <x:v>Risultato di modello della fonte</x:v>
      </x:c>
      <x:c r="R15" s="83" t="str">
        <x:v>Direct magnitude; source balance uses negative accounting signs</x:v>
      </x:c>
      <x:c r="S15" s="83" t="str">
        <x:v>A — Direct</x:v>
      </x:c>
      <x:c r="T15" s="83" t="str">
        <x:v>Annual QA after dispatch; not an efficiency parameter.</x:v>
      </x:c>
      <x:c r="U15" s="83" t="str">
        <x:v>Magnitude stored as positive value.</x:v>
      </x:c>
    </x:row>
    <x:row r="16">
      <x:c r="A16" s="83" t="str">
        <x:v>FL-012</x:v>
      </x:c>
      <x:c r="B16" s="83" t="str">
        <x:v>DE_IT_2040</x:v>
      </x:c>
      <x:c r="C16" s="83" t="n">
        <x:v>2040</x:v>
      </x:c>
      <x:c r="D16" s="83" t="str">
        <x:v>DE-IT 2040</x:v>
      </x:c>
      <x:c r="E16" s="83" t="str">
        <x:v>Annual</x:v>
      </x:c>
      <x:c r="F16" s="83" t="str">
        <x:v>Curtailment</x:v>
      </x:c>
      <x:c r="G16" s="83" t="str">
        <x:v>Overgeneration / curtailment</x:v>
      </x:c>
      <x:c r="H16" s="83" t="str">
        <x:v>=</x:v>
      </x:c>
      <x:c r="I16" s="197" t="n">
        <x:v>16</x:v>
      </x:c>
      <x:c r="J16" s="83" t="str">
        <x:v>TWh</x:v>
      </x:c>
      <x:c r="K16" s="83" t="str">
        <x:v>Source model result</x:v>
      </x:c>
      <x:c r="L16" s="83" t="str">
        <x:v>S09</x:v>
      </x:c>
      <x:c r="M16" s="83" t="str">
        <x:v>Documento di Descrizione degli Scenari 2024</x:v>
      </x:c>
      <x:c r="N16" s="83" t="n">
        <x:v>66</x:v>
      </x:c>
      <x:c r="O16" s="83" t="n">
        <x:v>64</x:v>
      </x:c>
      <x:c r="P16" s="83" t="str">
        <x:v>Table 18</x:v>
      </x:c>
      <x:c r="Q16" s="83" t="str">
        <x:v>Risultato di modello della fonte</x:v>
      </x:c>
      <x:c r="R16" s="83" t="str">
        <x:v>Direct magnitude; source balance uses negative accounting signs</x:v>
      </x:c>
      <x:c r="S16" s="83" t="str">
        <x:v>A — Direct</x:v>
      </x:c>
      <x:c r="T16" s="83" t="str">
        <x:v>Annual QA after dispatch; not an efficiency parameter.</x:v>
      </x:c>
      <x:c r="U16" s="83" t="str">
        <x:v>Magnitude stored as positive value.</x:v>
      </x:c>
    </x:row>
    <x:row r="17">
      <x:c r="A17" s="83" t="str">
        <x:v>FL-013</x:v>
      </x:c>
      <x:c r="B17" s="83" t="str">
        <x:v>GA_IT_2040</x:v>
      </x:c>
      <x:c r="C17" s="83" t="n">
        <x:v>2040</x:v>
      </x:c>
      <x:c r="D17" s="83" t="str">
        <x:v>GA-IT 2040</x:v>
      </x:c>
      <x:c r="E17" s="83" t="str">
        <x:v>Annual</x:v>
      </x:c>
      <x:c r="F17" s="83" t="str">
        <x:v>Storage</x:v>
      </x:c>
      <x:c r="G17" s="83" t="str">
        <x:v>Storage energy losses</x:v>
      </x:c>
      <x:c r="H17" s="83" t="str">
        <x:v>=</x:v>
      </x:c>
      <x:c r="I17" s="197" t="n">
        <x:v>7</x:v>
      </x:c>
      <x:c r="J17" s="83" t="str">
        <x:v>TWh</x:v>
      </x:c>
      <x:c r="K17" s="83" t="str">
        <x:v>Source model result</x:v>
      </x:c>
      <x:c r="L17" s="83" t="str">
        <x:v>S09</x:v>
      </x:c>
      <x:c r="M17" s="83" t="str">
        <x:v>Documento di Descrizione degli Scenari 2024</x:v>
      </x:c>
      <x:c r="N17" s="83" t="n">
        <x:v>66</x:v>
      </x:c>
      <x:c r="O17" s="83" t="n">
        <x:v>64</x:v>
      </x:c>
      <x:c r="P17" s="83" t="str">
        <x:v>Table 18</x:v>
      </x:c>
      <x:c r="Q17" s="83" t="str">
        <x:v>Risultato di modello della fonte</x:v>
      </x:c>
      <x:c r="R17" s="83" t="str">
        <x:v>Direct magnitude; source balance uses negative accounting signs</x:v>
      </x:c>
      <x:c r="S17" s="83" t="str">
        <x:v>A — Direct</x:v>
      </x:c>
      <x:c r="T17" s="83" t="str">
        <x:v>Annual QA after dispatch; not an efficiency parameter.</x:v>
      </x:c>
      <x:c r="U17" s="83" t="str">
        <x:v>Magnitude stored as positive value.</x:v>
      </x:c>
    </x:row>
    <x:row r="18">
      <x:c r="A18" s="83" t="str">
        <x:v>FL-014</x:v>
      </x:c>
      <x:c r="B18" s="83" t="str">
        <x:v>GA_IT_2040</x:v>
      </x:c>
      <x:c r="C18" s="83" t="n">
        <x:v>2040</x:v>
      </x:c>
      <x:c r="D18" s="83" t="str">
        <x:v>GA-IT 2040</x:v>
      </x:c>
      <x:c r="E18" s="83" t="str">
        <x:v>Annual</x:v>
      </x:c>
      <x:c r="F18" s="83" t="str">
        <x:v>Curtailment</x:v>
      </x:c>
      <x:c r="G18" s="83" t="str">
        <x:v>Overgeneration / curtailment</x:v>
      </x:c>
      <x:c r="H18" s="83" t="str">
        <x:v>=</x:v>
      </x:c>
      <x:c r="I18" s="197" t="n">
        <x:v>10</x:v>
      </x:c>
      <x:c r="J18" s="83" t="str">
        <x:v>TWh</x:v>
      </x:c>
      <x:c r="K18" s="83" t="str">
        <x:v>Source model result</x:v>
      </x:c>
      <x:c r="L18" s="83" t="str">
        <x:v>S09</x:v>
      </x:c>
      <x:c r="M18" s="83" t="str">
        <x:v>Documento di Descrizione degli Scenari 2024</x:v>
      </x:c>
      <x:c r="N18" s="83" t="n">
        <x:v>66</x:v>
      </x:c>
      <x:c r="O18" s="83" t="n">
        <x:v>64</x:v>
      </x:c>
      <x:c r="P18" s="83" t="str">
        <x:v>Table 18</x:v>
      </x:c>
      <x:c r="Q18" s="83" t="str">
        <x:v>Risultato di modello della fonte</x:v>
      </x:c>
      <x:c r="R18" s="83" t="str">
        <x:v>Direct magnitude; source balance uses negative accounting signs</x:v>
      </x:c>
      <x:c r="S18" s="83" t="str">
        <x:v>A — Direct</x:v>
      </x:c>
      <x:c r="T18" s="83" t="str">
        <x:v>Annual QA after dispatch; not an efficiency parameter.</x:v>
      </x:c>
      <x:c r="U18" s="83" t="str">
        <x:v>Magnitude stored as positive value.</x:v>
      </x:c>
    </x:row>
    <x:row r="19">
      <x:c r="A19" s="83" t="str">
        <x:v>FL-015</x:v>
      </x:c>
      <x:c r="B19" s="83" t="str">
        <x:v>PNIEC_SLOW_2040</x:v>
      </x:c>
      <x:c r="C19" s="83" t="n">
        <x:v>2040</x:v>
      </x:c>
      <x:c r="D19" s="83" t="str">
        <x:v>PNIEC Slow 2040</x:v>
      </x:c>
      <x:c r="E19" s="83" t="str">
        <x:v>Annual</x:v>
      </x:c>
      <x:c r="F19" s="83" t="str">
        <x:v>Storage</x:v>
      </x:c>
      <x:c r="G19" s="83" t="str">
        <x:v>Storage energy losses</x:v>
      </x:c>
      <x:c r="H19" s="83" t="str">
        <x:v>=</x:v>
      </x:c>
      <x:c r="I19" s="197" t="n">
        <x:v>6</x:v>
      </x:c>
      <x:c r="J19" s="83" t="str">
        <x:v>TWh</x:v>
      </x:c>
      <x:c r="K19" s="83" t="str">
        <x:v>Source model result</x:v>
      </x:c>
      <x:c r="L19" s="83" t="str">
        <x:v>S09</x:v>
      </x:c>
      <x:c r="M19" s="83" t="str">
        <x:v>Documento di Descrizione degli Scenari 2024</x:v>
      </x:c>
      <x:c r="N19" s="83" t="n">
        <x:v>66</x:v>
      </x:c>
      <x:c r="O19" s="83" t="n">
        <x:v>64</x:v>
      </x:c>
      <x:c r="P19" s="83" t="str">
        <x:v>Table 18</x:v>
      </x:c>
      <x:c r="Q19" s="83" t="str">
        <x:v>Risultato di modello della fonte</x:v>
      </x:c>
      <x:c r="R19" s="83" t="str">
        <x:v>Direct magnitude; source balance uses negative accounting signs</x:v>
      </x:c>
      <x:c r="S19" s="83" t="str">
        <x:v>A — Direct</x:v>
      </x:c>
      <x:c r="T19" s="83" t="str">
        <x:v>Annual QA after dispatch; not an efficiency parameter.</x:v>
      </x:c>
      <x:c r="U19" s="83" t="str">
        <x:v>Magnitude stored as positive value.</x:v>
      </x:c>
    </x:row>
    <x:row r="20">
      <x:c r="A20" s="83" t="str">
        <x:v>FL-016</x:v>
      </x:c>
      <x:c r="B20" s="83" t="str">
        <x:v>PNIEC_SLOW_2040</x:v>
      </x:c>
      <x:c r="C20" s="83" t="n">
        <x:v>2040</x:v>
      </x:c>
      <x:c r="D20" s="83" t="str">
        <x:v>PNIEC Slow 2040</x:v>
      </x:c>
      <x:c r="E20" s="83" t="str">
        <x:v>Annual</x:v>
      </x:c>
      <x:c r="F20" s="83" t="str">
        <x:v>Curtailment</x:v>
      </x:c>
      <x:c r="G20" s="83" t="str">
        <x:v>Overgeneration / curtailment</x:v>
      </x:c>
      <x:c r="H20" s="83" t="str">
        <x:v>=</x:v>
      </x:c>
      <x:c r="I20" s="197" t="n">
        <x:v>8</x:v>
      </x:c>
      <x:c r="J20" s="83" t="str">
        <x:v>TWh</x:v>
      </x:c>
      <x:c r="K20" s="83" t="str">
        <x:v>Source model result</x:v>
      </x:c>
      <x:c r="L20" s="83" t="str">
        <x:v>S09</x:v>
      </x:c>
      <x:c r="M20" s="83" t="str">
        <x:v>Documento di Descrizione degli Scenari 2024</x:v>
      </x:c>
      <x:c r="N20" s="83" t="n">
        <x:v>66</x:v>
      </x:c>
      <x:c r="O20" s="83" t="n">
        <x:v>64</x:v>
      </x:c>
      <x:c r="P20" s="83" t="str">
        <x:v>Table 18</x:v>
      </x:c>
      <x:c r="Q20" s="83" t="str">
        <x:v>Risultato di modello della fonte</x:v>
      </x:c>
      <x:c r="R20" s="83" t="str">
        <x:v>Direct magnitude; source balance uses negative accounting signs</x:v>
      </x:c>
      <x:c r="S20" s="83" t="str">
        <x:v>A — Direct</x:v>
      </x:c>
      <x:c r="T20" s="83" t="str">
        <x:v>Annual QA after dispatch; not an efficiency parameter.</x:v>
      </x:c>
      <x:c r="U20" s="83" t="str">
        <x:v>Magnitude stored as positive value.</x:v>
      </x:c>
    </x:row>
    <x:row r="21">
      <x:c r="A21" s="83" t="str">
        <x:v>FL-017</x:v>
      </x:c>
      <x:c r="B21" s="83" t="str">
        <x:v>PNIEC_POLICY_2030</x:v>
      </x:c>
      <x:c r="C21" s="83" t="n">
        <x:v>2030</x:v>
      </x:c>
      <x:c r="D21" s="83" t="str">
        <x:v>PNIEC Policy 2030</x:v>
      </x:c>
      <x:c r="E21" s="83" t="str">
        <x:v>Annual</x:v>
      </x:c>
      <x:c r="F21" s="83" t="str">
        <x:v>Storage operation</x:v>
      </x:c>
      <x:c r="G21" s="83" t="str">
        <x:v>Equivalent operating hours — total</x:v>
      </x:c>
      <x:c r="H21" s="83" t="str">
        <x:v>=</x:v>
      </x:c>
      <x:c r="I21" s="197" t="n">
        <x:v>3300</x:v>
      </x:c>
      <x:c r="J21" s="83" t="str">
        <x:v>h/year</x:v>
      </x:c>
      <x:c r="K21" s="83" t="str">
        <x:v>Indicative source operation</x:v>
      </x:c>
      <x:c r="L21" s="83" t="str">
        <x:v>S09</x:v>
      </x:c>
      <x:c r="M21" s="83" t="str">
        <x:v>Documento di Descrizione degli Scenari 2024</x:v>
      </x:c>
      <x:c r="N21" s="83" t="n">
        <x:v>70</x:v>
      </x:c>
      <x:c r="O21" s="83" t="n">
        <x:v>68</x:v>
      </x:c>
      <x:c r="P21" s="83" t="str">
        <x:v>Narrative before Figure 36</x:v>
      </x:c>
      <x:c r="Q21" s="83" t="str">
        <x:v>Direct</x:v>
      </x:c>
      <x:c r="R21" s="83" t="str">
        <x:v>Direct indicative value</x:v>
      </x:c>
      <x:c r="S21" s="83" t="str">
        <x:v>A direct / B derived</x:v>
      </x:c>
      <x:c r="T21" s="83" t="str">
        <x:v>Operational plausibility check; not a hard cycling constraint.</x:v>
      </x:c>
      <x:c r="U21" s="83" t="str">
        <x:v>Refers indicatively to an 8-hour storage resource in 2030.</x:v>
      </x:c>
    </x:row>
    <x:row r="22">
      <x:c r="A22" s="83" t="str">
        <x:v>FL-018</x:v>
      </x:c>
      <x:c r="B22" s="83" t="str">
        <x:v>PNIEC_POLICY_2030</x:v>
      </x:c>
      <x:c r="C22" s="83" t="n">
        <x:v>2030</x:v>
      </x:c>
      <x:c r="D22" s="83" t="str">
        <x:v>PNIEC Policy 2030</x:v>
      </x:c>
      <x:c r="E22" s="83" t="str">
        <x:v>Annual</x:v>
      </x:c>
      <x:c r="F22" s="83" t="str">
        <x:v>Storage operation</x:v>
      </x:c>
      <x:c r="G22" s="83" t="str">
        <x:v>Equivalent charging hours</x:v>
      </x:c>
      <x:c r="H22" s="83" t="str">
        <x:v>=</x:v>
      </x:c>
      <x:c r="I22" s="197" t="n">
        <x:v>1800</x:v>
      </x:c>
      <x:c r="J22" s="83" t="str">
        <x:v>h/year</x:v>
      </x:c>
      <x:c r="K22" s="83" t="str">
        <x:v>Indicative source operation</x:v>
      </x:c>
      <x:c r="L22" s="83" t="str">
        <x:v>S09</x:v>
      </x:c>
      <x:c r="M22" s="83" t="str">
        <x:v>Documento di Descrizione degli Scenari 2024</x:v>
      </x:c>
      <x:c r="N22" s="83" t="n">
        <x:v>70</x:v>
      </x:c>
      <x:c r="O22" s="83" t="n">
        <x:v>68</x:v>
      </x:c>
      <x:c r="P22" s="83" t="str">
        <x:v>Narrative before Figure 36</x:v>
      </x:c>
      <x:c r="Q22" s="83" t="str">
        <x:v>Direct</x:v>
      </x:c>
      <x:c r="R22" s="83" t="str">
        <x:v>Direct indicative value</x:v>
      </x:c>
      <x:c r="S22" s="83" t="str">
        <x:v>A direct / B derived</x:v>
      </x:c>
      <x:c r="T22" s="83" t="str">
        <x:v>Operational plausibility check; not a hard cycling constraint.</x:v>
      </x:c>
      <x:c r="U22" s="83" t="str">
        <x:v>Refers indicatively to an 8-hour storage resource in 2030.</x:v>
      </x:c>
    </x:row>
    <x:row r="23">
      <x:c r="A23" s="83" t="str">
        <x:v>FL-019</x:v>
      </x:c>
      <x:c r="B23" s="83" t="str">
        <x:v>PNIEC_POLICY_2030</x:v>
      </x:c>
      <x:c r="C23" s="83" t="n">
        <x:v>2030</x:v>
      </x:c>
      <x:c r="D23" s="83" t="str">
        <x:v>PNIEC Policy 2030</x:v>
      </x:c>
      <x:c r="E23" s="83" t="str">
        <x:v>Annual</x:v>
      </x:c>
      <x:c r="F23" s="83" t="str">
        <x:v>Storage operation</x:v>
      </x:c>
      <x:c r="G23" s="83" t="str">
        <x:v>Equivalent discharging hours</x:v>
      </x:c>
      <x:c r="H23" s="83" t="str">
        <x:v>=</x:v>
      </x:c>
      <x:c r="I23" s="197" t="n">
        <x:v>1500</x:v>
      </x:c>
      <x:c r="J23" s="83" t="str">
        <x:v>h/year</x:v>
      </x:c>
      <x:c r="K23" s="83" t="str">
        <x:v>Indicative source operation</x:v>
      </x:c>
      <x:c r="L23" s="83" t="str">
        <x:v>S09</x:v>
      </x:c>
      <x:c r="M23" s="83" t="str">
        <x:v>Documento di Descrizione degli Scenari 2024</x:v>
      </x:c>
      <x:c r="N23" s="83" t="n">
        <x:v>70</x:v>
      </x:c>
      <x:c r="O23" s="83" t="n">
        <x:v>68</x:v>
      </x:c>
      <x:c r="P23" s="83" t="str">
        <x:v>Narrative before Figure 36</x:v>
      </x:c>
      <x:c r="Q23" s="83" t="str">
        <x:v>Direct</x:v>
      </x:c>
      <x:c r="R23" s="83" t="str">
        <x:v>Direct indicative value</x:v>
      </x:c>
      <x:c r="S23" s="83" t="str">
        <x:v>A direct / B derived</x:v>
      </x:c>
      <x:c r="T23" s="83" t="str">
        <x:v>Operational plausibility check; not a hard cycling constraint.</x:v>
      </x:c>
      <x:c r="U23" s="83" t="str">
        <x:v>Refers indicatively to an 8-hour storage resource in 2030.</x:v>
      </x:c>
    </x:row>
    <x:row r="24">
      <x:c r="A24" s="83" t="str">
        <x:v>FL-020</x:v>
      </x:c>
      <x:c r="B24" s="83" t="str">
        <x:v>PNIEC_POLICY_2030</x:v>
      </x:c>
      <x:c r="C24" s="83" t="n">
        <x:v>2030</x:v>
      </x:c>
      <x:c r="D24" s="83" t="str">
        <x:v>PNIEC Policy 2030</x:v>
      </x:c>
      <x:c r="E24" s="83" t="str">
        <x:v>Annual</x:v>
      </x:c>
      <x:c r="F24" s="83" t="str">
        <x:v>Storage operation</x:v>
      </x:c>
      <x:c r="G24" s="83" t="str">
        <x:v>Equivalent full charge cycles</x:v>
      </x:c>
      <x:c r="H24" s="83" t="str">
        <x:v>=</x:v>
      </x:c>
      <x:c r="I24" s="197" t="n">
        <x:v>225</x:v>
      </x:c>
      <x:c r="J24" s="83" t="str">
        <x:v>cycles/year</x:v>
      </x:c>
      <x:c r="K24" s="83" t="str">
        <x:v>Derived</x:v>
      </x:c>
      <x:c r="L24" s="83" t="str">
        <x:v>S09</x:v>
      </x:c>
      <x:c r="M24" s="83" t="str">
        <x:v>Documento di Descrizione degli Scenari 2024</x:v>
      </x:c>
      <x:c r="N24" s="83" t="n">
        <x:v>70</x:v>
      </x:c>
      <x:c r="O24" s="83" t="n">
        <x:v>68</x:v>
      </x:c>
      <x:c r="P24" s="83" t="str">
        <x:v>Narrative before Figure 36</x:v>
      </x:c>
      <x:c r="Q24" s="83" t="str">
        <x:v>B — Derived</x:v>
      </x:c>
      <x:c r="R24" s="83" t="str">
        <x:v>1800 h / 8 h</x:v>
      </x:c>
      <x:c r="S24" s="83" t="str">
        <x:v>A direct / B derived</x:v>
      </x:c>
      <x:c r="T24" s="83" t="str">
        <x:v>Operational plausibility check; not a hard cycling constraint.</x:v>
      </x:c>
      <x:c r="U24" s="83" t="str">
        <x:v>Refers indicatively to an 8-hour storage resource in 2030.</x:v>
      </x:c>
    </x:row>
    <x:row r="25">
      <x:c r="A25" s="83" t="str">
        <x:v>FL-021</x:v>
      </x:c>
      <x:c r="B25" s="83" t="str">
        <x:v>PNIEC_POLICY_2030</x:v>
      </x:c>
      <x:c r="C25" s="83" t="n">
        <x:v>2030</x:v>
      </x:c>
      <x:c r="D25" s="83" t="str">
        <x:v>PNIEC Policy 2030</x:v>
      </x:c>
      <x:c r="E25" s="83" t="str">
        <x:v>Annual</x:v>
      </x:c>
      <x:c r="F25" s="83" t="str">
        <x:v>Storage operation</x:v>
      </x:c>
      <x:c r="G25" s="83" t="str">
        <x:v>Equivalent full discharge cycles</x:v>
      </x:c>
      <x:c r="H25" s="83" t="str">
        <x:v>=</x:v>
      </x:c>
      <x:c r="I25" s="197" t="n">
        <x:v>187.5</x:v>
      </x:c>
      <x:c r="J25" s="83" t="str">
        <x:v>cycles/year</x:v>
      </x:c>
      <x:c r="K25" s="83" t="str">
        <x:v>Derived</x:v>
      </x:c>
      <x:c r="L25" s="83" t="str">
        <x:v>S09</x:v>
      </x:c>
      <x:c r="M25" s="83" t="str">
        <x:v>Documento di Descrizione degli Scenari 2024</x:v>
      </x:c>
      <x:c r="N25" s="83" t="n">
        <x:v>70</x:v>
      </x:c>
      <x:c r="O25" s="83" t="n">
        <x:v>68</x:v>
      </x:c>
      <x:c r="P25" s="83" t="str">
        <x:v>Narrative before Figure 36</x:v>
      </x:c>
      <x:c r="Q25" s="83" t="str">
        <x:v>B — Derived</x:v>
      </x:c>
      <x:c r="R25" s="83" t="str">
        <x:v>1500 h / 8 h</x:v>
      </x:c>
      <x:c r="S25" s="83" t="str">
        <x:v>A direct / B derived</x:v>
      </x:c>
      <x:c r="T25" s="83" t="str">
        <x:v>Operational plausibility check; not a hard cycling constraint.</x:v>
      </x:c>
      <x:c r="U25" s="83" t="str">
        <x:v>Refers indicatively to an 8-hour storage resource in 2030.</x:v>
      </x:c>
    </x:row>
    <x:row r="26">
      <x:c r="A26" s="83" t="str">
        <x:v>FL-022</x:v>
      </x:c>
      <x:c r="B26" s="83" t="str">
        <x:v>PNIEC_POLICY_2030</x:v>
      </x:c>
      <x:c r="C26" s="83" t="n">
        <x:v>2030</x:v>
      </x:c>
      <x:c r="D26" s="83" t="str">
        <x:v>PNIEC Policy 2030</x:v>
      </x:c>
      <x:c r="E26" s="83" t="str">
        <x:v>Annual</x:v>
      </x:c>
      <x:c r="F26" s="83" t="str">
        <x:v>Flexible demand / hydrogen</x:v>
      </x:c>
      <x:c r="G26" s="83" t="str">
        <x:v>Electrolyser installed power</x:v>
      </x:c>
      <x:c r="H26" s="83" t="str">
        <x:v>=</x:v>
      </x:c>
      <x:c r="I26" s="197" t="n">
        <x:v>3</x:v>
      </x:c>
      <x:c r="J26" s="83" t="str">
        <x:v>GW</x:v>
      </x:c>
      <x:c r="K26" s="83" t="str">
        <x:v>Scenario configuration</x:v>
      </x:c>
      <x:c r="L26" s="83" t="str">
        <x:v>S09</x:v>
      </x:c>
      <x:c r="M26" s="83" t="str">
        <x:v>Documento di Descrizione degli Scenari 2024</x:v>
      </x:c>
      <x:c r="N26" s="83" t="n">
        <x:v>63</x:v>
      </x:c>
      <x:c r="O26" s="83" t="str">
        <x:v>60-61 / 68</x:v>
      </x:c>
      <x:c r="P26" s="83" t="str">
        <x:v>Figure 29 / Figure 37</x:v>
      </x:c>
      <x:c r="Q26" s="83" t="str">
        <x:v>Assunzione di scenario</x:v>
      </x:c>
      <x:c r="R26" s="83" t="str">
        <x:v>Direct</x:v>
      </x:c>
      <x:c r="S26" s="83" t="str">
        <x:v>A direct / B derived</x:v>
      </x:c>
      <x:c r="T26" s="83" t="str">
        <x:v>Flexible Load/Link dispatch; at least 3,000 h and low-price activation.</x:v>
      </x:c>
      <x:c r="U26" s="83" t="str">
        <x:v>DDS models electrolysers as loads activated in low or zero price hours.</x:v>
      </x:c>
    </x:row>
    <x:row r="27">
      <x:c r="A27" s="83" t="str">
        <x:v>FL-023</x:v>
      </x:c>
      <x:c r="B27" s="83" t="str">
        <x:v>PNIEC_POLICY_2030</x:v>
      </x:c>
      <x:c r="C27" s="83" t="n">
        <x:v>2030</x:v>
      </x:c>
      <x:c r="D27" s="83" t="str">
        <x:v>PNIEC Policy 2030</x:v>
      </x:c>
      <x:c r="E27" s="83" t="str">
        <x:v>Annual</x:v>
      </x:c>
      <x:c r="F27" s="83" t="str">
        <x:v>Flexible demand / hydrogen</x:v>
      </x:c>
      <x:c r="G27" s="83" t="str">
        <x:v>Electrolyser electricity consumption</x:v>
      </x:c>
      <x:c r="H27" s="83" t="str">
        <x:v>=</x:v>
      </x:c>
      <x:c r="I27" s="197" t="n">
        <x:v>10</x:v>
      </x:c>
      <x:c r="J27" s="83" t="str">
        <x:v>TWh</x:v>
      </x:c>
      <x:c r="K27" s="83" t="str">
        <x:v>Scenario configuration</x:v>
      </x:c>
      <x:c r="L27" s="83" t="str">
        <x:v>S09</x:v>
      </x:c>
      <x:c r="M27" s="83" t="str">
        <x:v>Documento di Descrizione degli Scenari 2024</x:v>
      </x:c>
      <x:c r="N27" s="83" t="n">
        <x:v>70</x:v>
      </x:c>
      <x:c r="O27" s="83" t="str">
        <x:v>60-61 / 68</x:v>
      </x:c>
      <x:c r="P27" s="83" t="str">
        <x:v>Figure 29 / Figure 37</x:v>
      </x:c>
      <x:c r="Q27" s="83" t="str">
        <x:v>Assunzione di scenario</x:v>
      </x:c>
      <x:c r="R27" s="83" t="str">
        <x:v>Direct</x:v>
      </x:c>
      <x:c r="S27" s="83" t="str">
        <x:v>A direct / B derived</x:v>
      </x:c>
      <x:c r="T27" s="83" t="str">
        <x:v>Flexible Load/Link dispatch; at least 3,000 h and low-price activation.</x:v>
      </x:c>
      <x:c r="U27" s="83" t="str">
        <x:v>DDS models electrolysers as loads activated in low or zero price hours.</x:v>
      </x:c>
    </x:row>
    <x:row r="28">
      <x:c r="A28" s="83" t="str">
        <x:v>FL-024</x:v>
      </x:c>
      <x:c r="B28" s="83" t="str">
        <x:v>PNIEC_POLICY_2030</x:v>
      </x:c>
      <x:c r="C28" s="83" t="n">
        <x:v>2030</x:v>
      </x:c>
      <x:c r="D28" s="83" t="str">
        <x:v>PNIEC Policy 2030</x:v>
      </x:c>
      <x:c r="E28" s="83" t="str">
        <x:v>Annual</x:v>
      </x:c>
      <x:c r="F28" s="83" t="str">
        <x:v>Flexible demand / hydrogen</x:v>
      </x:c>
      <x:c r="G28" s="83" t="str">
        <x:v>Implied average operating hours</x:v>
      </x:c>
      <x:c r="H28" s="83" t="str">
        <x:v>=</x:v>
      </x:c>
      <x:c r="I28" s="197" t="n">
        <x:v>3333.3333333333335</x:v>
      </x:c>
      <x:c r="J28" s="83" t="str">
        <x:v>h/year</x:v>
      </x:c>
      <x:c r="K28" s="83" t="str">
        <x:v>Derived</x:v>
      </x:c>
      <x:c r="L28" s="83" t="str">
        <x:v>S09</x:v>
      </x:c>
      <x:c r="M28" s="83" t="str">
        <x:v>Documento di Descrizione degli Scenari 2024</x:v>
      </x:c>
      <x:c r="N28" s="83" t="n">
        <x:v>70</x:v>
      </x:c>
      <x:c r="O28" s="83" t="str">
        <x:v>60-61 / 68</x:v>
      </x:c>
      <x:c r="P28" s="83" t="str">
        <x:v>Figure 29 / Figure 37</x:v>
      </x:c>
      <x:c r="Q28" s="83" t="str">
        <x:v>B — Derived</x:v>
      </x:c>
      <x:c r="R28" s="83" t="str">
        <x:v>TWh × 1000 / GW</x:v>
      </x:c>
      <x:c r="S28" s="83" t="str">
        <x:v>A direct / B derived</x:v>
      </x:c>
      <x:c r="T28" s="83" t="str">
        <x:v>Flexible Load/Link dispatch; at least 3,000 h and low-price activation.</x:v>
      </x:c>
      <x:c r="U28" s="83" t="str">
        <x:v>DDS models electrolysers as loads activated in low or zero price hours.</x:v>
      </x:c>
    </x:row>
    <x:row r="29">
      <x:c r="A29" s="83" t="str">
        <x:v>FL-025</x:v>
      </x:c>
      <x:c r="B29" s="83" t="str">
        <x:v>PNIEC_SLOW_2030</x:v>
      </x:c>
      <x:c r="C29" s="83" t="n">
        <x:v>2030</x:v>
      </x:c>
      <x:c r="D29" s="83" t="str">
        <x:v>PNIEC Slow 2030</x:v>
      </x:c>
      <x:c r="E29" s="83" t="str">
        <x:v>Annual</x:v>
      </x:c>
      <x:c r="F29" s="83" t="str">
        <x:v>Flexible demand / hydrogen</x:v>
      </x:c>
      <x:c r="G29" s="83" t="str">
        <x:v>Electrolyser installed power</x:v>
      </x:c>
      <x:c r="H29" s="83" t="str">
        <x:v>=</x:v>
      </x:c>
      <x:c r="I29" s="197" t="n">
        <x:v>1.8</x:v>
      </x:c>
      <x:c r="J29" s="83" t="str">
        <x:v>GW</x:v>
      </x:c>
      <x:c r="K29" s="83" t="str">
        <x:v>Scenario configuration</x:v>
      </x:c>
      <x:c r="L29" s="83" t="str">
        <x:v>S09</x:v>
      </x:c>
      <x:c r="M29" s="83" t="str">
        <x:v>Documento di Descrizione degli Scenari 2024</x:v>
      </x:c>
      <x:c r="N29" s="83" t="n">
        <x:v>63</x:v>
      </x:c>
      <x:c r="O29" s="83" t="str">
        <x:v>60-61 / 68</x:v>
      </x:c>
      <x:c r="P29" s="83" t="str">
        <x:v>Figure 29 / Figure 37</x:v>
      </x:c>
      <x:c r="Q29" s="83" t="str">
        <x:v>Assunzione di scenario</x:v>
      </x:c>
      <x:c r="R29" s="83" t="str">
        <x:v>Direct</x:v>
      </x:c>
      <x:c r="S29" s="83" t="str">
        <x:v>A direct / B derived</x:v>
      </x:c>
      <x:c r="T29" s="83" t="str">
        <x:v>Flexible Load/Link dispatch; at least 3,000 h and low-price activation.</x:v>
      </x:c>
      <x:c r="U29" s="83" t="str">
        <x:v>DDS models electrolysers as loads activated in low or zero price hours.</x:v>
      </x:c>
    </x:row>
    <x:row r="30">
      <x:c r="A30" s="83" t="str">
        <x:v>FL-026</x:v>
      </x:c>
      <x:c r="B30" s="83" t="str">
        <x:v>PNIEC_SLOW_2030</x:v>
      </x:c>
      <x:c r="C30" s="83" t="n">
        <x:v>2030</x:v>
      </x:c>
      <x:c r="D30" s="83" t="str">
        <x:v>PNIEC Slow 2030</x:v>
      </x:c>
      <x:c r="E30" s="83" t="str">
        <x:v>Annual</x:v>
      </x:c>
      <x:c r="F30" s="83" t="str">
        <x:v>Flexible demand / hydrogen</x:v>
      </x:c>
      <x:c r="G30" s="83" t="str">
        <x:v>Electrolyser electricity consumption</x:v>
      </x:c>
      <x:c r="H30" s="83" t="str">
        <x:v>=</x:v>
      </x:c>
      <x:c r="I30" s="197" t="n">
        <x:v>6</x:v>
      </x:c>
      <x:c r="J30" s="83" t="str">
        <x:v>TWh</x:v>
      </x:c>
      <x:c r="K30" s="83" t="str">
        <x:v>Scenario configuration</x:v>
      </x:c>
      <x:c r="L30" s="83" t="str">
        <x:v>S09</x:v>
      </x:c>
      <x:c r="M30" s="83" t="str">
        <x:v>Documento di Descrizione degli Scenari 2024</x:v>
      </x:c>
      <x:c r="N30" s="83" t="n">
        <x:v>70</x:v>
      </x:c>
      <x:c r="O30" s="83" t="str">
        <x:v>60-61 / 68</x:v>
      </x:c>
      <x:c r="P30" s="83" t="str">
        <x:v>Figure 29 / Figure 37</x:v>
      </x:c>
      <x:c r="Q30" s="83" t="str">
        <x:v>Assunzione di scenario</x:v>
      </x:c>
      <x:c r="R30" s="83" t="str">
        <x:v>Direct</x:v>
      </x:c>
      <x:c r="S30" s="83" t="str">
        <x:v>A direct / B derived</x:v>
      </x:c>
      <x:c r="T30" s="83" t="str">
        <x:v>Flexible Load/Link dispatch; at least 3,000 h and low-price activation.</x:v>
      </x:c>
      <x:c r="U30" s="83" t="str">
        <x:v>DDS models electrolysers as loads activated in low or zero price hours.</x:v>
      </x:c>
    </x:row>
    <x:row r="31">
      <x:c r="A31" s="83" t="str">
        <x:v>FL-027</x:v>
      </x:c>
      <x:c r="B31" s="83" t="str">
        <x:v>PNIEC_SLOW_2030</x:v>
      </x:c>
      <x:c r="C31" s="83" t="n">
        <x:v>2030</x:v>
      </x:c>
      <x:c r="D31" s="83" t="str">
        <x:v>PNIEC Slow 2030</x:v>
      </x:c>
      <x:c r="E31" s="83" t="str">
        <x:v>Annual</x:v>
      </x:c>
      <x:c r="F31" s="83" t="str">
        <x:v>Flexible demand / hydrogen</x:v>
      </x:c>
      <x:c r="G31" s="83" t="str">
        <x:v>Implied average operating hours</x:v>
      </x:c>
      <x:c r="H31" s="83" t="str">
        <x:v>=</x:v>
      </x:c>
      <x:c r="I31" s="197" t="n">
        <x:v>3333.333333333333</x:v>
      </x:c>
      <x:c r="J31" s="83" t="str">
        <x:v>h/year</x:v>
      </x:c>
      <x:c r="K31" s="83" t="str">
        <x:v>Derived</x:v>
      </x:c>
      <x:c r="L31" s="83" t="str">
        <x:v>S09</x:v>
      </x:c>
      <x:c r="M31" s="83" t="str">
        <x:v>Documento di Descrizione degli Scenari 2024</x:v>
      </x:c>
      <x:c r="N31" s="83" t="n">
        <x:v>70</x:v>
      </x:c>
      <x:c r="O31" s="83" t="str">
        <x:v>60-61 / 68</x:v>
      </x:c>
      <x:c r="P31" s="83" t="str">
        <x:v>Figure 29 / Figure 37</x:v>
      </x:c>
      <x:c r="Q31" s="83" t="str">
        <x:v>B — Derived</x:v>
      </x:c>
      <x:c r="R31" s="83" t="str">
        <x:v>TWh × 1000 / GW</x:v>
      </x:c>
      <x:c r="S31" s="83" t="str">
        <x:v>A direct / B derived</x:v>
      </x:c>
      <x:c r="T31" s="83" t="str">
        <x:v>Flexible Load/Link dispatch; at least 3,000 h and low-price activation.</x:v>
      </x:c>
      <x:c r="U31" s="83" t="str">
        <x:v>DDS models electrolysers as loads activated in low or zero price hours.</x:v>
      </x:c>
    </x:row>
    <x:row r="32">
      <x:c r="A32" s="83" t="str">
        <x:v>FL-028</x:v>
      </x:c>
      <x:c r="B32" s="83" t="str">
        <x:v>DE_IT_2035</x:v>
      </x:c>
      <x:c r="C32" s="83" t="n">
        <x:v>2035</x:v>
      </x:c>
      <x:c r="D32" s="83" t="str">
        <x:v>DE-IT 2035</x:v>
      </x:c>
      <x:c r="E32" s="83" t="str">
        <x:v>Annual</x:v>
      </x:c>
      <x:c r="F32" s="83" t="str">
        <x:v>Flexible demand / hydrogen</x:v>
      </x:c>
      <x:c r="G32" s="83" t="str">
        <x:v>Electrolyser installed power</x:v>
      </x:c>
      <x:c r="H32" s="83" t="str">
        <x:v>=</x:v>
      </x:c>
      <x:c r="I32" s="197" t="n">
        <x:v>5.2</x:v>
      </x:c>
      <x:c r="J32" s="83" t="str">
        <x:v>GW</x:v>
      </x:c>
      <x:c r="K32" s="83" t="str">
        <x:v>Scenario configuration</x:v>
      </x:c>
      <x:c r="L32" s="83" t="str">
        <x:v>S09</x:v>
      </x:c>
      <x:c r="M32" s="83" t="str">
        <x:v>Documento di Descrizione degli Scenari 2024</x:v>
      </x:c>
      <x:c r="N32" s="83" t="n">
        <x:v>63</x:v>
      </x:c>
      <x:c r="O32" s="83" t="str">
        <x:v>60-61 / 68</x:v>
      </x:c>
      <x:c r="P32" s="83" t="str">
        <x:v>Figure 29 / Figure 37</x:v>
      </x:c>
      <x:c r="Q32" s="83" t="str">
        <x:v>Assunzione di scenario</x:v>
      </x:c>
      <x:c r="R32" s="83" t="str">
        <x:v>Direct</x:v>
      </x:c>
      <x:c r="S32" s="83" t="str">
        <x:v>A direct / B derived</x:v>
      </x:c>
      <x:c r="T32" s="83" t="str">
        <x:v>Flexible Load/Link dispatch; at least 3,000 h and low-price activation.</x:v>
      </x:c>
      <x:c r="U32" s="83" t="str">
        <x:v>DDS models electrolysers as loads activated in low or zero price hours.</x:v>
      </x:c>
    </x:row>
    <x:row r="33">
      <x:c r="A33" s="83" t="str">
        <x:v>FL-029</x:v>
      </x:c>
      <x:c r="B33" s="83" t="str">
        <x:v>DE_IT_2035</x:v>
      </x:c>
      <x:c r="C33" s="83" t="n">
        <x:v>2035</x:v>
      </x:c>
      <x:c r="D33" s="83" t="str">
        <x:v>DE-IT 2035</x:v>
      </x:c>
      <x:c r="E33" s="83" t="str">
        <x:v>Annual</x:v>
      </x:c>
      <x:c r="F33" s="83" t="str">
        <x:v>Flexible demand / hydrogen</x:v>
      </x:c>
      <x:c r="G33" s="83" t="str">
        <x:v>Electrolyser electricity consumption</x:v>
      </x:c>
      <x:c r="H33" s="83" t="str">
        <x:v>=</x:v>
      </x:c>
      <x:c r="I33" s="197" t="n">
        <x:v>19</x:v>
      </x:c>
      <x:c r="J33" s="83" t="str">
        <x:v>TWh</x:v>
      </x:c>
      <x:c r="K33" s="83" t="str">
        <x:v>Scenario configuration</x:v>
      </x:c>
      <x:c r="L33" s="83" t="str">
        <x:v>S09</x:v>
      </x:c>
      <x:c r="M33" s="83" t="str">
        <x:v>Documento di Descrizione degli Scenari 2024</x:v>
      </x:c>
      <x:c r="N33" s="83" t="n">
        <x:v>70</x:v>
      </x:c>
      <x:c r="O33" s="83" t="str">
        <x:v>60-61 / 68</x:v>
      </x:c>
      <x:c r="P33" s="83" t="str">
        <x:v>Figure 29 / Figure 37</x:v>
      </x:c>
      <x:c r="Q33" s="83" t="str">
        <x:v>Assunzione di scenario</x:v>
      </x:c>
      <x:c r="R33" s="83" t="str">
        <x:v>Direct</x:v>
      </x:c>
      <x:c r="S33" s="83" t="str">
        <x:v>A direct / B derived</x:v>
      </x:c>
      <x:c r="T33" s="83" t="str">
        <x:v>Flexible Load/Link dispatch; at least 3,000 h and low-price activation.</x:v>
      </x:c>
      <x:c r="U33" s="83" t="str">
        <x:v>DDS models electrolysers as loads activated in low or zero price hours.</x:v>
      </x:c>
    </x:row>
    <x:row r="34">
      <x:c r="A34" s="83" t="str">
        <x:v>FL-030</x:v>
      </x:c>
      <x:c r="B34" s="83" t="str">
        <x:v>DE_IT_2035</x:v>
      </x:c>
      <x:c r="C34" s="83" t="n">
        <x:v>2035</x:v>
      </x:c>
      <x:c r="D34" s="83" t="str">
        <x:v>DE-IT 2035</x:v>
      </x:c>
      <x:c r="E34" s="83" t="str">
        <x:v>Annual</x:v>
      </x:c>
      <x:c r="F34" s="83" t="str">
        <x:v>Flexible demand / hydrogen</x:v>
      </x:c>
      <x:c r="G34" s="83" t="str">
        <x:v>Implied average operating hours</x:v>
      </x:c>
      <x:c r="H34" s="83" t="str">
        <x:v>=</x:v>
      </x:c>
      <x:c r="I34" s="197" t="n">
        <x:v>3653.846153846154</x:v>
      </x:c>
      <x:c r="J34" s="83" t="str">
        <x:v>h/year</x:v>
      </x:c>
      <x:c r="K34" s="83" t="str">
        <x:v>Derived</x:v>
      </x:c>
      <x:c r="L34" s="83" t="str">
        <x:v>S09</x:v>
      </x:c>
      <x:c r="M34" s="83" t="str">
        <x:v>Documento di Descrizione degli Scenari 2024</x:v>
      </x:c>
      <x:c r="N34" s="83" t="n">
        <x:v>70</x:v>
      </x:c>
      <x:c r="O34" s="83" t="str">
        <x:v>60-61 / 68</x:v>
      </x:c>
      <x:c r="P34" s="83" t="str">
        <x:v>Figure 29 / Figure 37</x:v>
      </x:c>
      <x:c r="Q34" s="83" t="str">
        <x:v>B — Derived</x:v>
      </x:c>
      <x:c r="R34" s="83" t="str">
        <x:v>TWh × 1000 / GW</x:v>
      </x:c>
      <x:c r="S34" s="83" t="str">
        <x:v>A direct / B derived</x:v>
      </x:c>
      <x:c r="T34" s="83" t="str">
        <x:v>Flexible Load/Link dispatch; at least 3,000 h and low-price activation.</x:v>
      </x:c>
      <x:c r="U34" s="83" t="str">
        <x:v>DDS models electrolysers as loads activated in low or zero price hours.</x:v>
      </x:c>
    </x:row>
    <x:row r="35">
      <x:c r="A35" s="83" t="str">
        <x:v>FL-031</x:v>
      </x:c>
      <x:c r="B35" s="83" t="str">
        <x:v>GA_IT_2035</x:v>
      </x:c>
      <x:c r="C35" s="83" t="n">
        <x:v>2035</x:v>
      </x:c>
      <x:c r="D35" s="83" t="str">
        <x:v>GA-IT 2035</x:v>
      </x:c>
      <x:c r="E35" s="83" t="str">
        <x:v>Annual</x:v>
      </x:c>
      <x:c r="F35" s="83" t="str">
        <x:v>Flexible demand / hydrogen</x:v>
      </x:c>
      <x:c r="G35" s="83" t="str">
        <x:v>Electrolyser installed power</x:v>
      </x:c>
      <x:c r="H35" s="83" t="str">
        <x:v>=</x:v>
      </x:c>
      <x:c r="I35" s="197" t="n">
        <x:v>5.2</x:v>
      </x:c>
      <x:c r="J35" s="83" t="str">
        <x:v>GW</x:v>
      </x:c>
      <x:c r="K35" s="83" t="str">
        <x:v>Scenario configuration</x:v>
      </x:c>
      <x:c r="L35" s="83" t="str">
        <x:v>S09</x:v>
      </x:c>
      <x:c r="M35" s="83" t="str">
        <x:v>Documento di Descrizione degli Scenari 2024</x:v>
      </x:c>
      <x:c r="N35" s="83" t="n">
        <x:v>63</x:v>
      </x:c>
      <x:c r="O35" s="83" t="str">
        <x:v>60-61 / 68</x:v>
      </x:c>
      <x:c r="P35" s="83" t="str">
        <x:v>Figure 29 / Figure 37</x:v>
      </x:c>
      <x:c r="Q35" s="83" t="str">
        <x:v>Assunzione di scenario</x:v>
      </x:c>
      <x:c r="R35" s="83" t="str">
        <x:v>Direct</x:v>
      </x:c>
      <x:c r="S35" s="83" t="str">
        <x:v>A direct / B derived</x:v>
      </x:c>
      <x:c r="T35" s="83" t="str">
        <x:v>Flexible Load/Link dispatch; at least 3,000 h and low-price activation.</x:v>
      </x:c>
      <x:c r="U35" s="83" t="str">
        <x:v>DDS models electrolysers as loads activated in low or zero price hours.</x:v>
      </x:c>
    </x:row>
    <x:row r="36">
      <x:c r="A36" s="83" t="str">
        <x:v>FL-032</x:v>
      </x:c>
      <x:c r="B36" s="83" t="str">
        <x:v>GA_IT_2035</x:v>
      </x:c>
      <x:c r="C36" s="83" t="n">
        <x:v>2035</x:v>
      </x:c>
      <x:c r="D36" s="83" t="str">
        <x:v>GA-IT 2035</x:v>
      </x:c>
      <x:c r="E36" s="83" t="str">
        <x:v>Annual</x:v>
      </x:c>
      <x:c r="F36" s="83" t="str">
        <x:v>Flexible demand / hydrogen</x:v>
      </x:c>
      <x:c r="G36" s="83" t="str">
        <x:v>Electrolyser electricity consumption</x:v>
      </x:c>
      <x:c r="H36" s="83" t="str">
        <x:v>=</x:v>
      </x:c>
      <x:c r="I36" s="197" t="n">
        <x:v>19</x:v>
      </x:c>
      <x:c r="J36" s="83" t="str">
        <x:v>TWh</x:v>
      </x:c>
      <x:c r="K36" s="83" t="str">
        <x:v>Scenario configuration</x:v>
      </x:c>
      <x:c r="L36" s="83" t="str">
        <x:v>S09</x:v>
      </x:c>
      <x:c r="M36" s="83" t="str">
        <x:v>Documento di Descrizione degli Scenari 2024</x:v>
      </x:c>
      <x:c r="N36" s="83" t="n">
        <x:v>70</x:v>
      </x:c>
      <x:c r="O36" s="83" t="str">
        <x:v>60-61 / 68</x:v>
      </x:c>
      <x:c r="P36" s="83" t="str">
        <x:v>Figure 29 / Figure 37</x:v>
      </x:c>
      <x:c r="Q36" s="83" t="str">
        <x:v>Assunzione di scenario</x:v>
      </x:c>
      <x:c r="R36" s="83" t="str">
        <x:v>Direct</x:v>
      </x:c>
      <x:c r="S36" s="83" t="str">
        <x:v>A direct / B derived</x:v>
      </x:c>
      <x:c r="T36" s="83" t="str">
        <x:v>Flexible Load/Link dispatch; at least 3,000 h and low-price activation.</x:v>
      </x:c>
      <x:c r="U36" s="83" t="str">
        <x:v>DDS models electrolysers as loads activated in low or zero price hours.</x:v>
      </x:c>
    </x:row>
    <x:row r="37">
      <x:c r="A37" s="83" t="str">
        <x:v>FL-033</x:v>
      </x:c>
      <x:c r="B37" s="83" t="str">
        <x:v>GA_IT_2035</x:v>
      </x:c>
      <x:c r="C37" s="83" t="n">
        <x:v>2035</x:v>
      </x:c>
      <x:c r="D37" s="83" t="str">
        <x:v>GA-IT 2035</x:v>
      </x:c>
      <x:c r="E37" s="83" t="str">
        <x:v>Annual</x:v>
      </x:c>
      <x:c r="F37" s="83" t="str">
        <x:v>Flexible demand / hydrogen</x:v>
      </x:c>
      <x:c r="G37" s="83" t="str">
        <x:v>Implied average operating hours</x:v>
      </x:c>
      <x:c r="H37" s="83" t="str">
        <x:v>=</x:v>
      </x:c>
      <x:c r="I37" s="197" t="n">
        <x:v>3653.846153846154</x:v>
      </x:c>
      <x:c r="J37" s="83" t="str">
        <x:v>h/year</x:v>
      </x:c>
      <x:c r="K37" s="83" t="str">
        <x:v>Derived</x:v>
      </x:c>
      <x:c r="L37" s="83" t="str">
        <x:v>S09</x:v>
      </x:c>
      <x:c r="M37" s="83" t="str">
        <x:v>Documento di Descrizione degli Scenari 2024</x:v>
      </x:c>
      <x:c r="N37" s="83" t="n">
        <x:v>70</x:v>
      </x:c>
      <x:c r="O37" s="83" t="str">
        <x:v>60-61 / 68</x:v>
      </x:c>
      <x:c r="P37" s="83" t="str">
        <x:v>Figure 29 / Figure 37</x:v>
      </x:c>
      <x:c r="Q37" s="83" t="str">
        <x:v>B — Derived</x:v>
      </x:c>
      <x:c r="R37" s="83" t="str">
        <x:v>TWh × 1000 / GW</x:v>
      </x:c>
      <x:c r="S37" s="83" t="str">
        <x:v>A direct / B derived</x:v>
      </x:c>
      <x:c r="T37" s="83" t="str">
        <x:v>Flexible Load/Link dispatch; at least 3,000 h and low-price activation.</x:v>
      </x:c>
      <x:c r="U37" s="83" t="str">
        <x:v>DDS models electrolysers as loads activated in low or zero price hours.</x:v>
      </x:c>
    </x:row>
    <x:row r="38">
      <x:c r="A38" s="83" t="str">
        <x:v>FL-034</x:v>
      </x:c>
      <x:c r="B38" s="83" t="str">
        <x:v>PNIEC_SLOW_2035</x:v>
      </x:c>
      <x:c r="C38" s="83" t="n">
        <x:v>2035</x:v>
      </x:c>
      <x:c r="D38" s="83" t="str">
        <x:v>PNIEC Slow 2035</x:v>
      </x:c>
      <x:c r="E38" s="83" t="str">
        <x:v>Annual</x:v>
      </x:c>
      <x:c r="F38" s="83" t="str">
        <x:v>Flexible demand / hydrogen</x:v>
      </x:c>
      <x:c r="G38" s="83" t="str">
        <x:v>Electrolyser installed power</x:v>
      </x:c>
      <x:c r="H38" s="83" t="str">
        <x:v>=</x:v>
      </x:c>
      <x:c r="I38" s="197" t="n">
        <x:v>3.5</x:v>
      </x:c>
      <x:c r="J38" s="83" t="str">
        <x:v>GW</x:v>
      </x:c>
      <x:c r="K38" s="83" t="str">
        <x:v>Scenario configuration</x:v>
      </x:c>
      <x:c r="L38" s="83" t="str">
        <x:v>S09</x:v>
      </x:c>
      <x:c r="M38" s="83" t="str">
        <x:v>Documento di Descrizione degli Scenari 2024</x:v>
      </x:c>
      <x:c r="N38" s="83" t="n">
        <x:v>63</x:v>
      </x:c>
      <x:c r="O38" s="83" t="str">
        <x:v>60-61 / 68</x:v>
      </x:c>
      <x:c r="P38" s="83" t="str">
        <x:v>Figure 29 / Figure 37</x:v>
      </x:c>
      <x:c r="Q38" s="83" t="str">
        <x:v>Assunzione di scenario</x:v>
      </x:c>
      <x:c r="R38" s="83" t="str">
        <x:v>Direct</x:v>
      </x:c>
      <x:c r="S38" s="83" t="str">
        <x:v>A direct / B derived</x:v>
      </x:c>
      <x:c r="T38" s="83" t="str">
        <x:v>Flexible Load/Link dispatch; at least 3,000 h and low-price activation.</x:v>
      </x:c>
      <x:c r="U38" s="83" t="str">
        <x:v>DDS models electrolysers as loads activated in low or zero price hours.</x:v>
      </x:c>
    </x:row>
    <x:row r="39">
      <x:c r="A39" s="83" t="str">
        <x:v>FL-035</x:v>
      </x:c>
      <x:c r="B39" s="83" t="str">
        <x:v>PNIEC_SLOW_2035</x:v>
      </x:c>
      <x:c r="C39" s="83" t="n">
        <x:v>2035</x:v>
      </x:c>
      <x:c r="D39" s="83" t="str">
        <x:v>PNIEC Slow 2035</x:v>
      </x:c>
      <x:c r="E39" s="83" t="str">
        <x:v>Annual</x:v>
      </x:c>
      <x:c r="F39" s="83" t="str">
        <x:v>Flexible demand / hydrogen</x:v>
      </x:c>
      <x:c r="G39" s="83" t="str">
        <x:v>Electrolyser electricity consumption</x:v>
      </x:c>
      <x:c r="H39" s="83" t="str">
        <x:v>=</x:v>
      </x:c>
      <x:c r="I39" s="197" t="n">
        <x:v>13</x:v>
      </x:c>
      <x:c r="J39" s="83" t="str">
        <x:v>TWh</x:v>
      </x:c>
      <x:c r="K39" s="83" t="str">
        <x:v>Scenario configuration</x:v>
      </x:c>
      <x:c r="L39" s="83" t="str">
        <x:v>S09</x:v>
      </x:c>
      <x:c r="M39" s="83" t="str">
        <x:v>Documento di Descrizione degli Scenari 2024</x:v>
      </x:c>
      <x:c r="N39" s="83" t="n">
        <x:v>70</x:v>
      </x:c>
      <x:c r="O39" s="83" t="str">
        <x:v>60-61 / 68</x:v>
      </x:c>
      <x:c r="P39" s="83" t="str">
        <x:v>Figure 29 / Figure 37</x:v>
      </x:c>
      <x:c r="Q39" s="83" t="str">
        <x:v>Assunzione di scenario</x:v>
      </x:c>
      <x:c r="R39" s="83" t="str">
        <x:v>Direct</x:v>
      </x:c>
      <x:c r="S39" s="83" t="str">
        <x:v>A direct / B derived</x:v>
      </x:c>
      <x:c r="T39" s="83" t="str">
        <x:v>Flexible Load/Link dispatch; at least 3,000 h and low-price activation.</x:v>
      </x:c>
      <x:c r="U39" s="83" t="str">
        <x:v>DDS models electrolysers as loads activated in low or zero price hours.</x:v>
      </x:c>
    </x:row>
    <x:row r="40">
      <x:c r="A40" s="83" t="str">
        <x:v>FL-036</x:v>
      </x:c>
      <x:c r="B40" s="83" t="str">
        <x:v>PNIEC_SLOW_2035</x:v>
      </x:c>
      <x:c r="C40" s="83" t="n">
        <x:v>2035</x:v>
      </x:c>
      <x:c r="D40" s="83" t="str">
        <x:v>PNIEC Slow 2035</x:v>
      </x:c>
      <x:c r="E40" s="83" t="str">
        <x:v>Annual</x:v>
      </x:c>
      <x:c r="F40" s="83" t="str">
        <x:v>Flexible demand / hydrogen</x:v>
      </x:c>
      <x:c r="G40" s="83" t="str">
        <x:v>Implied average operating hours</x:v>
      </x:c>
      <x:c r="H40" s="83" t="str">
        <x:v>=</x:v>
      </x:c>
      <x:c r="I40" s="197" t="n">
        <x:v>3714.285714285714</x:v>
      </x:c>
      <x:c r="J40" s="83" t="str">
        <x:v>h/year</x:v>
      </x:c>
      <x:c r="K40" s="83" t="str">
        <x:v>Derived</x:v>
      </x:c>
      <x:c r="L40" s="83" t="str">
        <x:v>S09</x:v>
      </x:c>
      <x:c r="M40" s="83" t="str">
        <x:v>Documento di Descrizione degli Scenari 2024</x:v>
      </x:c>
      <x:c r="N40" s="83" t="n">
        <x:v>70</x:v>
      </x:c>
      <x:c r="O40" s="83" t="str">
        <x:v>60-61 / 68</x:v>
      </x:c>
      <x:c r="P40" s="83" t="str">
        <x:v>Figure 29 / Figure 37</x:v>
      </x:c>
      <x:c r="Q40" s="83" t="str">
        <x:v>B — Derived</x:v>
      </x:c>
      <x:c r="R40" s="83" t="str">
        <x:v>TWh × 1000 / GW</x:v>
      </x:c>
      <x:c r="S40" s="83" t="str">
        <x:v>A direct / B derived</x:v>
      </x:c>
      <x:c r="T40" s="83" t="str">
        <x:v>Flexible Load/Link dispatch; at least 3,000 h and low-price activation.</x:v>
      </x:c>
      <x:c r="U40" s="83" t="str">
        <x:v>DDS models electrolysers as loads activated in low or zero price hours.</x:v>
      </x:c>
    </x:row>
    <x:row r="41">
      <x:c r="A41" s="83" t="str">
        <x:v>FL-037</x:v>
      </x:c>
      <x:c r="B41" s="83" t="str">
        <x:v>DE_IT_2040</x:v>
      </x:c>
      <x:c r="C41" s="83" t="n">
        <x:v>2040</x:v>
      </x:c>
      <x:c r="D41" s="83" t="str">
        <x:v>DE-IT 2040</x:v>
      </x:c>
      <x:c r="E41" s="83" t="str">
        <x:v>Annual</x:v>
      </x:c>
      <x:c r="F41" s="83" t="str">
        <x:v>Flexible demand / hydrogen</x:v>
      </x:c>
      <x:c r="G41" s="83" t="str">
        <x:v>Electrolyser installed power</x:v>
      </x:c>
      <x:c r="H41" s="83" t="str">
        <x:v>=</x:v>
      </x:c>
      <x:c r="I41" s="197" t="n">
        <x:v>7.4</x:v>
      </x:c>
      <x:c r="J41" s="83" t="str">
        <x:v>GW</x:v>
      </x:c>
      <x:c r="K41" s="83" t="str">
        <x:v>Scenario configuration</x:v>
      </x:c>
      <x:c r="L41" s="83" t="str">
        <x:v>S09</x:v>
      </x:c>
      <x:c r="M41" s="83" t="str">
        <x:v>Documento di Descrizione degli Scenari 2024</x:v>
      </x:c>
      <x:c r="N41" s="83" t="n">
        <x:v>63</x:v>
      </x:c>
      <x:c r="O41" s="83" t="str">
        <x:v>60-61 / 68</x:v>
      </x:c>
      <x:c r="P41" s="83" t="str">
        <x:v>Figure 29 / Figure 37</x:v>
      </x:c>
      <x:c r="Q41" s="83" t="str">
        <x:v>Assunzione di scenario</x:v>
      </x:c>
      <x:c r="R41" s="83" t="str">
        <x:v>Direct</x:v>
      </x:c>
      <x:c r="S41" s="83" t="str">
        <x:v>A direct / B derived</x:v>
      </x:c>
      <x:c r="T41" s="83" t="str">
        <x:v>Flexible Load/Link dispatch; at least 3,000 h and low-price activation.</x:v>
      </x:c>
      <x:c r="U41" s="83" t="str">
        <x:v>DDS models electrolysers as loads activated in low or zero price hours.</x:v>
      </x:c>
    </x:row>
    <x:row r="42">
      <x:c r="A42" s="83" t="str">
        <x:v>FL-038</x:v>
      </x:c>
      <x:c r="B42" s="83" t="str">
        <x:v>DE_IT_2040</x:v>
      </x:c>
      <x:c r="C42" s="83" t="n">
        <x:v>2040</x:v>
      </x:c>
      <x:c r="D42" s="83" t="str">
        <x:v>DE-IT 2040</x:v>
      </x:c>
      <x:c r="E42" s="83" t="str">
        <x:v>Annual</x:v>
      </x:c>
      <x:c r="F42" s="83" t="str">
        <x:v>Flexible demand / hydrogen</x:v>
      </x:c>
      <x:c r="G42" s="83" t="str">
        <x:v>Electrolyser electricity consumption</x:v>
      </x:c>
      <x:c r="H42" s="83" t="str">
        <x:v>=</x:v>
      </x:c>
      <x:c r="I42" s="197" t="n">
        <x:v>27.5</x:v>
      </x:c>
      <x:c r="J42" s="83" t="str">
        <x:v>TWh</x:v>
      </x:c>
      <x:c r="K42" s="83" t="str">
        <x:v>Scenario configuration</x:v>
      </x:c>
      <x:c r="L42" s="83" t="str">
        <x:v>S09</x:v>
      </x:c>
      <x:c r="M42" s="83" t="str">
        <x:v>Documento di Descrizione degli Scenari 2024</x:v>
      </x:c>
      <x:c r="N42" s="83" t="n">
        <x:v>70</x:v>
      </x:c>
      <x:c r="O42" s="83" t="str">
        <x:v>60-61 / 68</x:v>
      </x:c>
      <x:c r="P42" s="83" t="str">
        <x:v>Figure 29 / Figure 37</x:v>
      </x:c>
      <x:c r="Q42" s="83" t="str">
        <x:v>Assunzione di scenario</x:v>
      </x:c>
      <x:c r="R42" s="83" t="str">
        <x:v>Direct</x:v>
      </x:c>
      <x:c r="S42" s="83" t="str">
        <x:v>A direct / B derived</x:v>
      </x:c>
      <x:c r="T42" s="83" t="str">
        <x:v>Flexible Load/Link dispatch; at least 3,000 h and low-price activation.</x:v>
      </x:c>
      <x:c r="U42" s="83" t="str">
        <x:v>DDS models electrolysers as loads activated in low or zero price hours.</x:v>
      </x:c>
    </x:row>
    <x:row r="43">
      <x:c r="A43" s="83" t="str">
        <x:v>FL-039</x:v>
      </x:c>
      <x:c r="B43" s="83" t="str">
        <x:v>DE_IT_2040</x:v>
      </x:c>
      <x:c r="C43" s="83" t="n">
        <x:v>2040</x:v>
      </x:c>
      <x:c r="D43" s="83" t="str">
        <x:v>DE-IT 2040</x:v>
      </x:c>
      <x:c r="E43" s="83" t="str">
        <x:v>Annual</x:v>
      </x:c>
      <x:c r="F43" s="83" t="str">
        <x:v>Flexible demand / hydrogen</x:v>
      </x:c>
      <x:c r="G43" s="83" t="str">
        <x:v>Implied average operating hours</x:v>
      </x:c>
      <x:c r="H43" s="83" t="str">
        <x:v>=</x:v>
      </x:c>
      <x:c r="I43" s="197" t="n">
        <x:v>3716.2162162162163</x:v>
      </x:c>
      <x:c r="J43" s="83" t="str">
        <x:v>h/year</x:v>
      </x:c>
      <x:c r="K43" s="83" t="str">
        <x:v>Derived</x:v>
      </x:c>
      <x:c r="L43" s="83" t="str">
        <x:v>S09</x:v>
      </x:c>
      <x:c r="M43" s="83" t="str">
        <x:v>Documento di Descrizione degli Scenari 2024</x:v>
      </x:c>
      <x:c r="N43" s="83" t="n">
        <x:v>70</x:v>
      </x:c>
      <x:c r="O43" s="83" t="str">
        <x:v>60-61 / 68</x:v>
      </x:c>
      <x:c r="P43" s="83" t="str">
        <x:v>Figure 29 / Figure 37</x:v>
      </x:c>
      <x:c r="Q43" s="83" t="str">
        <x:v>B — Derived</x:v>
      </x:c>
      <x:c r="R43" s="83" t="str">
        <x:v>TWh × 1000 / GW</x:v>
      </x:c>
      <x:c r="S43" s="83" t="str">
        <x:v>A direct / B derived</x:v>
      </x:c>
      <x:c r="T43" s="83" t="str">
        <x:v>Flexible Load/Link dispatch; at least 3,000 h and low-price activation.</x:v>
      </x:c>
      <x:c r="U43" s="83" t="str">
        <x:v>DDS models electrolysers as loads activated in low or zero price hours.</x:v>
      </x:c>
    </x:row>
    <x:row r="44">
      <x:c r="A44" s="83" t="str">
        <x:v>FL-040</x:v>
      </x:c>
      <x:c r="B44" s="83" t="str">
        <x:v>GA_IT_2040</x:v>
      </x:c>
      <x:c r="C44" s="83" t="n">
        <x:v>2040</x:v>
      </x:c>
      <x:c r="D44" s="83" t="str">
        <x:v>GA-IT 2040</x:v>
      </x:c>
      <x:c r="E44" s="83" t="str">
        <x:v>Annual</x:v>
      </x:c>
      <x:c r="F44" s="83" t="str">
        <x:v>Flexible demand / hydrogen</x:v>
      </x:c>
      <x:c r="G44" s="83" t="str">
        <x:v>Electrolyser installed power</x:v>
      </x:c>
      <x:c r="H44" s="83" t="str">
        <x:v>=</x:v>
      </x:c>
      <x:c r="I44" s="197" t="n">
        <x:v>7.4</x:v>
      </x:c>
      <x:c r="J44" s="83" t="str">
        <x:v>GW</x:v>
      </x:c>
      <x:c r="K44" s="83" t="str">
        <x:v>Scenario configuration</x:v>
      </x:c>
      <x:c r="L44" s="83" t="str">
        <x:v>S09</x:v>
      </x:c>
      <x:c r="M44" s="83" t="str">
        <x:v>Documento di Descrizione degli Scenari 2024</x:v>
      </x:c>
      <x:c r="N44" s="83" t="n">
        <x:v>63</x:v>
      </x:c>
      <x:c r="O44" s="83" t="str">
        <x:v>60-61 / 68</x:v>
      </x:c>
      <x:c r="P44" s="83" t="str">
        <x:v>Figure 29 / Figure 37</x:v>
      </x:c>
      <x:c r="Q44" s="83" t="str">
        <x:v>Assunzione di scenario</x:v>
      </x:c>
      <x:c r="R44" s="83" t="str">
        <x:v>Direct</x:v>
      </x:c>
      <x:c r="S44" s="83" t="str">
        <x:v>A direct / B derived</x:v>
      </x:c>
      <x:c r="T44" s="83" t="str">
        <x:v>Flexible Load/Link dispatch; at least 3,000 h and low-price activation.</x:v>
      </x:c>
      <x:c r="U44" s="83" t="str">
        <x:v>DDS models electrolysers as loads activated in low or zero price hours.</x:v>
      </x:c>
    </x:row>
    <x:row r="45">
      <x:c r="A45" s="83" t="str">
        <x:v>FL-041</x:v>
      </x:c>
      <x:c r="B45" s="83" t="str">
        <x:v>GA_IT_2040</x:v>
      </x:c>
      <x:c r="C45" s="83" t="n">
        <x:v>2040</x:v>
      </x:c>
      <x:c r="D45" s="83" t="str">
        <x:v>GA-IT 2040</x:v>
      </x:c>
      <x:c r="E45" s="83" t="str">
        <x:v>Annual</x:v>
      </x:c>
      <x:c r="F45" s="83" t="str">
        <x:v>Flexible demand / hydrogen</x:v>
      </x:c>
      <x:c r="G45" s="83" t="str">
        <x:v>Electrolyser electricity consumption</x:v>
      </x:c>
      <x:c r="H45" s="83" t="str">
        <x:v>=</x:v>
      </x:c>
      <x:c r="I45" s="197" t="n">
        <x:v>27.5</x:v>
      </x:c>
      <x:c r="J45" s="83" t="str">
        <x:v>TWh</x:v>
      </x:c>
      <x:c r="K45" s="83" t="str">
        <x:v>Scenario configuration</x:v>
      </x:c>
      <x:c r="L45" s="83" t="str">
        <x:v>S09</x:v>
      </x:c>
      <x:c r="M45" s="83" t="str">
        <x:v>Documento di Descrizione degli Scenari 2024</x:v>
      </x:c>
      <x:c r="N45" s="83" t="n">
        <x:v>70</x:v>
      </x:c>
      <x:c r="O45" s="83" t="str">
        <x:v>60-61 / 68</x:v>
      </x:c>
      <x:c r="P45" s="83" t="str">
        <x:v>Figure 29 / Figure 37</x:v>
      </x:c>
      <x:c r="Q45" s="83" t="str">
        <x:v>Assunzione di scenario</x:v>
      </x:c>
      <x:c r="R45" s="83" t="str">
        <x:v>Direct</x:v>
      </x:c>
      <x:c r="S45" s="83" t="str">
        <x:v>A direct / B derived</x:v>
      </x:c>
      <x:c r="T45" s="83" t="str">
        <x:v>Flexible Load/Link dispatch; at least 3,000 h and low-price activation.</x:v>
      </x:c>
      <x:c r="U45" s="83" t="str">
        <x:v>DDS models electrolysers as loads activated in low or zero price hours.</x:v>
      </x:c>
    </x:row>
    <x:row r="46">
      <x:c r="A46" s="83" t="str">
        <x:v>FL-042</x:v>
      </x:c>
      <x:c r="B46" s="83" t="str">
        <x:v>GA_IT_2040</x:v>
      </x:c>
      <x:c r="C46" s="83" t="n">
        <x:v>2040</x:v>
      </x:c>
      <x:c r="D46" s="83" t="str">
        <x:v>GA-IT 2040</x:v>
      </x:c>
      <x:c r="E46" s="83" t="str">
        <x:v>Annual</x:v>
      </x:c>
      <x:c r="F46" s="83" t="str">
        <x:v>Flexible demand / hydrogen</x:v>
      </x:c>
      <x:c r="G46" s="83" t="str">
        <x:v>Implied average operating hours</x:v>
      </x:c>
      <x:c r="H46" s="83" t="str">
        <x:v>=</x:v>
      </x:c>
      <x:c r="I46" s="197" t="n">
        <x:v>3716.2162162162163</x:v>
      </x:c>
      <x:c r="J46" s="83" t="str">
        <x:v>h/year</x:v>
      </x:c>
      <x:c r="K46" s="83" t="str">
        <x:v>Derived</x:v>
      </x:c>
      <x:c r="L46" s="83" t="str">
        <x:v>S09</x:v>
      </x:c>
      <x:c r="M46" s="83" t="str">
        <x:v>Documento di Descrizione degli Scenari 2024</x:v>
      </x:c>
      <x:c r="N46" s="83" t="n">
        <x:v>70</x:v>
      </x:c>
      <x:c r="O46" s="83" t="str">
        <x:v>60-61 / 68</x:v>
      </x:c>
      <x:c r="P46" s="83" t="str">
        <x:v>Figure 29 / Figure 37</x:v>
      </x:c>
      <x:c r="Q46" s="83" t="str">
        <x:v>B — Derived</x:v>
      </x:c>
      <x:c r="R46" s="83" t="str">
        <x:v>TWh × 1000 / GW</x:v>
      </x:c>
      <x:c r="S46" s="83" t="str">
        <x:v>A direct / B derived</x:v>
      </x:c>
      <x:c r="T46" s="83" t="str">
        <x:v>Flexible Load/Link dispatch; at least 3,000 h and low-price activation.</x:v>
      </x:c>
      <x:c r="U46" s="83" t="str">
        <x:v>DDS models electrolysers as loads activated in low or zero price hours.</x:v>
      </x:c>
    </x:row>
    <x:row r="47">
      <x:c r="A47" s="83" t="str">
        <x:v>FL-043</x:v>
      </x:c>
      <x:c r="B47" s="83" t="str">
        <x:v>PNIEC_SLOW_2040</x:v>
      </x:c>
      <x:c r="C47" s="83" t="n">
        <x:v>2040</x:v>
      </x:c>
      <x:c r="D47" s="83" t="str">
        <x:v>PNIEC Slow 2040</x:v>
      </x:c>
      <x:c r="E47" s="83" t="str">
        <x:v>Annual</x:v>
      </x:c>
      <x:c r="F47" s="83" t="str">
        <x:v>Flexible demand / hydrogen</x:v>
      </x:c>
      <x:c r="G47" s="83" t="str">
        <x:v>Electrolyser installed power</x:v>
      </x:c>
      <x:c r="H47" s="83" t="str">
        <x:v>=</x:v>
      </x:c>
      <x:c r="I47" s="197" t="n">
        <x:v>5.3</x:v>
      </x:c>
      <x:c r="J47" s="83" t="str">
        <x:v>GW</x:v>
      </x:c>
      <x:c r="K47" s="83" t="str">
        <x:v>Scenario configuration</x:v>
      </x:c>
      <x:c r="L47" s="83" t="str">
        <x:v>S09</x:v>
      </x:c>
      <x:c r="M47" s="83" t="str">
        <x:v>Documento di Descrizione degli Scenari 2024</x:v>
      </x:c>
      <x:c r="N47" s="83" t="n">
        <x:v>63</x:v>
      </x:c>
      <x:c r="O47" s="83" t="str">
        <x:v>60-61 / 68</x:v>
      </x:c>
      <x:c r="P47" s="83" t="str">
        <x:v>Figure 29 / Figure 37</x:v>
      </x:c>
      <x:c r="Q47" s="83" t="str">
        <x:v>Assunzione di scenario</x:v>
      </x:c>
      <x:c r="R47" s="83" t="str">
        <x:v>Direct</x:v>
      </x:c>
      <x:c r="S47" s="83" t="str">
        <x:v>A direct / B derived</x:v>
      </x:c>
      <x:c r="T47" s="83" t="str">
        <x:v>Flexible Load/Link dispatch; at least 3,000 h and low-price activation.</x:v>
      </x:c>
      <x:c r="U47" s="83" t="str">
        <x:v>DDS models electrolysers as loads activated in low or zero price hours.</x:v>
      </x:c>
    </x:row>
    <x:row r="48">
      <x:c r="A48" s="83" t="str">
        <x:v>FL-044</x:v>
      </x:c>
      <x:c r="B48" s="83" t="str">
        <x:v>PNIEC_SLOW_2040</x:v>
      </x:c>
      <x:c r="C48" s="83" t="n">
        <x:v>2040</x:v>
      </x:c>
      <x:c r="D48" s="83" t="str">
        <x:v>PNIEC Slow 2040</x:v>
      </x:c>
      <x:c r="E48" s="83" t="str">
        <x:v>Annual</x:v>
      </x:c>
      <x:c r="F48" s="83" t="str">
        <x:v>Flexible demand / hydrogen</x:v>
      </x:c>
      <x:c r="G48" s="83" t="str">
        <x:v>Electrolyser electricity consumption</x:v>
      </x:c>
      <x:c r="H48" s="83" t="str">
        <x:v>=</x:v>
      </x:c>
      <x:c r="I48" s="197" t="n">
        <x:v>19.8</x:v>
      </x:c>
      <x:c r="J48" s="83" t="str">
        <x:v>TWh</x:v>
      </x:c>
      <x:c r="K48" s="83" t="str">
        <x:v>Scenario configuration</x:v>
      </x:c>
      <x:c r="L48" s="83" t="str">
        <x:v>S09</x:v>
      </x:c>
      <x:c r="M48" s="83" t="str">
        <x:v>Documento di Descrizione degli Scenari 2024</x:v>
      </x:c>
      <x:c r="N48" s="83" t="n">
        <x:v>70</x:v>
      </x:c>
      <x:c r="O48" s="83" t="str">
        <x:v>60-61 / 68</x:v>
      </x:c>
      <x:c r="P48" s="83" t="str">
        <x:v>Figure 29 / Figure 37</x:v>
      </x:c>
      <x:c r="Q48" s="83" t="str">
        <x:v>Assunzione di scenario</x:v>
      </x:c>
      <x:c r="R48" s="83" t="str">
        <x:v>Direct</x:v>
      </x:c>
      <x:c r="S48" s="83" t="str">
        <x:v>A direct / B derived</x:v>
      </x:c>
      <x:c r="T48" s="83" t="str">
        <x:v>Flexible Load/Link dispatch; at least 3,000 h and low-price activation.</x:v>
      </x:c>
      <x:c r="U48" s="83" t="str">
        <x:v>DDS models electrolysers as loads activated in low or zero price hours.</x:v>
      </x:c>
    </x:row>
    <x:row r="49">
      <x:c r="A49" s="83" t="str">
        <x:v>FL-045</x:v>
      </x:c>
      <x:c r="B49" s="83" t="str">
        <x:v>PNIEC_SLOW_2040</x:v>
      </x:c>
      <x:c r="C49" s="83" t="n">
        <x:v>2040</x:v>
      </x:c>
      <x:c r="D49" s="83" t="str">
        <x:v>PNIEC Slow 2040</x:v>
      </x:c>
      <x:c r="E49" s="83" t="str">
        <x:v>Annual</x:v>
      </x:c>
      <x:c r="F49" s="83" t="str">
        <x:v>Flexible demand / hydrogen</x:v>
      </x:c>
      <x:c r="G49" s="83" t="str">
        <x:v>Implied average operating hours</x:v>
      </x:c>
      <x:c r="H49" s="83" t="str">
        <x:v>=</x:v>
      </x:c>
      <x:c r="I49" s="197" t="n">
        <x:v>3735.8490566037735</x:v>
      </x:c>
      <x:c r="J49" s="83" t="str">
        <x:v>h/year</x:v>
      </x:c>
      <x:c r="K49" s="83" t="str">
        <x:v>Derived</x:v>
      </x:c>
      <x:c r="L49" s="83" t="str">
        <x:v>S09</x:v>
      </x:c>
      <x:c r="M49" s="83" t="str">
        <x:v>Documento di Descrizione degli Scenari 2024</x:v>
      </x:c>
      <x:c r="N49" s="83" t="n">
        <x:v>70</x:v>
      </x:c>
      <x:c r="O49" s="83" t="str">
        <x:v>60-61 / 68</x:v>
      </x:c>
      <x:c r="P49" s="83" t="str">
        <x:v>Figure 29 / Figure 37</x:v>
      </x:c>
      <x:c r="Q49" s="83" t="str">
        <x:v>B — Derived</x:v>
      </x:c>
      <x:c r="R49" s="83" t="str">
        <x:v>TWh × 1000 / GW</x:v>
      </x:c>
      <x:c r="S49" s="83" t="str">
        <x:v>A direct / B derived</x:v>
      </x:c>
      <x:c r="T49" s="83" t="str">
        <x:v>Flexible Load/Link dispatch; at least 3,000 h and low-price activation.</x:v>
      </x:c>
      <x:c r="U49" s="83" t="str">
        <x:v>DDS models electrolysers as loads activated in low or zero price hours.</x:v>
      </x:c>
    </x:row>
    <x:row r="50">
      <x:c r="A50" s="83" t="str">
        <x:v>FL-046</x:v>
      </x:c>
      <x:c r="B50" s="83" t="str">
        <x:v>GA_IT_2040</x:v>
      </x:c>
      <x:c r="C50" s="83" t="n">
        <x:v>2040</x:v>
      </x:c>
      <x:c r="D50" s="83" t="str">
        <x:v>GA-IT 2040 — Base</x:v>
      </x:c>
      <x:c r="E50" s="83" t="str">
        <x:v>Annual</x:v>
      </x:c>
      <x:c r="F50" s="83" t="str">
        <x:v>Electrolyser sensitivity</x:v>
      </x:c>
      <x:c r="G50" s="83" t="str">
        <x:v>Electrolyser installed power sensitivity</x:v>
      </x:c>
      <x:c r="H50" s="83" t="str">
        <x:v>=</x:v>
      </x:c>
      <x:c r="I50" s="197" t="n">
        <x:v>7.4</x:v>
      </x:c>
      <x:c r="J50" s="83" t="str">
        <x:v>GW</x:v>
      </x:c>
      <x:c r="K50" s="83" t="str">
        <x:v>Source sensitivity result</x:v>
      </x:c>
      <x:c r="L50" s="83" t="str">
        <x:v>S09</x:v>
      </x:c>
      <x:c r="M50" s="83" t="str">
        <x:v>Documento di Descrizione degli Scenari 2024</x:v>
      </x:c>
      <x:c r="N50" s="83" t="n">
        <x:v>71</x:v>
      </x:c>
      <x:c r="O50" s="83" t="n">
        <x:v>69</x:v>
      </x:c>
      <x:c r="P50" s="83" t="str">
        <x:v>Table 20</x:v>
      </x:c>
      <x:c r="Q50" s="83" t="str">
        <x:v>Risultato di modello della fonte</x:v>
      </x:c>
      <x:c r="R50" s="83" t="str">
        <x:v>Direct</x:v>
      </x:c>
      <x:c r="S50" s="83" t="str">
        <x:v>A — Direct</x:v>
      </x:c>
      <x:c r="T50" s="83" t="str">
        <x:v>Sensitivity / validation; do not substitute baseline automatically.</x:v>
      </x:c>
      <x:c r="U50" s="83" t="str">
        <x:v>More than 35 GW additional electrolysers would be required to absorb all residual curtailment if used alone.</x:v>
      </x:c>
    </x:row>
    <x:row r="51">
      <x:c r="A51" s="83" t="str">
        <x:v>FL-047</x:v>
      </x:c>
      <x:c r="B51" s="83" t="str">
        <x:v>GA_IT_2040</x:v>
      </x:c>
      <x:c r="C51" s="83" t="n">
        <x:v>2040</x:v>
      </x:c>
      <x:c r="D51" s="83" t="str">
        <x:v>GA-IT 2040 — Base</x:v>
      </x:c>
      <x:c r="E51" s="83" t="str">
        <x:v>Annual</x:v>
      </x:c>
      <x:c r="F51" s="83" t="str">
        <x:v>Electrolyser sensitivity</x:v>
      </x:c>
      <x:c r="G51" s="83" t="str">
        <x:v>Residual curtailment</x:v>
      </x:c>
      <x:c r="H51" s="83" t="str">
        <x:v>=</x:v>
      </x:c>
      <x:c r="I51" s="197" t="n">
        <x:v>10</x:v>
      </x:c>
      <x:c r="J51" s="83" t="str">
        <x:v>TWh</x:v>
      </x:c>
      <x:c r="K51" s="83" t="str">
        <x:v>Source sensitivity result</x:v>
      </x:c>
      <x:c r="L51" s="83" t="str">
        <x:v>S09</x:v>
      </x:c>
      <x:c r="M51" s="83" t="str">
        <x:v>Documento di Descrizione degli Scenari 2024</x:v>
      </x:c>
      <x:c r="N51" s="83" t="n">
        <x:v>71</x:v>
      </x:c>
      <x:c r="O51" s="83" t="n">
        <x:v>69</x:v>
      </x:c>
      <x:c r="P51" s="83" t="str">
        <x:v>Table 20</x:v>
      </x:c>
      <x:c r="Q51" s="83" t="str">
        <x:v>Risultato di modello della fonte</x:v>
      </x:c>
      <x:c r="R51" s="83" t="str">
        <x:v>Direct</x:v>
      </x:c>
      <x:c r="S51" s="83" t="str">
        <x:v>A — Direct</x:v>
      </x:c>
      <x:c r="T51" s="83" t="str">
        <x:v>Sensitivity / validation; do not substitute baseline automatically.</x:v>
      </x:c>
      <x:c r="U51" s="83" t="str">
        <x:v>More than 35 GW additional electrolysers would be required to absorb all residual curtailment if used alone.</x:v>
      </x:c>
    </x:row>
    <x:row r="52">
      <x:c r="A52" s="83" t="str">
        <x:v>FL-048</x:v>
      </x:c>
      <x:c r="B52" s="83" t="str">
        <x:v>GA_IT_2040</x:v>
      </x:c>
      <x:c r="C52" s="83" t="n">
        <x:v>2040</x:v>
      </x:c>
      <x:c r="D52" s="83" t="str">
        <x:v>GA-IT 2040 — Base</x:v>
      </x:c>
      <x:c r="E52" s="83" t="str">
        <x:v>Annual</x:v>
      </x:c>
      <x:c r="F52" s="83" t="str">
        <x:v>Electrolyser sensitivity</x:v>
      </x:c>
      <x:c r="G52" s="83" t="str">
        <x:v>Total operating hours</x:v>
      </x:c>
      <x:c r="H52" s="83" t="str">
        <x:v>=</x:v>
      </x:c>
      <x:c r="I52" s="197" t="n">
        <x:v>3716</x:v>
      </x:c>
      <x:c r="J52" s="83" t="str">
        <x:v>h/year</x:v>
      </x:c>
      <x:c r="K52" s="83" t="str">
        <x:v>Source sensitivity result</x:v>
      </x:c>
      <x:c r="L52" s="83" t="str">
        <x:v>S09</x:v>
      </x:c>
      <x:c r="M52" s="83" t="str">
        <x:v>Documento di Descrizione degli Scenari 2024</x:v>
      </x:c>
      <x:c r="N52" s="83" t="n">
        <x:v>71</x:v>
      </x:c>
      <x:c r="O52" s="83" t="n">
        <x:v>69</x:v>
      </x:c>
      <x:c r="P52" s="83" t="str">
        <x:v>Table 20</x:v>
      </x:c>
      <x:c r="Q52" s="83" t="str">
        <x:v>Risultato di modello della fonte</x:v>
      </x:c>
      <x:c r="R52" s="83" t="str">
        <x:v>Direct</x:v>
      </x:c>
      <x:c r="S52" s="83" t="str">
        <x:v>A — Direct</x:v>
      </x:c>
      <x:c r="T52" s="83" t="str">
        <x:v>Sensitivity / validation; do not substitute baseline automatically.</x:v>
      </x:c>
      <x:c r="U52" s="83" t="str">
        <x:v>More than 35 GW additional electrolysers would be required to absorb all residual curtailment if used alone.</x:v>
      </x:c>
    </x:row>
    <x:row r="53">
      <x:c r="A53" s="83" t="str">
        <x:v>FL-049</x:v>
      </x:c>
      <x:c r="B53" s="83" t="str">
        <x:v>GA_IT_2040</x:v>
      </x:c>
      <x:c r="C53" s="83" t="n">
        <x:v>2040</x:v>
      </x:c>
      <x:c r="D53" s="83" t="str">
        <x:v>GA-IT 2040 — Base +5 GW</x:v>
      </x:c>
      <x:c r="E53" s="83" t="str">
        <x:v>Annual</x:v>
      </x:c>
      <x:c r="F53" s="83" t="str">
        <x:v>Electrolyser sensitivity</x:v>
      </x:c>
      <x:c r="G53" s="83" t="str">
        <x:v>Electrolyser installed power sensitivity</x:v>
      </x:c>
      <x:c r="H53" s="83" t="str">
        <x:v>=</x:v>
      </x:c>
      <x:c r="I53" s="197" t="n">
        <x:v>12.4</x:v>
      </x:c>
      <x:c r="J53" s="83" t="str">
        <x:v>GW</x:v>
      </x:c>
      <x:c r="K53" s="83" t="str">
        <x:v>Source sensitivity result</x:v>
      </x:c>
      <x:c r="L53" s="83" t="str">
        <x:v>S09</x:v>
      </x:c>
      <x:c r="M53" s="83" t="str">
        <x:v>Documento di Descrizione degli Scenari 2024</x:v>
      </x:c>
      <x:c r="N53" s="83" t="n">
        <x:v>71</x:v>
      </x:c>
      <x:c r="O53" s="83" t="n">
        <x:v>69</x:v>
      </x:c>
      <x:c r="P53" s="83" t="str">
        <x:v>Table 20</x:v>
      </x:c>
      <x:c r="Q53" s="83" t="str">
        <x:v>Risultato di modello della fonte</x:v>
      </x:c>
      <x:c r="R53" s="83" t="str">
        <x:v>Direct</x:v>
      </x:c>
      <x:c r="S53" s="83" t="str">
        <x:v>A — Direct</x:v>
      </x:c>
      <x:c r="T53" s="83" t="str">
        <x:v>Sensitivity / validation; do not substitute baseline automatically.</x:v>
      </x:c>
      <x:c r="U53" s="83" t="str">
        <x:v>More than 35 GW additional electrolysers would be required to absorb all residual curtailment if used alone.</x:v>
      </x:c>
    </x:row>
    <x:row r="54">
      <x:c r="A54" s="83" t="str">
        <x:v>FL-050</x:v>
      </x:c>
      <x:c r="B54" s="83" t="str">
        <x:v>GA_IT_2040</x:v>
      </x:c>
      <x:c r="C54" s="83" t="n">
        <x:v>2040</x:v>
      </x:c>
      <x:c r="D54" s="83" t="str">
        <x:v>GA-IT 2040 — Base +5 GW</x:v>
      </x:c>
      <x:c r="E54" s="83" t="str">
        <x:v>Annual</x:v>
      </x:c>
      <x:c r="F54" s="83" t="str">
        <x:v>Electrolyser sensitivity</x:v>
      </x:c>
      <x:c r="G54" s="83" t="str">
        <x:v>Residual curtailment</x:v>
      </x:c>
      <x:c r="H54" s="83" t="str">
        <x:v>=</x:v>
      </x:c>
      <x:c r="I54" s="197" t="n">
        <x:v>5</x:v>
      </x:c>
      <x:c r="J54" s="83" t="str">
        <x:v>TWh</x:v>
      </x:c>
      <x:c r="K54" s="83" t="str">
        <x:v>Source sensitivity result</x:v>
      </x:c>
      <x:c r="L54" s="83" t="str">
        <x:v>S09</x:v>
      </x:c>
      <x:c r="M54" s="83" t="str">
        <x:v>Documento di Descrizione degli Scenari 2024</x:v>
      </x:c>
      <x:c r="N54" s="83" t="n">
        <x:v>71</x:v>
      </x:c>
      <x:c r="O54" s="83" t="n">
        <x:v>69</x:v>
      </x:c>
      <x:c r="P54" s="83" t="str">
        <x:v>Table 20</x:v>
      </x:c>
      <x:c r="Q54" s="83" t="str">
        <x:v>Risultato di modello della fonte</x:v>
      </x:c>
      <x:c r="R54" s="83" t="str">
        <x:v>Direct</x:v>
      </x:c>
      <x:c r="S54" s="83" t="str">
        <x:v>A — Direct</x:v>
      </x:c>
      <x:c r="T54" s="83" t="str">
        <x:v>Sensitivity / validation; do not substitute baseline automatically.</x:v>
      </x:c>
      <x:c r="U54" s="83" t="str">
        <x:v>More than 35 GW additional electrolysers would be required to absorb all residual curtailment if used alone.</x:v>
      </x:c>
    </x:row>
    <x:row r="55">
      <x:c r="A55" s="83" t="str">
        <x:v>FL-051</x:v>
      </x:c>
      <x:c r="B55" s="83" t="str">
        <x:v>GA_IT_2040</x:v>
      </x:c>
      <x:c r="C55" s="83" t="n">
        <x:v>2040</x:v>
      </x:c>
      <x:c r="D55" s="83" t="str">
        <x:v>GA-IT 2040 — Base +5 GW</x:v>
      </x:c>
      <x:c r="E55" s="83" t="str">
        <x:v>Annual</x:v>
      </x:c>
      <x:c r="F55" s="83" t="str">
        <x:v>Electrolyser sensitivity</x:v>
      </x:c>
      <x:c r="G55" s="83" t="str">
        <x:v>Total operating hours</x:v>
      </x:c>
      <x:c r="H55" s="83" t="str">
        <x:v>=</x:v>
      </x:c>
      <x:c r="I55" s="197" t="n">
        <x:v>2558</x:v>
      </x:c>
      <x:c r="J55" s="83" t="str">
        <x:v>h/year</x:v>
      </x:c>
      <x:c r="K55" s="83" t="str">
        <x:v>Source sensitivity result</x:v>
      </x:c>
      <x:c r="L55" s="83" t="str">
        <x:v>S09</x:v>
      </x:c>
      <x:c r="M55" s="83" t="str">
        <x:v>Documento di Descrizione degli Scenari 2024</x:v>
      </x:c>
      <x:c r="N55" s="83" t="n">
        <x:v>71</x:v>
      </x:c>
      <x:c r="O55" s="83" t="n">
        <x:v>69</x:v>
      </x:c>
      <x:c r="P55" s="83" t="str">
        <x:v>Table 20</x:v>
      </x:c>
      <x:c r="Q55" s="83" t="str">
        <x:v>Risultato di modello della fonte</x:v>
      </x:c>
      <x:c r="R55" s="83" t="str">
        <x:v>Direct</x:v>
      </x:c>
      <x:c r="S55" s="83" t="str">
        <x:v>A — Direct</x:v>
      </x:c>
      <x:c r="T55" s="83" t="str">
        <x:v>Sensitivity / validation; do not substitute baseline automatically.</x:v>
      </x:c>
      <x:c r="U55" s="83" t="str">
        <x:v>More than 35 GW additional electrolysers would be required to absorb all residual curtailment if used alone.</x:v>
      </x:c>
    </x:row>
    <x:row r="56">
      <x:c r="A56" s="83" t="str">
        <x:v>FL-052</x:v>
      </x:c>
      <x:c r="B56" s="83" t="str">
        <x:v>GA_IT_2040</x:v>
      </x:c>
      <x:c r="C56" s="83" t="n">
        <x:v>2040</x:v>
      </x:c>
      <x:c r="D56" s="83" t="str">
        <x:v>GA-IT 2040 — Base +5 GW</x:v>
      </x:c>
      <x:c r="E56" s="83" t="str">
        <x:v>Annual</x:v>
      </x:c>
      <x:c r="F56" s="83" t="str">
        <x:v>Electrolyser sensitivity</x:v>
      </x:c>
      <x:c r="G56" s="83" t="str">
        <x:v>Marginal plant operating hours</x:v>
      </x:c>
      <x:c r="H56" s="83" t="str">
        <x:v>=</x:v>
      </x:c>
      <x:c r="I56" s="197" t="n">
        <x:v>843</x:v>
      </x:c>
      <x:c r="J56" s="83" t="str">
        <x:v>h/year</x:v>
      </x:c>
      <x:c r="K56" s="83" t="str">
        <x:v>Source sensitivity result</x:v>
      </x:c>
      <x:c r="L56" s="83" t="str">
        <x:v>S09</x:v>
      </x:c>
      <x:c r="M56" s="83" t="str">
        <x:v>Documento di Descrizione degli Scenari 2024</x:v>
      </x:c>
      <x:c r="N56" s="83" t="n">
        <x:v>71</x:v>
      </x:c>
      <x:c r="O56" s="83" t="n">
        <x:v>69</x:v>
      </x:c>
      <x:c r="P56" s="83" t="str">
        <x:v>Table 20</x:v>
      </x:c>
      <x:c r="Q56" s="83" t="str">
        <x:v>Risultato di modello della fonte</x:v>
      </x:c>
      <x:c r="R56" s="83" t="str">
        <x:v>Direct</x:v>
      </x:c>
      <x:c r="S56" s="83" t="str">
        <x:v>A — Direct</x:v>
      </x:c>
      <x:c r="T56" s="83" t="str">
        <x:v>Sensitivity / validation; do not substitute baseline automatically.</x:v>
      </x:c>
      <x:c r="U56" s="83" t="str">
        <x:v>More than 35 GW additional electrolysers would be required to absorb all residual curtailment if used alone.</x:v>
      </x:c>
    </x:row>
    <x:row r="57">
      <x:c r="A57" s="83" t="str">
        <x:v>FL-053</x:v>
      </x:c>
      <x:c r="B57" s="83" t="str">
        <x:v>GA_IT_2040</x:v>
      </x:c>
      <x:c r="C57" s="83" t="n">
        <x:v>2040</x:v>
      </x:c>
      <x:c r="D57" s="83" t="str">
        <x:v>GA-IT 2040 — Base +10 GW</x:v>
      </x:c>
      <x:c r="E57" s="83" t="str">
        <x:v>Annual</x:v>
      </x:c>
      <x:c r="F57" s="83" t="str">
        <x:v>Electrolyser sensitivity</x:v>
      </x:c>
      <x:c r="G57" s="83" t="str">
        <x:v>Electrolyser installed power sensitivity</x:v>
      </x:c>
      <x:c r="H57" s="83" t="str">
        <x:v>=</x:v>
      </x:c>
      <x:c r="I57" s="197" t="n">
        <x:v>17.4</x:v>
      </x:c>
      <x:c r="J57" s="83" t="str">
        <x:v>GW</x:v>
      </x:c>
      <x:c r="K57" s="83" t="str">
        <x:v>Source sensitivity result</x:v>
      </x:c>
      <x:c r="L57" s="83" t="str">
        <x:v>S09</x:v>
      </x:c>
      <x:c r="M57" s="83" t="str">
        <x:v>Documento di Descrizione degli Scenari 2024</x:v>
      </x:c>
      <x:c r="N57" s="83" t="n">
        <x:v>71</x:v>
      </x:c>
      <x:c r="O57" s="83" t="n">
        <x:v>69</x:v>
      </x:c>
      <x:c r="P57" s="83" t="str">
        <x:v>Table 20</x:v>
      </x:c>
      <x:c r="Q57" s="83" t="str">
        <x:v>Risultato di modello della fonte</x:v>
      </x:c>
      <x:c r="R57" s="83" t="str">
        <x:v>Direct</x:v>
      </x:c>
      <x:c r="S57" s="83" t="str">
        <x:v>A — Direct</x:v>
      </x:c>
      <x:c r="T57" s="83" t="str">
        <x:v>Sensitivity / validation; do not substitute baseline automatically.</x:v>
      </x:c>
      <x:c r="U57" s="83" t="str">
        <x:v>More than 35 GW additional electrolysers would be required to absorb all residual curtailment if used alone.</x:v>
      </x:c>
    </x:row>
    <x:row r="58">
      <x:c r="A58" s="83" t="str">
        <x:v>FL-054</x:v>
      </x:c>
      <x:c r="B58" s="83" t="str">
        <x:v>GA_IT_2040</x:v>
      </x:c>
      <x:c r="C58" s="83" t="n">
        <x:v>2040</x:v>
      </x:c>
      <x:c r="D58" s="83" t="str">
        <x:v>GA-IT 2040 — Base +10 GW</x:v>
      </x:c>
      <x:c r="E58" s="83" t="str">
        <x:v>Annual</x:v>
      </x:c>
      <x:c r="F58" s="83" t="str">
        <x:v>Electrolyser sensitivity</x:v>
      </x:c>
      <x:c r="G58" s="83" t="str">
        <x:v>Residual curtailment</x:v>
      </x:c>
      <x:c r="H58" s="83" t="str">
        <x:v>=</x:v>
      </x:c>
      <x:c r="I58" s="197" t="n">
        <x:v>3</x:v>
      </x:c>
      <x:c r="J58" s="83" t="str">
        <x:v>TWh</x:v>
      </x:c>
      <x:c r="K58" s="83" t="str">
        <x:v>Source sensitivity result</x:v>
      </x:c>
      <x:c r="L58" s="83" t="str">
        <x:v>S09</x:v>
      </x:c>
      <x:c r="M58" s="83" t="str">
        <x:v>Documento di Descrizione degli Scenari 2024</x:v>
      </x:c>
      <x:c r="N58" s="83" t="n">
        <x:v>71</x:v>
      </x:c>
      <x:c r="O58" s="83" t="n">
        <x:v>69</x:v>
      </x:c>
      <x:c r="P58" s="83" t="str">
        <x:v>Table 20</x:v>
      </x:c>
      <x:c r="Q58" s="83" t="str">
        <x:v>Risultato di modello della fonte</x:v>
      </x:c>
      <x:c r="R58" s="83" t="str">
        <x:v>Direct</x:v>
      </x:c>
      <x:c r="S58" s="83" t="str">
        <x:v>A — Direct</x:v>
      </x:c>
      <x:c r="T58" s="83" t="str">
        <x:v>Sensitivity / validation; do not substitute baseline automatically.</x:v>
      </x:c>
      <x:c r="U58" s="83" t="str">
        <x:v>More than 35 GW additional electrolysers would be required to absorb all residual curtailment if used alone.</x:v>
      </x:c>
    </x:row>
    <x:row r="59">
      <x:c r="A59" s="83" t="str">
        <x:v>FL-055</x:v>
      </x:c>
      <x:c r="B59" s="83" t="str">
        <x:v>GA_IT_2040</x:v>
      </x:c>
      <x:c r="C59" s="83" t="n">
        <x:v>2040</x:v>
      </x:c>
      <x:c r="D59" s="83" t="str">
        <x:v>GA-IT 2040 — Base +10 GW</x:v>
      </x:c>
      <x:c r="E59" s="83" t="str">
        <x:v>Annual</x:v>
      </x:c>
      <x:c r="F59" s="83" t="str">
        <x:v>Electrolyser sensitivity</x:v>
      </x:c>
      <x:c r="G59" s="83" t="str">
        <x:v>Total operating hours</x:v>
      </x:c>
      <x:c r="H59" s="83" t="str">
        <x:v>=</x:v>
      </x:c>
      <x:c r="I59" s="197" t="n">
        <x:v>1960</x:v>
      </x:c>
      <x:c r="J59" s="83" t="str">
        <x:v>h/year</x:v>
      </x:c>
      <x:c r="K59" s="83" t="str">
        <x:v>Source sensitivity result</x:v>
      </x:c>
      <x:c r="L59" s="83" t="str">
        <x:v>S09</x:v>
      </x:c>
      <x:c r="M59" s="83" t="str">
        <x:v>Documento di Descrizione degli Scenari 2024</x:v>
      </x:c>
      <x:c r="N59" s="83" t="n">
        <x:v>71</x:v>
      </x:c>
      <x:c r="O59" s="83" t="n">
        <x:v>69</x:v>
      </x:c>
      <x:c r="P59" s="83" t="str">
        <x:v>Table 20</x:v>
      </x:c>
      <x:c r="Q59" s="83" t="str">
        <x:v>Risultato di modello della fonte</x:v>
      </x:c>
      <x:c r="R59" s="83" t="str">
        <x:v>Direct</x:v>
      </x:c>
      <x:c r="S59" s="83" t="str">
        <x:v>A — Direct</x:v>
      </x:c>
      <x:c r="T59" s="83" t="str">
        <x:v>Sensitivity / validation; do not substitute baseline automatically.</x:v>
      </x:c>
      <x:c r="U59" s="83" t="str">
        <x:v>More than 35 GW additional electrolysers would be required to absorb all residual curtailment if used alone.</x:v>
      </x:c>
    </x:row>
    <x:row r="60">
      <x:c r="A60" s="83" t="str">
        <x:v>FL-056</x:v>
      </x:c>
      <x:c r="B60" s="83" t="str">
        <x:v>GA_IT_2040</x:v>
      </x:c>
      <x:c r="C60" s="83" t="n">
        <x:v>2040</x:v>
      </x:c>
      <x:c r="D60" s="83" t="str">
        <x:v>GA-IT 2040 — Base +10 GW</x:v>
      </x:c>
      <x:c r="E60" s="83" t="str">
        <x:v>Annual</x:v>
      </x:c>
      <x:c r="F60" s="83" t="str">
        <x:v>Electrolyser sensitivity</x:v>
      </x:c>
      <x:c r="G60" s="83" t="str">
        <x:v>Marginal plant operating hours</x:v>
      </x:c>
      <x:c r="H60" s="83" t="str">
        <x:v>=</x:v>
      </x:c>
      <x:c r="I60" s="197" t="n">
        <x:v>477</x:v>
      </x:c>
      <x:c r="J60" s="83" t="str">
        <x:v>h/year</x:v>
      </x:c>
      <x:c r="K60" s="83" t="str">
        <x:v>Source sensitivity result</x:v>
      </x:c>
      <x:c r="L60" s="83" t="str">
        <x:v>S09</x:v>
      </x:c>
      <x:c r="M60" s="83" t="str">
        <x:v>Documento di Descrizione degli Scenari 2024</x:v>
      </x:c>
      <x:c r="N60" s="83" t="n">
        <x:v>71</x:v>
      </x:c>
      <x:c r="O60" s="83" t="n">
        <x:v>69</x:v>
      </x:c>
      <x:c r="P60" s="83" t="str">
        <x:v>Table 20</x:v>
      </x:c>
      <x:c r="Q60" s="83" t="str">
        <x:v>Risultato di modello della fonte</x:v>
      </x:c>
      <x:c r="R60" s="83" t="str">
        <x:v>Direct</x:v>
      </x:c>
      <x:c r="S60" s="83" t="str">
        <x:v>A — Direct</x:v>
      </x:c>
      <x:c r="T60" s="83" t="str">
        <x:v>Sensitivity / validation; do not substitute baseline automatically.</x:v>
      </x:c>
      <x:c r="U60" s="83" t="str">
        <x:v>More than 35 GW additional electrolysers would be required to absorb all residual curtailment if used alone.</x:v>
      </x:c>
    </x:row>
    <x:row r="61">
      <x:c r="A61" s="83" t="str">
        <x:v>FL-057</x:v>
      </x:c>
      <x:c r="B61" s="83" t="str">
        <x:v>GA_IT_2040</x:v>
      </x:c>
      <x:c r="C61" s="83" t="n">
        <x:v>2040</x:v>
      </x:c>
      <x:c r="D61" s="83" t="str">
        <x:v>GA-IT 2040 — Base +15 GW</x:v>
      </x:c>
      <x:c r="E61" s="83" t="str">
        <x:v>Annual</x:v>
      </x:c>
      <x:c r="F61" s="83" t="str">
        <x:v>Electrolyser sensitivity</x:v>
      </x:c>
      <x:c r="G61" s="83" t="str">
        <x:v>Electrolyser installed power sensitivity</x:v>
      </x:c>
      <x:c r="H61" s="83" t="str">
        <x:v>=</x:v>
      </x:c>
      <x:c r="I61" s="197" t="n">
        <x:v>22.4</x:v>
      </x:c>
      <x:c r="J61" s="83" t="str">
        <x:v>GW</x:v>
      </x:c>
      <x:c r="K61" s="83" t="str">
        <x:v>Source sensitivity result</x:v>
      </x:c>
      <x:c r="L61" s="83" t="str">
        <x:v>S09</x:v>
      </x:c>
      <x:c r="M61" s="83" t="str">
        <x:v>Documento di Descrizione degli Scenari 2024</x:v>
      </x:c>
      <x:c r="N61" s="83" t="n">
        <x:v>71</x:v>
      </x:c>
      <x:c r="O61" s="83" t="n">
        <x:v>69</x:v>
      </x:c>
      <x:c r="P61" s="83" t="str">
        <x:v>Table 20</x:v>
      </x:c>
      <x:c r="Q61" s="83" t="str">
        <x:v>Risultato di modello della fonte</x:v>
      </x:c>
      <x:c r="R61" s="83" t="str">
        <x:v>Direct</x:v>
      </x:c>
      <x:c r="S61" s="83" t="str">
        <x:v>A — Direct</x:v>
      </x:c>
      <x:c r="T61" s="83" t="str">
        <x:v>Sensitivity / validation; do not substitute baseline automatically.</x:v>
      </x:c>
      <x:c r="U61" s="83" t="str">
        <x:v>More than 35 GW additional electrolysers would be required to absorb all residual curtailment if used alone.</x:v>
      </x:c>
    </x:row>
    <x:row r="62">
      <x:c r="A62" s="83" t="str">
        <x:v>FL-058</x:v>
      </x:c>
      <x:c r="B62" s="83" t="str">
        <x:v>GA_IT_2040</x:v>
      </x:c>
      <x:c r="C62" s="83" t="n">
        <x:v>2040</x:v>
      </x:c>
      <x:c r="D62" s="83" t="str">
        <x:v>GA-IT 2040 — Base +15 GW</x:v>
      </x:c>
      <x:c r="E62" s="83" t="str">
        <x:v>Annual</x:v>
      </x:c>
      <x:c r="F62" s="83" t="str">
        <x:v>Electrolyser sensitivity</x:v>
      </x:c>
      <x:c r="G62" s="83" t="str">
        <x:v>Residual curtailment</x:v>
      </x:c>
      <x:c r="H62" s="83" t="str">
        <x:v>=</x:v>
      </x:c>
      <x:c r="I62" s="197" t="n">
        <x:v>1.4</x:v>
      </x:c>
      <x:c r="J62" s="83" t="str">
        <x:v>TWh</x:v>
      </x:c>
      <x:c r="K62" s="83" t="str">
        <x:v>Source sensitivity result</x:v>
      </x:c>
      <x:c r="L62" s="83" t="str">
        <x:v>S09</x:v>
      </x:c>
      <x:c r="M62" s="83" t="str">
        <x:v>Documento di Descrizione degli Scenari 2024</x:v>
      </x:c>
      <x:c r="N62" s="83" t="n">
        <x:v>71</x:v>
      </x:c>
      <x:c r="O62" s="83" t="n">
        <x:v>69</x:v>
      </x:c>
      <x:c r="P62" s="83" t="str">
        <x:v>Table 20</x:v>
      </x:c>
      <x:c r="Q62" s="83" t="str">
        <x:v>Risultato di modello della fonte</x:v>
      </x:c>
      <x:c r="R62" s="83" t="str">
        <x:v>Direct</x:v>
      </x:c>
      <x:c r="S62" s="83" t="str">
        <x:v>A — Direct</x:v>
      </x:c>
      <x:c r="T62" s="83" t="str">
        <x:v>Sensitivity / validation; do not substitute baseline automatically.</x:v>
      </x:c>
      <x:c r="U62" s="83" t="str">
        <x:v>More than 35 GW additional electrolysers would be required to absorb all residual curtailment if used alone.</x:v>
      </x:c>
    </x:row>
    <x:row r="63">
      <x:c r="A63" s="83" t="str">
        <x:v>FL-059</x:v>
      </x:c>
      <x:c r="B63" s="83" t="str">
        <x:v>GA_IT_2040</x:v>
      </x:c>
      <x:c r="C63" s="83" t="n">
        <x:v>2040</x:v>
      </x:c>
      <x:c r="D63" s="83" t="str">
        <x:v>GA-IT 2040 — Base +15 GW</x:v>
      </x:c>
      <x:c r="E63" s="83" t="str">
        <x:v>Annual</x:v>
      </x:c>
      <x:c r="F63" s="83" t="str">
        <x:v>Electrolyser sensitivity</x:v>
      </x:c>
      <x:c r="G63" s="83" t="str">
        <x:v>Total operating hours</x:v>
      </x:c>
      <x:c r="H63" s="83" t="str">
        <x:v>=</x:v>
      </x:c>
      <x:c r="I63" s="197" t="n">
        <x:v>1592</x:v>
      </x:c>
      <x:c r="J63" s="83" t="str">
        <x:v>h/year</x:v>
      </x:c>
      <x:c r="K63" s="83" t="str">
        <x:v>Source sensitivity result</x:v>
      </x:c>
      <x:c r="L63" s="83" t="str">
        <x:v>S09</x:v>
      </x:c>
      <x:c r="M63" s="83" t="str">
        <x:v>Documento di Descrizione degli Scenari 2024</x:v>
      </x:c>
      <x:c r="N63" s="83" t="n">
        <x:v>71</x:v>
      </x:c>
      <x:c r="O63" s="83" t="n">
        <x:v>69</x:v>
      </x:c>
      <x:c r="P63" s="83" t="str">
        <x:v>Table 20</x:v>
      </x:c>
      <x:c r="Q63" s="83" t="str">
        <x:v>Risultato di modello della fonte</x:v>
      </x:c>
      <x:c r="R63" s="83" t="str">
        <x:v>Direct</x:v>
      </x:c>
      <x:c r="S63" s="83" t="str">
        <x:v>A — Direct</x:v>
      </x:c>
      <x:c r="T63" s="83" t="str">
        <x:v>Sensitivity / validation; do not substitute baseline automatically.</x:v>
      </x:c>
      <x:c r="U63" s="83" t="str">
        <x:v>More than 35 GW additional electrolysers would be required to absorb all residual curtailment if used alone.</x:v>
      </x:c>
    </x:row>
    <x:row r="64">
      <x:c r="A64" s="83" t="str">
        <x:v>FL-060</x:v>
      </x:c>
      <x:c r="B64" s="83" t="str">
        <x:v>GA_IT_2040</x:v>
      </x:c>
      <x:c r="C64" s="83" t="n">
        <x:v>2040</x:v>
      </x:c>
      <x:c r="D64" s="83" t="str">
        <x:v>GA-IT 2040 — Base +15 GW</x:v>
      </x:c>
      <x:c r="E64" s="83" t="str">
        <x:v>Annual</x:v>
      </x:c>
      <x:c r="F64" s="83" t="str">
        <x:v>Electrolyser sensitivity</x:v>
      </x:c>
      <x:c r="G64" s="83" t="str">
        <x:v>Marginal plant operating hours</x:v>
      </x:c>
      <x:c r="H64" s="83" t="str">
        <x:v>=</x:v>
      </x:c>
      <x:c r="I64" s="197" t="n">
        <x:v>312</x:v>
      </x:c>
      <x:c r="J64" s="83" t="str">
        <x:v>h/year</x:v>
      </x:c>
      <x:c r="K64" s="83" t="str">
        <x:v>Source sensitivity result</x:v>
      </x:c>
      <x:c r="L64" s="83" t="str">
        <x:v>S09</x:v>
      </x:c>
      <x:c r="M64" s="83" t="str">
        <x:v>Documento di Descrizione degli Scenari 2024</x:v>
      </x:c>
      <x:c r="N64" s="83" t="n">
        <x:v>71</x:v>
      </x:c>
      <x:c r="O64" s="83" t="n">
        <x:v>69</x:v>
      </x:c>
      <x:c r="P64" s="83" t="str">
        <x:v>Table 20</x:v>
      </x:c>
      <x:c r="Q64" s="83" t="str">
        <x:v>Risultato di modello della fonte</x:v>
      </x:c>
      <x:c r="R64" s="83" t="str">
        <x:v>Direct</x:v>
      </x:c>
      <x:c r="S64" s="83" t="str">
        <x:v>A — Direct</x:v>
      </x:c>
      <x:c r="T64" s="83" t="str">
        <x:v>Sensitivity / validation; do not substitute baseline automatically.</x:v>
      </x:c>
      <x:c r="U64" s="83" t="str">
        <x:v>More than 35 GW additional electrolysers would be required to absorb all residual curtailment if used alone.</x:v>
      </x:c>
    </x:row>
    <x:row r="65">
      <x:c r="A65" s="83" t="str">
        <x:v>FL-061</x:v>
      </x:c>
      <x:c r="B65" s="83" t="str">
        <x:v>TERNA_2050_NUCLEAR</x:v>
      </x:c>
      <x:c r="C65" s="83" t="n">
        <x:v>2050</x:v>
      </x:c>
      <x:c r="D65" s="83" t="str">
        <x:v>Terna 2050 con nucleare</x:v>
      </x:c>
      <x:c r="E65" s="83" t="str">
        <x:v>Annual</x:v>
      </x:c>
      <x:c r="F65" s="83" t="str">
        <x:v>Storage</x:v>
      </x:c>
      <x:c r="G65" s="83" t="str">
        <x:v>Storage energy losses</x:v>
      </x:c>
      <x:c r="H65" s="83" t="str">
        <x:v>=</x:v>
      </x:c>
      <x:c r="I65" s="197" t="n">
        <x:v>11</x:v>
      </x:c>
      <x:c r="J65" s="83" t="str">
        <x:v>TWh</x:v>
      </x:c>
      <x:c r="K65" s="83" t="str">
        <x:v>Source model result</x:v>
      </x:c>
      <x:c r="L65" s="83" t="str">
        <x:v>S07</x:v>
      </x:c>
      <x:c r="M65" s="83" t="str">
        <x:v>Prospettive di Sviluppo del Sistema Energetico 2050</x:v>
      </x:c>
      <x:c r="N65" s="83" t="n">
        <x:v>59</x:v>
      </x:c>
      <x:c r="O65" s="83" t="n">
        <x:v>57</x:v>
      </x:c>
      <x:c r="P65" s="83" t="str">
        <x:v>Table 5</x:v>
      </x:c>
      <x:c r="Q65" s="83" t="str">
        <x:v>Risultato di modello</x:v>
      </x:c>
      <x:c r="R65" s="83" t="str">
        <x:v>Direct magnitude</x:v>
      </x:c>
      <x:c r="S65" s="83" t="str">
        <x:v>A — Direct</x:v>
      </x:c>
      <x:c r="T65" s="83" t="str">
        <x:v>Annual QA; not intrinsic efficiency.</x:v>
      </x:c>
      <x:c r="U65" s="83" t="str"/>
    </x:row>
    <x:row r="66">
      <x:c r="A66" s="83" t="str">
        <x:v>FL-062</x:v>
      </x:c>
      <x:c r="B66" s="83" t="str">
        <x:v>TERNA_2050_NUCLEAR</x:v>
      </x:c>
      <x:c r="C66" s="83" t="n">
        <x:v>2050</x:v>
      </x:c>
      <x:c r="D66" s="83" t="str">
        <x:v>Terna 2050 con nucleare</x:v>
      </x:c>
      <x:c r="E66" s="83" t="str">
        <x:v>Annual</x:v>
      </x:c>
      <x:c r="F66" s="83" t="str">
        <x:v>Curtailment</x:v>
      </x:c>
      <x:c r="G66" s="83" t="str">
        <x:v>Overgeneration share of demand</x:v>
      </x:c>
      <x:c r="H66" s="83" t="str">
        <x:v>=</x:v>
      </x:c>
      <x:c r="I66" s="197" t="n">
        <x:v>4.8</x:v>
      </x:c>
      <x:c r="J66" s="83" t="str">
        <x:v>%</x:v>
      </x:c>
      <x:c r="K66" s="83" t="str">
        <x:v>Source model result</x:v>
      </x:c>
      <x:c r="L66" s="83" t="str">
        <x:v>S07</x:v>
      </x:c>
      <x:c r="M66" s="83" t="str">
        <x:v>Prospettive di Sviluppo del Sistema Energetico 2050</x:v>
      </x:c>
      <x:c r="N66" s="83" t="n">
        <x:v>59</x:v>
      </x:c>
      <x:c r="O66" s="83" t="n">
        <x:v>57</x:v>
      </x:c>
      <x:c r="P66" s="83" t="str">
        <x:v>Table 5</x:v>
      </x:c>
      <x:c r="Q66" s="83" t="str">
        <x:v>Risultato di modello</x:v>
      </x:c>
      <x:c r="R66" s="83" t="str">
        <x:v>Direct</x:v>
      </x:c>
      <x:c r="S66" s="83" t="str">
        <x:v>A — Direct</x:v>
      </x:c>
      <x:c r="T66" s="83" t="str">
        <x:v>Annual QA.</x:v>
      </x:c>
      <x:c r="U66" s="83" t="str"/>
    </x:row>
    <x:row r="67">
      <x:c r="A67" s="83" t="str">
        <x:v>FL-063</x:v>
      </x:c>
      <x:c r="B67" s="83" t="str">
        <x:v>TERNA_2050_NUCLEAR</x:v>
      </x:c>
      <x:c r="C67" s="83" t="n">
        <x:v>2050</x:v>
      </x:c>
      <x:c r="D67" s="83" t="str">
        <x:v>Terna 2050 con nucleare</x:v>
      </x:c>
      <x:c r="E67" s="83" t="str">
        <x:v>Annual</x:v>
      </x:c>
      <x:c r="F67" s="83" t="str">
        <x:v>Curtailment</x:v>
      </x:c>
      <x:c r="G67" s="83" t="str">
        <x:v>Implied overgeneration energy</x:v>
      </x:c>
      <x:c r="H67" s="83" t="str">
        <x:v>=</x:v>
      </x:c>
      <x:c r="I67" s="197" t="n">
        <x:v>27.984</x:v>
      </x:c>
      <x:c r="J67" s="83" t="str">
        <x:v>TWh</x:v>
      </x:c>
      <x:c r="K67" s="83" t="str">
        <x:v>Derived</x:v>
      </x:c>
      <x:c r="L67" s="83" t="str">
        <x:v>S07</x:v>
      </x:c>
      <x:c r="M67" s="83" t="str">
        <x:v>Prospettive di Sviluppo del Sistema Energetico 2050</x:v>
      </x:c>
      <x:c r="N67" s="83" t="n">
        <x:v>59</x:v>
      </x:c>
      <x:c r="O67" s="83" t="n">
        <x:v>57</x:v>
      </x:c>
      <x:c r="P67" s="83" t="str">
        <x:v>Table 5</x:v>
      </x:c>
      <x:c r="Q67" s="83" t="str">
        <x:v>B — Derived</x:v>
      </x:c>
      <x:c r="R67" s="83" t="str">
        <x:v>583 TWh × overgeneration %</x:v>
      </x:c>
      <x:c r="S67" s="83" t="str">
        <x:v>B — Derived</x:v>
      </x:c>
      <x:c r="T67" s="83" t="str">
        <x:v>Annual QA.</x:v>
      </x:c>
      <x:c r="U67" s="83" t="str"/>
    </x:row>
    <x:row r="68">
      <x:c r="A68" s="83" t="str">
        <x:v>FL-064</x:v>
      </x:c>
      <x:c r="B68" s="83" t="str">
        <x:v>TERNA_2050_NO_NUCLEAR</x:v>
      </x:c>
      <x:c r="C68" s="83" t="n">
        <x:v>2050</x:v>
      </x:c>
      <x:c r="D68" s="83" t="str">
        <x:v>Terna 2050 senza nucleare</x:v>
      </x:c>
      <x:c r="E68" s="83" t="str">
        <x:v>Annual</x:v>
      </x:c>
      <x:c r="F68" s="83" t="str">
        <x:v>Storage</x:v>
      </x:c>
      <x:c r="G68" s="83" t="str">
        <x:v>Storage energy losses</x:v>
      </x:c>
      <x:c r="H68" s="83" t="str">
        <x:v>=</x:v>
      </x:c>
      <x:c r="I68" s="197" t="n">
        <x:v>14</x:v>
      </x:c>
      <x:c r="J68" s="83" t="str">
        <x:v>TWh</x:v>
      </x:c>
      <x:c r="K68" s="83" t="str">
        <x:v>Source model result</x:v>
      </x:c>
      <x:c r="L68" s="83" t="str">
        <x:v>S07</x:v>
      </x:c>
      <x:c r="M68" s="83" t="str">
        <x:v>Prospettive di Sviluppo del Sistema Energetico 2050</x:v>
      </x:c>
      <x:c r="N68" s="83" t="n">
        <x:v>59</x:v>
      </x:c>
      <x:c r="O68" s="83" t="n">
        <x:v>57</x:v>
      </x:c>
      <x:c r="P68" s="83" t="str">
        <x:v>Table 5</x:v>
      </x:c>
      <x:c r="Q68" s="83" t="str">
        <x:v>Risultato di modello</x:v>
      </x:c>
      <x:c r="R68" s="83" t="str">
        <x:v>Direct magnitude</x:v>
      </x:c>
      <x:c r="S68" s="83" t="str">
        <x:v>A — Direct</x:v>
      </x:c>
      <x:c r="T68" s="83" t="str">
        <x:v>Annual QA; not intrinsic efficiency.</x:v>
      </x:c>
      <x:c r="U68" s="83" t="str"/>
    </x:row>
    <x:row r="69">
      <x:c r="A69" s="83" t="str">
        <x:v>FL-065</x:v>
      </x:c>
      <x:c r="B69" s="83" t="str">
        <x:v>TERNA_2050_NO_NUCLEAR</x:v>
      </x:c>
      <x:c r="C69" s="83" t="n">
        <x:v>2050</x:v>
      </x:c>
      <x:c r="D69" s="83" t="str">
        <x:v>Terna 2050 senza nucleare</x:v>
      </x:c>
      <x:c r="E69" s="83" t="str">
        <x:v>Annual</x:v>
      </x:c>
      <x:c r="F69" s="83" t="str">
        <x:v>Curtailment</x:v>
      </x:c>
      <x:c r="G69" s="83" t="str">
        <x:v>Overgeneration share of demand</x:v>
      </x:c>
      <x:c r="H69" s="83" t="str">
        <x:v>=</x:v>
      </x:c>
      <x:c r="I69" s="197" t="n">
        <x:v>4.4</x:v>
      </x:c>
      <x:c r="J69" s="83" t="str">
        <x:v>%</x:v>
      </x:c>
      <x:c r="K69" s="83" t="str">
        <x:v>Source model result</x:v>
      </x:c>
      <x:c r="L69" s="83" t="str">
        <x:v>S07</x:v>
      </x:c>
      <x:c r="M69" s="83" t="str">
        <x:v>Prospettive di Sviluppo del Sistema Energetico 2050</x:v>
      </x:c>
      <x:c r="N69" s="83" t="n">
        <x:v>59</x:v>
      </x:c>
      <x:c r="O69" s="83" t="n">
        <x:v>57</x:v>
      </x:c>
      <x:c r="P69" s="83" t="str">
        <x:v>Table 5</x:v>
      </x:c>
      <x:c r="Q69" s="83" t="str">
        <x:v>Risultato di modello</x:v>
      </x:c>
      <x:c r="R69" s="83" t="str">
        <x:v>Direct</x:v>
      </x:c>
      <x:c r="S69" s="83" t="str">
        <x:v>A — Direct</x:v>
      </x:c>
      <x:c r="T69" s="83" t="str">
        <x:v>Annual QA.</x:v>
      </x:c>
      <x:c r="U69" s="83" t="str"/>
    </x:row>
    <x:row r="70">
      <x:c r="A70" s="83" t="str">
        <x:v>FL-066</x:v>
      </x:c>
      <x:c r="B70" s="83" t="str">
        <x:v>TERNA_2050_NO_NUCLEAR</x:v>
      </x:c>
      <x:c r="C70" s="83" t="n">
        <x:v>2050</x:v>
      </x:c>
      <x:c r="D70" s="83" t="str">
        <x:v>Terna 2050 senza nucleare</x:v>
      </x:c>
      <x:c r="E70" s="83" t="str">
        <x:v>Annual</x:v>
      </x:c>
      <x:c r="F70" s="83" t="str">
        <x:v>Curtailment</x:v>
      </x:c>
      <x:c r="G70" s="83" t="str">
        <x:v>Implied overgeneration energy</x:v>
      </x:c>
      <x:c r="H70" s="83" t="str">
        <x:v>=</x:v>
      </x:c>
      <x:c r="I70" s="197" t="n">
        <x:v>25.652</x:v>
      </x:c>
      <x:c r="J70" s="83" t="str">
        <x:v>TWh</x:v>
      </x:c>
      <x:c r="K70" s="83" t="str">
        <x:v>Derived</x:v>
      </x:c>
      <x:c r="L70" s="83" t="str">
        <x:v>S07</x:v>
      </x:c>
      <x:c r="M70" s="83" t="str">
        <x:v>Prospettive di Sviluppo del Sistema Energetico 2050</x:v>
      </x:c>
      <x:c r="N70" s="83" t="n">
        <x:v>59</x:v>
      </x:c>
      <x:c r="O70" s="83" t="n">
        <x:v>57</x:v>
      </x:c>
      <x:c r="P70" s="83" t="str">
        <x:v>Table 5</x:v>
      </x:c>
      <x:c r="Q70" s="83" t="str">
        <x:v>B — Derived</x:v>
      </x:c>
      <x:c r="R70" s="83" t="str">
        <x:v>583 TWh × overgeneration %</x:v>
      </x:c>
      <x:c r="S70" s="83" t="str">
        <x:v>B — Derived</x:v>
      </x:c>
      <x:c r="T70" s="83" t="str">
        <x:v>Annual QA.</x:v>
      </x:c>
      <x:c r="U70" s="83" t="str"/>
    </x:row>
    <x:row r="71">
      <x:c r="A71" s="83" t="str">
        <x:v>FL-067</x:v>
      </x:c>
      <x:c r="B71" s="83" t="str">
        <x:v>TERNA_2050_NUCLEAR</x:v>
      </x:c>
      <x:c r="C71" s="83" t="n">
        <x:v>2050</x:v>
      </x:c>
      <x:c r="D71" s="83" t="str">
        <x:v>Terna 2050 con nucleare</x:v>
      </x:c>
      <x:c r="E71" s="83" t="str">
        <x:v>Hourly duration curve</x:v>
      </x:c>
      <x:c r="F71" s="83" t="str">
        <x:v>Residual load</x:v>
      </x:c>
      <x:c r="G71" s="83" t="str">
        <x:v>Residual load maximum</x:v>
      </x:c>
      <x:c r="H71" s="83" t="str">
        <x:v>≈</x:v>
      </x:c>
      <x:c r="I71" s="197" t="n">
        <x:v>75</x:v>
      </x:c>
      <x:c r="J71" s="83" t="str">
        <x:v>GW</x:v>
      </x:c>
      <x:c r="K71" s="83" t="str">
        <x:v>Source model result</x:v>
      </x:c>
      <x:c r="L71" s="83" t="str">
        <x:v>S07</x:v>
      </x:c>
      <x:c r="M71" s="83" t="str">
        <x:v>Prospettive di Sviluppo del Sistema Energetico 2050</x:v>
      </x:c>
      <x:c r="N71" s="83" t="n">
        <x:v>63</x:v>
      </x:c>
      <x:c r="O71" s="83" t="n">
        <x:v>61</x:v>
      </x:c>
      <x:c r="P71" s="83" t="str">
        <x:v>Figure 53</x:v>
      </x:c>
      <x:c r="Q71" s="83" t="str">
        <x:v>Risultato di modello</x:v>
      </x:c>
      <x:c r="R71" s="83" t="str">
        <x:v>Direct narrative/figure</x:v>
      </x:c>
      <x:c r="S71" s="83" t="str">
        <x:v>A — Direct</x:v>
      </x:c>
      <x:c r="T71" s="83" t="str">
        <x:v>Validation of hourly load/VRE profiles.</x:v>
      </x:c>
      <x:c r="U71" s="83" t="str">
        <x:v>Positive residual load.</x:v>
      </x:c>
    </x:row>
    <x:row r="72">
      <x:c r="A72" s="83" t="str">
        <x:v>FL-068</x:v>
      </x:c>
      <x:c r="B72" s="83" t="str">
        <x:v>TERNA_2050_NUCLEAR</x:v>
      </x:c>
      <x:c r="C72" s="83" t="n">
        <x:v>2050</x:v>
      </x:c>
      <x:c r="D72" s="83" t="str">
        <x:v>Terna 2050 con nucleare</x:v>
      </x:c>
      <x:c r="E72" s="83" t="str">
        <x:v>Hourly duration curve</x:v>
      </x:c>
      <x:c r="F72" s="83" t="str">
        <x:v>Residual load</x:v>
      </x:c>
      <x:c r="G72" s="83" t="str">
        <x:v>Residual load minimum</x:v>
      </x:c>
      <x:c r="H72" s="83" t="str">
        <x:v>≈</x:v>
      </x:c>
      <x:c r="I72" s="197" t="n">
        <x:v>-125</x:v>
      </x:c>
      <x:c r="J72" s="83" t="str">
        <x:v>GW</x:v>
      </x:c>
      <x:c r="K72" s="83" t="str">
        <x:v>Source model result</x:v>
      </x:c>
      <x:c r="L72" s="83" t="str">
        <x:v>S07</x:v>
      </x:c>
      <x:c r="M72" s="83" t="str">
        <x:v>Prospettive di Sviluppo del Sistema Energetico 2050</x:v>
      </x:c>
      <x:c r="N72" s="83" t="n">
        <x:v>63</x:v>
      </x:c>
      <x:c r="O72" s="83" t="n">
        <x:v>61</x:v>
      </x:c>
      <x:c r="P72" s="83" t="str">
        <x:v>Figure 53</x:v>
      </x:c>
      <x:c r="Q72" s="83" t="str">
        <x:v>Risultato di modello</x:v>
      </x:c>
      <x:c r="R72" s="83" t="str">
        <x:v>Direct narrative/figure</x:v>
      </x:c>
      <x:c r="S72" s="83" t="str">
        <x:v>A — Direct</x:v>
      </x:c>
      <x:c r="T72" s="83" t="str">
        <x:v>Validation of hourly load/VRE profiles.</x:v>
      </x:c>
      <x:c r="U72" s="83" t="str">
        <x:v>Negative residual load / renewable surplus.</x:v>
      </x:c>
    </x:row>
    <x:row r="73">
      <x:c r="A73" s="83" t="str">
        <x:v>FL-069</x:v>
      </x:c>
      <x:c r="B73" s="83" t="str">
        <x:v>TERNA_2050_NUCLEAR</x:v>
      </x:c>
      <x:c r="C73" s="83" t="n">
        <x:v>2050</x:v>
      </x:c>
      <x:c r="D73" s="83" t="str">
        <x:v>Terna 2050 con nucleare</x:v>
      </x:c>
      <x:c r="E73" s="83" t="str">
        <x:v>Hourly duration curve</x:v>
      </x:c>
      <x:c r="F73" s="83" t="str">
        <x:v>Residual load</x:v>
      </x:c>
      <x:c r="G73" s="83" t="str">
        <x:v>Hours with negative residual load</x:v>
      </x:c>
      <x:c r="H73" s="83" t="str">
        <x:v>&gt;</x:v>
      </x:c>
      <x:c r="I73" s="197" t="n">
        <x:v>3000</x:v>
      </x:c>
      <x:c r="J73" s="83" t="str">
        <x:v>h/year</x:v>
      </x:c>
      <x:c r="K73" s="83" t="str">
        <x:v>Source model result</x:v>
      </x:c>
      <x:c r="L73" s="83" t="str">
        <x:v>S07</x:v>
      </x:c>
      <x:c r="M73" s="83" t="str">
        <x:v>Prospettive di Sviluppo del Sistema Energetico 2050</x:v>
      </x:c>
      <x:c r="N73" s="83" t="n">
        <x:v>63</x:v>
      </x:c>
      <x:c r="O73" s="83" t="n">
        <x:v>61</x:v>
      </x:c>
      <x:c r="P73" s="83" t="str">
        <x:v>Figure 53</x:v>
      </x:c>
      <x:c r="Q73" s="83" t="str">
        <x:v>Risultato di modello</x:v>
      </x:c>
      <x:c r="R73" s="83" t="str">
        <x:v>Direct narrative/figure</x:v>
      </x:c>
      <x:c r="S73" s="83" t="str">
        <x:v>A — Direct</x:v>
      </x:c>
      <x:c r="T73" s="83" t="str">
        <x:v>Validation of hourly load/VRE profiles.</x:v>
      </x:c>
      <x:c r="U73" s="83" t="str">
        <x:v>Slightly more than 3,000 hours.</x:v>
      </x:c>
    </x:row>
    <x:row r="74">
      <x:c r="A74" s="83" t="str">
        <x:v>FL-070</x:v>
      </x:c>
      <x:c r="B74" s="83" t="str">
        <x:v>TERNA_2050_NUCLEAR</x:v>
      </x:c>
      <x:c r="C74" s="83" t="n">
        <x:v>2050</x:v>
      </x:c>
      <x:c r="D74" s="83" t="str">
        <x:v>Terna 2050 con nucleare</x:v>
      </x:c>
      <x:c r="E74" s="83" t="str">
        <x:v>Hourly duration curve</x:v>
      </x:c>
      <x:c r="F74" s="83" t="str">
        <x:v>Adequacy</x:v>
      </x:c>
      <x:c r="G74" s="83" t="str">
        <x:v>Programmable residual load maximum after storage and net imports</x:v>
      </x:c>
      <x:c r="H74" s="83" t="str">
        <x:v>≈</x:v>
      </x:c>
      <x:c r="I74" s="197" t="n">
        <x:v>25</x:v>
      </x:c>
      <x:c r="J74" s="83" t="str">
        <x:v>GW</x:v>
      </x:c>
      <x:c r="K74" s="83" t="str">
        <x:v>Source analytical estimate</x:v>
      </x:c>
      <x:c r="L74" s="83" t="str">
        <x:v>S07</x:v>
      </x:c>
      <x:c r="M74" s="83" t="str">
        <x:v>Prospettive di Sviluppo del Sistema Energetico 2050</x:v>
      </x:c>
      <x:c r="N74" s="83" t="n">
        <x:v>66</x:v>
      </x:c>
      <x:c r="O74" s="83" t="n">
        <x:v>64</x:v>
      </x:c>
      <x:c r="P74" s="83" t="str">
        <x:v>Figure 56 / narrative</x:v>
      </x:c>
      <x:c r="Q74" s="83" t="str">
        <x:v>Risultato/estimate della fonte</x:v>
      </x:c>
      <x:c r="R74" s="83" t="str">
        <x:v>Direct narrative</x:v>
      </x:c>
      <x:c r="S74" s="83" t="str">
        <x:v>A — Direct</x:v>
      </x:c>
      <x:c r="T74" s="83" t="str">
        <x:v>Adequacy context; dispatch-only model still requires fixed programmable capacity.</x:v>
      </x:c>
      <x:c r="U74" s="83" t="str">
        <x:v>Approximate maximum.</x:v>
      </x:c>
    </x:row>
    <x:row r="75">
      <x:c r="A75" s="83" t="str">
        <x:v>FL-071</x:v>
      </x:c>
      <x:c r="B75" s="83" t="str">
        <x:v>TERNA_2050_NUCLEAR</x:v>
      </x:c>
      <x:c r="C75" s="83" t="n">
        <x:v>2050</x:v>
      </x:c>
      <x:c r="D75" s="83" t="str">
        <x:v>Terna 2050 con nucleare</x:v>
      </x:c>
      <x:c r="E75" s="83" t="str">
        <x:v>Hourly duration curve</x:v>
      </x:c>
      <x:c r="F75" s="83" t="str">
        <x:v>Adequacy</x:v>
      </x:c>
      <x:c r="G75" s="83" t="str">
        <x:v>Minimum efficient programmable capacity with 15% rating</x:v>
      </x:c>
      <x:c r="H75" s="83" t="str">
        <x:v>≥</x:v>
      </x:c>
      <x:c r="I75" s="197" t="n">
        <x:v>30</x:v>
      </x:c>
      <x:c r="J75" s="83" t="str">
        <x:v>GW</x:v>
      </x:c>
      <x:c r="K75" s="83" t="str">
        <x:v>Source analytical estimate</x:v>
      </x:c>
      <x:c r="L75" s="83" t="str">
        <x:v>S07</x:v>
      </x:c>
      <x:c r="M75" s="83" t="str">
        <x:v>Prospettive di Sviluppo del Sistema Energetico 2050</x:v>
      </x:c>
      <x:c r="N75" s="83" t="n">
        <x:v>66</x:v>
      </x:c>
      <x:c r="O75" s="83" t="n">
        <x:v>64</x:v>
      </x:c>
      <x:c r="P75" s="83" t="str">
        <x:v>Figure 56 / narrative</x:v>
      </x:c>
      <x:c r="Q75" s="83" t="str">
        <x:v>Risultato/estimate della fonte</x:v>
      </x:c>
      <x:c r="R75" s="83" t="str">
        <x:v>Direct narrative</x:v>
      </x:c>
      <x:c r="S75" s="83" t="str">
        <x:v>A — Direct</x:v>
      </x:c>
      <x:c r="T75" s="83" t="str">
        <x:v>Adequacy context; dispatch-only model still requires fixed programmable capacity.</x:v>
      </x:c>
      <x:c r="U75" s="83" t="str">
        <x:v>Adequacy indication for 3 h/year LOLE.</x:v>
      </x:c>
    </x:row>
    <x:row r="76">
      <x:c r="A76" s="83" t="str">
        <x:v>FL-072</x:v>
      </x:c>
      <x:c r="B76" s="83" t="str">
        <x:v>HIST_2023</x:v>
      </x:c>
      <x:c r="C76" s="83" t="n">
        <x:v>2023</x:v>
      </x:c>
      <x:c r="D76" s="83" t="str">
        <x:v>Storico 2023</x:v>
      </x:c>
      <x:c r="E76" s="83" t="str">
        <x:v>Daily</x:v>
      </x:c>
      <x:c r="F76" s="83" t="str">
        <x:v>Flexibility need index</x:v>
      </x:c>
      <x:c r="G76" s="83" t="str">
        <x:v>Daily flexibility index</x:v>
      </x:c>
      <x:c r="H76" s="83" t="str">
        <x:v>=</x:v>
      </x:c>
      <x:c r="I76" s="197" t="n">
        <x:v>100</x:v>
      </x:c>
      <x:c r="J76" s="83" t="str">
        <x:v>index (Daily 2023=100)</x:v>
      </x:c>
      <x:c r="K76" s="83" t="str">
        <x:v>Source analytical index</x:v>
      </x:c>
      <x:c r="L76" s="83" t="str">
        <x:v>S07</x:v>
      </x:c>
      <x:c r="M76" s="83" t="str">
        <x:v>Prospettive di Sviluppo del Sistema Energetico 2050</x:v>
      </x:c>
      <x:c r="N76" s="83" t="n">
        <x:v>67</x:v>
      </x:c>
      <x:c r="O76" s="83" t="n">
        <x:v>65</x:v>
      </x:c>
      <x:c r="P76" s="83" t="str">
        <x:v>Figure 57</x:v>
      </x:c>
      <x:c r="Q76" s="83" t="str">
        <x:v>Risultato di modello/indicator</x:v>
      </x:c>
      <x:c r="R76" s="83" t="str">
        <x:v>Direct chart labels</x:v>
      </x:c>
      <x:c r="S76" s="83" t="str">
        <x:v>A — Direct</x:v>
      </x:c>
      <x:c r="T76" s="83" t="str">
        <x:v>Context/validation, not direct solver constraint.</x:v>
      </x:c>
      <x:c r="U76" s="83" t="str">
        <x:v>Daily 2023 is normalized to 100; other indices are reported on same graphic basis.</x:v>
      </x:c>
    </x:row>
    <x:row r="77">
      <x:c r="A77" s="83" t="str">
        <x:v>FL-073</x:v>
      </x:c>
      <x:c r="B77" s="83" t="str">
        <x:v>PNIEC_POLICY_2030</x:v>
      </x:c>
      <x:c r="C77" s="83" t="n">
        <x:v>2030</x:v>
      </x:c>
      <x:c r="D77" s="83" t="str">
        <x:v>PNIEC Policy 2030</x:v>
      </x:c>
      <x:c r="E77" s="83" t="str">
        <x:v>Daily</x:v>
      </x:c>
      <x:c r="F77" s="83" t="str">
        <x:v>Flexibility need index</x:v>
      </x:c>
      <x:c r="G77" s="83" t="str">
        <x:v>Daily flexibility index</x:v>
      </x:c>
      <x:c r="H77" s="83" t="str">
        <x:v>=</x:v>
      </x:c>
      <x:c r="I77" s="197" t="n">
        <x:v>240</x:v>
      </x:c>
      <x:c r="J77" s="83" t="str">
        <x:v>index (Daily 2023=100)</x:v>
      </x:c>
      <x:c r="K77" s="83" t="str">
        <x:v>Source analytical index</x:v>
      </x:c>
      <x:c r="L77" s="83" t="str">
        <x:v>S07</x:v>
      </x:c>
      <x:c r="M77" s="83" t="str">
        <x:v>Prospettive di Sviluppo del Sistema Energetico 2050</x:v>
      </x:c>
      <x:c r="N77" s="83" t="n">
        <x:v>67</x:v>
      </x:c>
      <x:c r="O77" s="83" t="n">
        <x:v>65</x:v>
      </x:c>
      <x:c r="P77" s="83" t="str">
        <x:v>Figure 57</x:v>
      </x:c>
      <x:c r="Q77" s="83" t="str">
        <x:v>Risultato di modello/indicator</x:v>
      </x:c>
      <x:c r="R77" s="83" t="str">
        <x:v>Direct chart labels</x:v>
      </x:c>
      <x:c r="S77" s="83" t="str">
        <x:v>A — Direct</x:v>
      </x:c>
      <x:c r="T77" s="83" t="str">
        <x:v>Context/validation, not direct solver constraint.</x:v>
      </x:c>
      <x:c r="U77" s="83" t="str">
        <x:v>Daily 2023 is normalized to 100; other indices are reported on same graphic basis.</x:v>
      </x:c>
    </x:row>
    <x:row r="78">
      <x:c r="A78" s="83" t="str">
        <x:v>FL-074</x:v>
      </x:c>
      <x:c r="B78" s="83" t="str">
        <x:v>DE_IT_2040</x:v>
      </x:c>
      <x:c r="C78" s="83" t="n">
        <x:v>2040</x:v>
      </x:c>
      <x:c r="D78" s="83" t="str">
        <x:v>DE-IT 2040</x:v>
      </x:c>
      <x:c r="E78" s="83" t="str">
        <x:v>Daily</x:v>
      </x:c>
      <x:c r="F78" s="83" t="str">
        <x:v>Flexibility need index</x:v>
      </x:c>
      <x:c r="G78" s="83" t="str">
        <x:v>Daily flexibility index</x:v>
      </x:c>
      <x:c r="H78" s="83" t="str">
        <x:v>=</x:v>
      </x:c>
      <x:c r="I78" s="197" t="n">
        <x:v>411</x:v>
      </x:c>
      <x:c r="J78" s="83" t="str">
        <x:v>index (Daily 2023=100)</x:v>
      </x:c>
      <x:c r="K78" s="83" t="str">
        <x:v>Source analytical index</x:v>
      </x:c>
      <x:c r="L78" s="83" t="str">
        <x:v>S07</x:v>
      </x:c>
      <x:c r="M78" s="83" t="str">
        <x:v>Prospettive di Sviluppo del Sistema Energetico 2050</x:v>
      </x:c>
      <x:c r="N78" s="83" t="n">
        <x:v>67</x:v>
      </x:c>
      <x:c r="O78" s="83" t="n">
        <x:v>65</x:v>
      </x:c>
      <x:c r="P78" s="83" t="str">
        <x:v>Figure 57</x:v>
      </x:c>
      <x:c r="Q78" s="83" t="str">
        <x:v>Risultato di modello/indicator</x:v>
      </x:c>
      <x:c r="R78" s="83" t="str">
        <x:v>Direct chart labels</x:v>
      </x:c>
      <x:c r="S78" s="83" t="str">
        <x:v>A — Direct</x:v>
      </x:c>
      <x:c r="T78" s="83" t="str">
        <x:v>Context/validation, not direct solver constraint.</x:v>
      </x:c>
      <x:c r="U78" s="83" t="str">
        <x:v>Daily 2023 is normalized to 100; other indices are reported on same graphic basis.</x:v>
      </x:c>
    </x:row>
    <x:row r="79">
      <x:c r="A79" s="83" t="str">
        <x:v>FL-075</x:v>
      </x:c>
      <x:c r="B79" s="83" t="str">
        <x:v>TERNA_2050_NUCLEAR</x:v>
      </x:c>
      <x:c r="C79" s="83" t="n">
        <x:v>2050</x:v>
      </x:c>
      <x:c r="D79" s="83" t="str">
        <x:v>Terna 2050 con nucleare</x:v>
      </x:c>
      <x:c r="E79" s="83" t="str">
        <x:v>Daily</x:v>
      </x:c>
      <x:c r="F79" s="83" t="str">
        <x:v>Flexibility need index</x:v>
      </x:c>
      <x:c r="G79" s="83" t="str">
        <x:v>Daily flexibility index</x:v>
      </x:c>
      <x:c r="H79" s="83" t="str">
        <x:v>=</x:v>
      </x:c>
      <x:c r="I79" s="197" t="n">
        <x:v>665</x:v>
      </x:c>
      <x:c r="J79" s="83" t="str">
        <x:v>index (Daily 2023=100)</x:v>
      </x:c>
      <x:c r="K79" s="83" t="str">
        <x:v>Source analytical index</x:v>
      </x:c>
      <x:c r="L79" s="83" t="str">
        <x:v>S07</x:v>
      </x:c>
      <x:c r="M79" s="83" t="str">
        <x:v>Prospettive di Sviluppo del Sistema Energetico 2050</x:v>
      </x:c>
      <x:c r="N79" s="83" t="n">
        <x:v>67</x:v>
      </x:c>
      <x:c r="O79" s="83" t="n">
        <x:v>65</x:v>
      </x:c>
      <x:c r="P79" s="83" t="str">
        <x:v>Figure 57</x:v>
      </x:c>
      <x:c r="Q79" s="83" t="str">
        <x:v>Risultato di modello/indicator</x:v>
      </x:c>
      <x:c r="R79" s="83" t="str">
        <x:v>Direct chart labels</x:v>
      </x:c>
      <x:c r="S79" s="83" t="str">
        <x:v>A — Direct</x:v>
      </x:c>
      <x:c r="T79" s="83" t="str">
        <x:v>Context/validation, not direct solver constraint.</x:v>
      </x:c>
      <x:c r="U79" s="83" t="str">
        <x:v>Daily 2023 is normalized to 100; other indices are reported on same graphic basis.</x:v>
      </x:c>
    </x:row>
    <x:row r="80">
      <x:c r="A80" s="83" t="str">
        <x:v>FL-076</x:v>
      </x:c>
      <x:c r="B80" s="83" t="str">
        <x:v>HIST_2023</x:v>
      </x:c>
      <x:c r="C80" s="83" t="n">
        <x:v>2023</x:v>
      </x:c>
      <x:c r="D80" s="83" t="str">
        <x:v>Storico 2023</x:v>
      </x:c>
      <x:c r="E80" s="83" t="str">
        <x:v>Weekly</x:v>
      </x:c>
      <x:c r="F80" s="83" t="str">
        <x:v>Flexibility need index</x:v>
      </x:c>
      <x:c r="G80" s="83" t="str">
        <x:v>Weekly flexibility index</x:v>
      </x:c>
      <x:c r="H80" s="83" t="str">
        <x:v>=</x:v>
      </x:c>
      <x:c r="I80" s="197" t="n">
        <x:v>87</x:v>
      </x:c>
      <x:c r="J80" s="83" t="str">
        <x:v>index (Daily 2023=100)</x:v>
      </x:c>
      <x:c r="K80" s="83" t="str">
        <x:v>Source analytical index</x:v>
      </x:c>
      <x:c r="L80" s="83" t="str">
        <x:v>S07</x:v>
      </x:c>
      <x:c r="M80" s="83" t="str">
        <x:v>Prospettive di Sviluppo del Sistema Energetico 2050</x:v>
      </x:c>
      <x:c r="N80" s="83" t="n">
        <x:v>67</x:v>
      </x:c>
      <x:c r="O80" s="83" t="n">
        <x:v>65</x:v>
      </x:c>
      <x:c r="P80" s="83" t="str">
        <x:v>Figure 57</x:v>
      </x:c>
      <x:c r="Q80" s="83" t="str">
        <x:v>Risultato di modello/indicator</x:v>
      </x:c>
      <x:c r="R80" s="83" t="str">
        <x:v>Direct chart labels</x:v>
      </x:c>
      <x:c r="S80" s="83" t="str">
        <x:v>A — Direct</x:v>
      </x:c>
      <x:c r="T80" s="83" t="str">
        <x:v>Context/validation, not direct solver constraint.</x:v>
      </x:c>
      <x:c r="U80" s="83" t="str">
        <x:v>Daily 2023 is normalized to 100; other indices are reported on same graphic basis.</x:v>
      </x:c>
    </x:row>
    <x:row r="81">
      <x:c r="A81" s="83" t="str">
        <x:v>FL-077</x:v>
      </x:c>
      <x:c r="B81" s="83" t="str">
        <x:v>PNIEC_POLICY_2030</x:v>
      </x:c>
      <x:c r="C81" s="83" t="n">
        <x:v>2030</x:v>
      </x:c>
      <x:c r="D81" s="83" t="str">
        <x:v>PNIEC Policy 2030</x:v>
      </x:c>
      <x:c r="E81" s="83" t="str">
        <x:v>Weekly</x:v>
      </x:c>
      <x:c r="F81" s="83" t="str">
        <x:v>Flexibility need index</x:v>
      </x:c>
      <x:c r="G81" s="83" t="str">
        <x:v>Weekly flexibility index</x:v>
      </x:c>
      <x:c r="H81" s="83" t="str">
        <x:v>=</x:v>
      </x:c>
      <x:c r="I81" s="197" t="n">
        <x:v>114</x:v>
      </x:c>
      <x:c r="J81" s="83" t="str">
        <x:v>index (Daily 2023=100)</x:v>
      </x:c>
      <x:c r="K81" s="83" t="str">
        <x:v>Source analytical index</x:v>
      </x:c>
      <x:c r="L81" s="83" t="str">
        <x:v>S07</x:v>
      </x:c>
      <x:c r="M81" s="83" t="str">
        <x:v>Prospettive di Sviluppo del Sistema Energetico 2050</x:v>
      </x:c>
      <x:c r="N81" s="83" t="n">
        <x:v>67</x:v>
      </x:c>
      <x:c r="O81" s="83" t="n">
        <x:v>65</x:v>
      </x:c>
      <x:c r="P81" s="83" t="str">
        <x:v>Figure 57</x:v>
      </x:c>
      <x:c r="Q81" s="83" t="str">
        <x:v>Risultato di modello/indicator</x:v>
      </x:c>
      <x:c r="R81" s="83" t="str">
        <x:v>Direct chart labels</x:v>
      </x:c>
      <x:c r="S81" s="83" t="str">
        <x:v>A — Direct</x:v>
      </x:c>
      <x:c r="T81" s="83" t="str">
        <x:v>Context/validation, not direct solver constraint.</x:v>
      </x:c>
      <x:c r="U81" s="83" t="str">
        <x:v>Daily 2023 is normalized to 100; other indices are reported on same graphic basis.</x:v>
      </x:c>
    </x:row>
    <x:row r="82">
      <x:c r="A82" s="83" t="str">
        <x:v>FL-078</x:v>
      </x:c>
      <x:c r="B82" s="83" t="str">
        <x:v>DE_IT_2040</x:v>
      </x:c>
      <x:c r="C82" s="83" t="n">
        <x:v>2040</x:v>
      </x:c>
      <x:c r="D82" s="83" t="str">
        <x:v>DE-IT 2040</x:v>
      </x:c>
      <x:c r="E82" s="83" t="str">
        <x:v>Weekly</x:v>
      </x:c>
      <x:c r="F82" s="83" t="str">
        <x:v>Flexibility need index</x:v>
      </x:c>
      <x:c r="G82" s="83" t="str">
        <x:v>Weekly flexibility index</x:v>
      </x:c>
      <x:c r="H82" s="83" t="str">
        <x:v>=</x:v>
      </x:c>
      <x:c r="I82" s="197" t="n">
        <x:v>161</x:v>
      </x:c>
      <x:c r="J82" s="83" t="str">
        <x:v>index (Daily 2023=100)</x:v>
      </x:c>
      <x:c r="K82" s="83" t="str">
        <x:v>Source analytical index</x:v>
      </x:c>
      <x:c r="L82" s="83" t="str">
        <x:v>S07</x:v>
      </x:c>
      <x:c r="M82" s="83" t="str">
        <x:v>Prospettive di Sviluppo del Sistema Energetico 2050</x:v>
      </x:c>
      <x:c r="N82" s="83" t="n">
        <x:v>67</x:v>
      </x:c>
      <x:c r="O82" s="83" t="n">
        <x:v>65</x:v>
      </x:c>
      <x:c r="P82" s="83" t="str">
        <x:v>Figure 57</x:v>
      </x:c>
      <x:c r="Q82" s="83" t="str">
        <x:v>Risultato di modello/indicator</x:v>
      </x:c>
      <x:c r="R82" s="83" t="str">
        <x:v>Direct chart labels</x:v>
      </x:c>
      <x:c r="S82" s="83" t="str">
        <x:v>A — Direct</x:v>
      </x:c>
      <x:c r="T82" s="83" t="str">
        <x:v>Context/validation, not direct solver constraint.</x:v>
      </x:c>
      <x:c r="U82" s="83" t="str">
        <x:v>Daily 2023 is normalized to 100; other indices are reported on same graphic basis.</x:v>
      </x:c>
    </x:row>
    <x:row r="83">
      <x:c r="A83" s="83" t="str">
        <x:v>FL-079</x:v>
      </x:c>
      <x:c r="B83" s="83" t="str">
        <x:v>TERNA_2050_NUCLEAR</x:v>
      </x:c>
      <x:c r="C83" s="83" t="n">
        <x:v>2050</x:v>
      </x:c>
      <x:c r="D83" s="83" t="str">
        <x:v>Terna 2050 con nucleare</x:v>
      </x:c>
      <x:c r="E83" s="83" t="str">
        <x:v>Weekly</x:v>
      </x:c>
      <x:c r="F83" s="83" t="str">
        <x:v>Flexibility need index</x:v>
      </x:c>
      <x:c r="G83" s="83" t="str">
        <x:v>Weekly flexibility index</x:v>
      </x:c>
      <x:c r="H83" s="83" t="str">
        <x:v>=</x:v>
      </x:c>
      <x:c r="I83" s="197" t="n">
        <x:v>206</x:v>
      </x:c>
      <x:c r="J83" s="83" t="str">
        <x:v>index (Daily 2023=100)</x:v>
      </x:c>
      <x:c r="K83" s="83" t="str">
        <x:v>Source analytical index</x:v>
      </x:c>
      <x:c r="L83" s="83" t="str">
        <x:v>S07</x:v>
      </x:c>
      <x:c r="M83" s="83" t="str">
        <x:v>Prospettive di Sviluppo del Sistema Energetico 2050</x:v>
      </x:c>
      <x:c r="N83" s="83" t="n">
        <x:v>67</x:v>
      </x:c>
      <x:c r="O83" s="83" t="n">
        <x:v>65</x:v>
      </x:c>
      <x:c r="P83" s="83" t="str">
        <x:v>Figure 57</x:v>
      </x:c>
      <x:c r="Q83" s="83" t="str">
        <x:v>Risultato di modello/indicator</x:v>
      </x:c>
      <x:c r="R83" s="83" t="str">
        <x:v>Direct chart labels</x:v>
      </x:c>
      <x:c r="S83" s="83" t="str">
        <x:v>A — Direct</x:v>
      </x:c>
      <x:c r="T83" s="83" t="str">
        <x:v>Context/validation, not direct solver constraint.</x:v>
      </x:c>
      <x:c r="U83" s="83" t="str">
        <x:v>Daily 2023 is normalized to 100; other indices are reported on same graphic basis.</x:v>
      </x:c>
    </x:row>
    <x:row r="84">
      <x:c r="A84" s="83" t="str">
        <x:v>FL-080</x:v>
      </x:c>
      <x:c r="B84" s="83" t="str">
        <x:v>HIST_2023</x:v>
      </x:c>
      <x:c r="C84" s="83" t="n">
        <x:v>2023</x:v>
      </x:c>
      <x:c r="D84" s="83" t="str">
        <x:v>Storico 2023</x:v>
      </x:c>
      <x:c r="E84" s="83" t="str">
        <x:v>Monthly</x:v>
      </x:c>
      <x:c r="F84" s="83" t="str">
        <x:v>Flexibility need index</x:v>
      </x:c>
      <x:c r="G84" s="83" t="str">
        <x:v>Monthly flexibility index</x:v>
      </x:c>
      <x:c r="H84" s="83" t="str">
        <x:v>=</x:v>
      </x:c>
      <x:c r="I84" s="197" t="n">
        <x:v>36</x:v>
      </x:c>
      <x:c r="J84" s="83" t="str">
        <x:v>index (Daily 2023=100)</x:v>
      </x:c>
      <x:c r="K84" s="83" t="str">
        <x:v>Source analytical index</x:v>
      </x:c>
      <x:c r="L84" s="83" t="str">
        <x:v>S07</x:v>
      </x:c>
      <x:c r="M84" s="83" t="str">
        <x:v>Prospettive di Sviluppo del Sistema Energetico 2050</x:v>
      </x:c>
      <x:c r="N84" s="83" t="n">
        <x:v>67</x:v>
      </x:c>
      <x:c r="O84" s="83" t="n">
        <x:v>65</x:v>
      </x:c>
      <x:c r="P84" s="83" t="str">
        <x:v>Figure 57</x:v>
      </x:c>
      <x:c r="Q84" s="83" t="str">
        <x:v>Risultato di modello/indicator</x:v>
      </x:c>
      <x:c r="R84" s="83" t="str">
        <x:v>Direct chart labels</x:v>
      </x:c>
      <x:c r="S84" s="83" t="str">
        <x:v>A — Direct</x:v>
      </x:c>
      <x:c r="T84" s="83" t="str">
        <x:v>Context/validation, not direct solver constraint.</x:v>
      </x:c>
      <x:c r="U84" s="83" t="str">
        <x:v>Daily 2023 is normalized to 100; other indices are reported on same graphic basis.</x:v>
      </x:c>
    </x:row>
    <x:row r="85">
      <x:c r="A85" s="83" t="str">
        <x:v>FL-081</x:v>
      </x:c>
      <x:c r="B85" s="83" t="str">
        <x:v>PNIEC_POLICY_2030</x:v>
      </x:c>
      <x:c r="C85" s="83" t="n">
        <x:v>2030</x:v>
      </x:c>
      <x:c r="D85" s="83" t="str">
        <x:v>PNIEC Policy 2030</x:v>
      </x:c>
      <x:c r="E85" s="83" t="str">
        <x:v>Monthly</x:v>
      </x:c>
      <x:c r="F85" s="83" t="str">
        <x:v>Flexibility need index</x:v>
      </x:c>
      <x:c r="G85" s="83" t="str">
        <x:v>Monthly flexibility index</x:v>
      </x:c>
      <x:c r="H85" s="83" t="str">
        <x:v>=</x:v>
      </x:c>
      <x:c r="I85" s="197" t="n">
        <x:v>80</x:v>
      </x:c>
      <x:c r="J85" s="83" t="str">
        <x:v>index (Daily 2023=100)</x:v>
      </x:c>
      <x:c r="K85" s="83" t="str">
        <x:v>Source analytical index</x:v>
      </x:c>
      <x:c r="L85" s="83" t="str">
        <x:v>S07</x:v>
      </x:c>
      <x:c r="M85" s="83" t="str">
        <x:v>Prospettive di Sviluppo del Sistema Energetico 2050</x:v>
      </x:c>
      <x:c r="N85" s="83" t="n">
        <x:v>67</x:v>
      </x:c>
      <x:c r="O85" s="83" t="n">
        <x:v>65</x:v>
      </x:c>
      <x:c r="P85" s="83" t="str">
        <x:v>Figure 57</x:v>
      </x:c>
      <x:c r="Q85" s="83" t="str">
        <x:v>Risultato di modello/indicator</x:v>
      </x:c>
      <x:c r="R85" s="83" t="str">
        <x:v>Direct chart labels</x:v>
      </x:c>
      <x:c r="S85" s="83" t="str">
        <x:v>A — Direct</x:v>
      </x:c>
      <x:c r="T85" s="83" t="str">
        <x:v>Context/validation, not direct solver constraint.</x:v>
      </x:c>
      <x:c r="U85" s="83" t="str">
        <x:v>Daily 2023 is normalized to 100; other indices are reported on same graphic basis.</x:v>
      </x:c>
    </x:row>
    <x:row r="86">
      <x:c r="A86" s="83" t="str">
        <x:v>FL-082</x:v>
      </x:c>
      <x:c r="B86" s="83" t="str">
        <x:v>DE_IT_2040</x:v>
      </x:c>
      <x:c r="C86" s="83" t="n">
        <x:v>2040</x:v>
      </x:c>
      <x:c r="D86" s="83" t="str">
        <x:v>DE-IT 2040</x:v>
      </x:c>
      <x:c r="E86" s="83" t="str">
        <x:v>Monthly</x:v>
      </x:c>
      <x:c r="F86" s="83" t="str">
        <x:v>Flexibility need index</x:v>
      </x:c>
      <x:c r="G86" s="83" t="str">
        <x:v>Monthly flexibility index</x:v>
      </x:c>
      <x:c r="H86" s="83" t="str">
        <x:v>=</x:v>
      </x:c>
      <x:c r="I86" s="197" t="n">
        <x:v>121</x:v>
      </x:c>
      <x:c r="J86" s="83" t="str">
        <x:v>index (Daily 2023=100)</x:v>
      </x:c>
      <x:c r="K86" s="83" t="str">
        <x:v>Source analytical index</x:v>
      </x:c>
      <x:c r="L86" s="83" t="str">
        <x:v>S07</x:v>
      </x:c>
      <x:c r="M86" s="83" t="str">
        <x:v>Prospettive di Sviluppo del Sistema Energetico 2050</x:v>
      </x:c>
      <x:c r="N86" s="83" t="n">
        <x:v>67</x:v>
      </x:c>
      <x:c r="O86" s="83" t="n">
        <x:v>65</x:v>
      </x:c>
      <x:c r="P86" s="83" t="str">
        <x:v>Figure 57</x:v>
      </x:c>
      <x:c r="Q86" s="83" t="str">
        <x:v>Risultato di modello/indicator</x:v>
      </x:c>
      <x:c r="R86" s="83" t="str">
        <x:v>Direct chart labels</x:v>
      </x:c>
      <x:c r="S86" s="83" t="str">
        <x:v>A — Direct</x:v>
      </x:c>
      <x:c r="T86" s="83" t="str">
        <x:v>Context/validation, not direct solver constraint.</x:v>
      </x:c>
      <x:c r="U86" s="83" t="str">
        <x:v>Daily 2023 is normalized to 100; other indices are reported on same graphic basis.</x:v>
      </x:c>
    </x:row>
    <x:row r="87">
      <x:c r="A87" s="83" t="str">
        <x:v>FL-083</x:v>
      </x:c>
      <x:c r="B87" s="83" t="str">
        <x:v>TERNA_2050_NUCLEAR</x:v>
      </x:c>
      <x:c r="C87" s="83" t="n">
        <x:v>2050</x:v>
      </x:c>
      <x:c r="D87" s="83" t="str">
        <x:v>Terna 2050 con nucleare</x:v>
      </x:c>
      <x:c r="E87" s="83" t="str">
        <x:v>Monthly</x:v>
      </x:c>
      <x:c r="F87" s="83" t="str">
        <x:v>Flexibility need index</x:v>
      </x:c>
      <x:c r="G87" s="83" t="str">
        <x:v>Monthly flexibility index</x:v>
      </x:c>
      <x:c r="H87" s="83" t="str">
        <x:v>=</x:v>
      </x:c>
      <x:c r="I87" s="197" t="n">
        <x:v>188</x:v>
      </x:c>
      <x:c r="J87" s="83" t="str">
        <x:v>index (Daily 2023=100)</x:v>
      </x:c>
      <x:c r="K87" s="83" t="str">
        <x:v>Source analytical index</x:v>
      </x:c>
      <x:c r="L87" s="83" t="str">
        <x:v>S07</x:v>
      </x:c>
      <x:c r="M87" s="83" t="str">
        <x:v>Prospettive di Sviluppo del Sistema Energetico 2050</x:v>
      </x:c>
      <x:c r="N87" s="83" t="n">
        <x:v>67</x:v>
      </x:c>
      <x:c r="O87" s="83" t="n">
        <x:v>65</x:v>
      </x:c>
      <x:c r="P87" s="83" t="str">
        <x:v>Figure 57</x:v>
      </x:c>
      <x:c r="Q87" s="83" t="str">
        <x:v>Risultato di modello/indicator</x:v>
      </x:c>
      <x:c r="R87" s="83" t="str">
        <x:v>Direct chart labels</x:v>
      </x:c>
      <x:c r="S87" s="83" t="str">
        <x:v>A — Direct</x:v>
      </x:c>
      <x:c r="T87" s="83" t="str">
        <x:v>Context/validation, not direct solver constraint.</x:v>
      </x:c>
      <x:c r="U87" s="83" t="str">
        <x:v>Daily 2023 is normalized to 100; other indices are reported on same graphic basis.</x:v>
      </x:c>
    </x:row>
    <x:row r="88">
      <x:c r="A88" s="83" t="str">
        <x:v>FL-084</x:v>
      </x:c>
      <x:c r="B88" s="83" t="str">
        <x:v>HIST_2023</x:v>
      </x:c>
      <x:c r="C88" s="83" t="n">
        <x:v>2023</x:v>
      </x:c>
      <x:c r="D88" s="83" t="str">
        <x:v>Storico 2023</x:v>
      </x:c>
      <x:c r="E88" s="83" t="str">
        <x:v>Daily</x:v>
      </x:c>
      <x:c r="F88" s="83" t="str">
        <x:v>Flexibility contribution</x:v>
      </x:c>
      <x:c r="G88" s="83" t="str">
        <x:v>Daily flexibility contribution — Thermal generation</x:v>
      </x:c>
      <x:c r="H88" s="83" t="str">
        <x:v>=</x:v>
      </x:c>
      <x:c r="I88" s="197" t="n">
        <x:v>65</x:v>
      </x:c>
      <x:c r="J88" s="83" t="str">
        <x:v>%</x:v>
      </x:c>
      <x:c r="K88" s="83" t="str">
        <x:v>Source share</x:v>
      </x:c>
      <x:c r="L88" s="83" t="str">
        <x:v>S07</x:v>
      </x:c>
      <x:c r="M88" s="83" t="str">
        <x:v>Prospettive di Sviluppo del Sistema Energetico 2050</x:v>
      </x:c>
      <x:c r="N88" s="83" t="n">
        <x:v>68</x:v>
      </x:c>
      <x:c r="O88" s="83" t="n">
        <x:v>66</x:v>
      </x:c>
      <x:c r="P88" s="83" t="str">
        <x:v>Figure 58 / narrative</x:v>
      </x:c>
      <x:c r="Q88" s="83" t="str">
        <x:v>Direct</x:v>
      </x:c>
      <x:c r="R88" s="83" t="str">
        <x:v>Direct narrative</x:v>
      </x:c>
      <x:c r="S88" s="83" t="str">
        <x:v>A direct / B derived</x:v>
      </x:c>
      <x:c r="T88" s="83" t="str">
        <x:v>Context for flexibility portfolio.</x:v>
      </x:c>
      <x:c r="U88" s="83" t="str">
        <x:v>Approximate 2023 daily share.</x:v>
      </x:c>
    </x:row>
    <x:row r="89">
      <x:c r="A89" s="83" t="str">
        <x:v>FL-085</x:v>
      </x:c>
      <x:c r="B89" s="83" t="str">
        <x:v>TERNA_2050_NUCLEAR</x:v>
      </x:c>
      <x:c r="C89" s="83" t="n">
        <x:v>2050</x:v>
      </x:c>
      <x:c r="D89" s="83" t="str">
        <x:v>Terna 2050 con nucleare</x:v>
      </x:c>
      <x:c r="E89" s="83" t="str">
        <x:v>Daily</x:v>
      </x:c>
      <x:c r="F89" s="83" t="str">
        <x:v>Flexibility contribution</x:v>
      </x:c>
      <x:c r="G89" s="83" t="str">
        <x:v>Daily flexibility contribution — Energy storage</x:v>
      </x:c>
      <x:c r="H89" s="83" t="str">
        <x:v>=</x:v>
      </x:c>
      <x:c r="I89" s="197" t="n">
        <x:v>58</x:v>
      </x:c>
      <x:c r="J89" s="83" t="str">
        <x:v>%</x:v>
      </x:c>
      <x:c r="K89" s="83" t="str">
        <x:v>Source share</x:v>
      </x:c>
      <x:c r="L89" s="83" t="str">
        <x:v>S07</x:v>
      </x:c>
      <x:c r="M89" s="83" t="str">
        <x:v>Prospettive di Sviluppo del Sistema Energetico 2050</x:v>
      </x:c>
      <x:c r="N89" s="83" t="n">
        <x:v>68</x:v>
      </x:c>
      <x:c r="O89" s="83" t="n">
        <x:v>66</x:v>
      </x:c>
      <x:c r="P89" s="83" t="str">
        <x:v>Figure 58 / narrative</x:v>
      </x:c>
      <x:c r="Q89" s="83" t="str">
        <x:v>Direct</x:v>
      </x:c>
      <x:c r="R89" s="83" t="str">
        <x:v>Direct narrative</x:v>
      </x:c>
      <x:c r="S89" s="83" t="str">
        <x:v>A direct / B derived</x:v>
      </x:c>
      <x:c r="T89" s="83" t="str">
        <x:v>Context for flexibility portfolio.</x:v>
      </x:c>
      <x:c r="U89" s="83" t="str">
        <x:v>Electrochemical plus pumped hydro.</x:v>
      </x:c>
    </x:row>
    <x:row r="90">
      <x:c r="A90" s="83" t="str">
        <x:v>FL-086</x:v>
      </x:c>
      <x:c r="B90" s="83" t="str">
        <x:v>TERNA_2050_NUCLEAR</x:v>
      </x:c>
      <x:c r="C90" s="83" t="n">
        <x:v>2050</x:v>
      </x:c>
      <x:c r="D90" s="83" t="str">
        <x:v>Terna 2050 con nucleare</x:v>
      </x:c>
      <x:c r="E90" s="83" t="str">
        <x:v>Daily</x:v>
      </x:c>
      <x:c r="F90" s="83" t="str">
        <x:v>Flexibility contribution</x:v>
      </x:c>
      <x:c r="G90" s="83" t="str">
        <x:v>Daily flexibility contribution — Electrolysers</x:v>
      </x:c>
      <x:c r="H90" s="83" t="str">
        <x:v>=</x:v>
      </x:c>
      <x:c r="I90" s="197" t="n">
        <x:v>17</x:v>
      </x:c>
      <x:c r="J90" s="83" t="str">
        <x:v>%</x:v>
      </x:c>
      <x:c r="K90" s="83" t="str">
        <x:v>Source share</x:v>
      </x:c>
      <x:c r="L90" s="83" t="str">
        <x:v>S07</x:v>
      </x:c>
      <x:c r="M90" s="83" t="str">
        <x:v>Prospettive di Sviluppo del Sistema Energetico 2050</x:v>
      </x:c>
      <x:c r="N90" s="83" t="n">
        <x:v>68</x:v>
      </x:c>
      <x:c r="O90" s="83" t="n">
        <x:v>66</x:v>
      </x:c>
      <x:c r="P90" s="83" t="str">
        <x:v>Figure 58 / narrative</x:v>
      </x:c>
      <x:c r="Q90" s="83" t="str">
        <x:v>Direct</x:v>
      </x:c>
      <x:c r="R90" s="83" t="str">
        <x:v>Direct narrative</x:v>
      </x:c>
      <x:c r="S90" s="83" t="str">
        <x:v>A direct / B derived</x:v>
      </x:c>
      <x:c r="T90" s="83" t="str">
        <x:v>Context for flexibility portfolio.</x:v>
      </x:c>
      <x:c r="U90" s="83" t="str">
        <x:v>Flexible hydrogen production.</x:v>
      </x:c>
    </x:row>
    <x:row r="91">
      <x:c r="A91" s="83" t="str">
        <x:v>FL-087</x:v>
      </x:c>
      <x:c r="B91" s="83" t="str">
        <x:v>TERNA_2050_NUCLEAR</x:v>
      </x:c>
      <x:c r="C91" s="83" t="n">
        <x:v>2050</x:v>
      </x:c>
      <x:c r="D91" s="83" t="str">
        <x:v>Terna 2050 con nucleare</x:v>
      </x:c>
      <x:c r="E91" s="83" t="str">
        <x:v>Daily</x:v>
      </x:c>
      <x:c r="F91" s="83" t="str">
        <x:v>Flexibility contribution</x:v>
      </x:c>
      <x:c r="G91" s="83" t="str">
        <x:v>Daily flexibility contribution — Curtailment</x:v>
      </x:c>
      <x:c r="H91" s="83" t="str">
        <x:v>=</x:v>
      </x:c>
      <x:c r="I91" s="197" t="n">
        <x:v>11</x:v>
      </x:c>
      <x:c r="J91" s="83" t="str">
        <x:v>%</x:v>
      </x:c>
      <x:c r="K91" s="83" t="str">
        <x:v>Source share</x:v>
      </x:c>
      <x:c r="L91" s="83" t="str">
        <x:v>S07</x:v>
      </x:c>
      <x:c r="M91" s="83" t="str">
        <x:v>Prospettive di Sviluppo del Sistema Energetico 2050</x:v>
      </x:c>
      <x:c r="N91" s="83" t="n">
        <x:v>68</x:v>
      </x:c>
      <x:c r="O91" s="83" t="n">
        <x:v>66</x:v>
      </x:c>
      <x:c r="P91" s="83" t="str">
        <x:v>Figure 58 / narrative</x:v>
      </x:c>
      <x:c r="Q91" s="83" t="str">
        <x:v>Direct</x:v>
      </x:c>
      <x:c r="R91" s="83" t="str">
        <x:v>Direct narrative</x:v>
      </x:c>
      <x:c r="S91" s="83" t="str">
        <x:v>A direct / B derived</x:v>
      </x:c>
      <x:c r="T91" s="83" t="str">
        <x:v>Context for flexibility portfolio.</x:v>
      </x:c>
      <x:c r="U91" s="83" t="str">
        <x:v>Downward flexibility.</x:v>
      </x:c>
    </x:row>
    <x:row r="92">
      <x:c r="A92" s="83" t="str">
        <x:v>FL-088</x:v>
      </x:c>
      <x:c r="B92" s="83" t="str">
        <x:v>TERNA_2050_NUCLEAR</x:v>
      </x:c>
      <x:c r="C92" s="83" t="n">
        <x:v>2050</x:v>
      </x:c>
      <x:c r="D92" s="83" t="str">
        <x:v>Terna 2050 con nucleare</x:v>
      </x:c>
      <x:c r="E92" s="83" t="str">
        <x:v>Daily</x:v>
      </x:c>
      <x:c r="F92" s="83" t="str">
        <x:v>Flexibility contribution</x:v>
      </x:c>
      <x:c r="G92" s="83" t="str">
        <x:v>Daily flexibility contribution — Other combined</x:v>
      </x:c>
      <x:c r="H92" s="83" t="str">
        <x:v>=</x:v>
      </x:c>
      <x:c r="I92" s="197" t="n">
        <x:v>14</x:v>
      </x:c>
      <x:c r="J92" s="83" t="str">
        <x:v>%</x:v>
      </x:c>
      <x:c r="K92" s="83" t="str">
        <x:v>Derived residual</x:v>
      </x:c>
      <x:c r="L92" s="83" t="str">
        <x:v>S07</x:v>
      </x:c>
      <x:c r="M92" s="83" t="str">
        <x:v>Prospettive di Sviluppo del Sistema Energetico 2050</x:v>
      </x:c>
      <x:c r="N92" s="83" t="n">
        <x:v>68</x:v>
      </x:c>
      <x:c r="O92" s="83" t="n">
        <x:v>66</x:v>
      </x:c>
      <x:c r="P92" s="83" t="str">
        <x:v>Figure 58 / narrative</x:v>
      </x:c>
      <x:c r="Q92" s="83" t="str">
        <x:v>B — Derived</x:v>
      </x:c>
      <x:c r="R92" s="83" t="str">
        <x:v>100 − 58 − 17 − 11</x:v>
      </x:c>
      <x:c r="S92" s="83" t="str">
        <x:v>A direct / B derived</x:v>
      </x:c>
      <x:c r="T92" s="83" t="str">
        <x:v>Context for flexibility portfolio.</x:v>
      </x:c>
      <x:c r="U92" s="83" t="str">
        <x:v>Derived residual: hydro, thermal+nuclear and interconnectors not split numerically.</x:v>
      </x:c>
    </x:row>
    <x:row r="93">
      <x:c r="A93" s="83" t="str">
        <x:v>FL-089</x:v>
      </x:c>
      <x:c r="B93" s="83" t="str">
        <x:v>TERNA_2050_NUCLEAR</x:v>
      </x:c>
      <x:c r="C93" s="83" t="n">
        <x:v>2050</x:v>
      </x:c>
      <x:c r="D93" s="83" t="str">
        <x:v>Terna 2050 con nucleare</x:v>
      </x:c>
      <x:c r="E93" s="83" t="str">
        <x:v>Monthly</x:v>
      </x:c>
      <x:c r="F93" s="83" t="str">
        <x:v>Flexibility contribution</x:v>
      </x:c>
      <x:c r="G93" s="83" t="str">
        <x:v>Monthly flexibility contribution — Programmable generation + interconnectors</x:v>
      </x:c>
      <x:c r="H93" s="83" t="str">
        <x:v>=</x:v>
      </x:c>
      <x:c r="I93" s="197" t="n">
        <x:v>40</x:v>
      </x:c>
      <x:c r="J93" s="83" t="str">
        <x:v>%</x:v>
      </x:c>
      <x:c r="K93" s="83" t="str">
        <x:v>Source share</x:v>
      </x:c>
      <x:c r="L93" s="83" t="str">
        <x:v>S07</x:v>
      </x:c>
      <x:c r="M93" s="83" t="str">
        <x:v>Prospettive di Sviluppo del Sistema Energetico 2050</x:v>
      </x:c>
      <x:c r="N93" s="83" t="n">
        <x:v>68</x:v>
      </x:c>
      <x:c r="O93" s="83" t="n">
        <x:v>66</x:v>
      </x:c>
      <x:c r="P93" s="83" t="str">
        <x:v>Figure 59 / narrative</x:v>
      </x:c>
      <x:c r="Q93" s="83" t="str">
        <x:v>Direct</x:v>
      </x:c>
      <x:c r="R93" s="83" t="str">
        <x:v>Direct narrative</x:v>
      </x:c>
      <x:c r="S93" s="83" t="str">
        <x:v>A — Direct</x:v>
      </x:c>
      <x:c r="T93" s="83" t="str">
        <x:v>Context; demonstrates seasonal limits of conventional storage.</x:v>
      </x:c>
      <x:c r="U93" s="83" t="str"/>
    </x:row>
    <x:row r="94">
      <x:c r="A94" s="83" t="str">
        <x:v>FL-090</x:v>
      </x:c>
      <x:c r="B94" s="83" t="str">
        <x:v>TERNA_2050_NUCLEAR</x:v>
      </x:c>
      <x:c r="C94" s="83" t="n">
        <x:v>2050</x:v>
      </x:c>
      <x:c r="D94" s="83" t="str">
        <x:v>Terna 2050 con nucleare</x:v>
      </x:c>
      <x:c r="E94" s="83" t="str">
        <x:v>Monthly</x:v>
      </x:c>
      <x:c r="F94" s="83" t="str">
        <x:v>Flexibility contribution</x:v>
      </x:c>
      <x:c r="G94" s="83" t="str">
        <x:v>Monthly flexibility contribution — Electrolysers</x:v>
      </x:c>
      <x:c r="H94" s="83" t="str">
        <x:v>=</x:v>
      </x:c>
      <x:c r="I94" s="197" t="n">
        <x:v>32</x:v>
      </x:c>
      <x:c r="J94" s="83" t="str">
        <x:v>%</x:v>
      </x:c>
      <x:c r="K94" s="83" t="str">
        <x:v>Source share</x:v>
      </x:c>
      <x:c r="L94" s="83" t="str">
        <x:v>S07</x:v>
      </x:c>
      <x:c r="M94" s="83" t="str">
        <x:v>Prospettive di Sviluppo del Sistema Energetico 2050</x:v>
      </x:c>
      <x:c r="N94" s="83" t="n">
        <x:v>68</x:v>
      </x:c>
      <x:c r="O94" s="83" t="n">
        <x:v>66</x:v>
      </x:c>
      <x:c r="P94" s="83" t="str">
        <x:v>Figure 59 / narrative</x:v>
      </x:c>
      <x:c r="Q94" s="83" t="str">
        <x:v>Direct</x:v>
      </x:c>
      <x:c r="R94" s="83" t="str">
        <x:v>Direct narrative</x:v>
      </x:c>
      <x:c r="S94" s="83" t="str">
        <x:v>A — Direct</x:v>
      </x:c>
      <x:c r="T94" s="83" t="str">
        <x:v>Context; demonstrates seasonal limits of conventional storage.</x:v>
      </x:c>
      <x:c r="U94" s="83" t="str"/>
    </x:row>
    <x:row r="95">
      <x:c r="A95" s="83" t="str">
        <x:v>FL-091</x:v>
      </x:c>
      <x:c r="B95" s="83" t="str">
        <x:v>TERNA_2050_NUCLEAR</x:v>
      </x:c>
      <x:c r="C95" s="83" t="n">
        <x:v>2050</x:v>
      </x:c>
      <x:c r="D95" s="83" t="str">
        <x:v>Terna 2050 con nucleare</x:v>
      </x:c>
      <x:c r="E95" s="83" t="str">
        <x:v>Monthly</x:v>
      </x:c>
      <x:c r="F95" s="83" t="str">
        <x:v>Flexibility contribution</x:v>
      </x:c>
      <x:c r="G95" s="83" t="str">
        <x:v>Monthly flexibility contribution — Curtailment</x:v>
      </x:c>
      <x:c r="H95" s="83" t="str">
        <x:v>=</x:v>
      </x:c>
      <x:c r="I95" s="197" t="n">
        <x:v>28</x:v>
      </x:c>
      <x:c r="J95" s="83" t="str">
        <x:v>%</x:v>
      </x:c>
      <x:c r="K95" s="83" t="str">
        <x:v>Source share</x:v>
      </x:c>
      <x:c r="L95" s="83" t="str">
        <x:v>S07</x:v>
      </x:c>
      <x:c r="M95" s="83" t="str">
        <x:v>Prospettive di Sviluppo del Sistema Energetico 2050</x:v>
      </x:c>
      <x:c r="N95" s="83" t="n">
        <x:v>68</x:v>
      </x:c>
      <x:c r="O95" s="83" t="n">
        <x:v>66</x:v>
      </x:c>
      <x:c r="P95" s="83" t="str">
        <x:v>Figure 59 / narrative</x:v>
      </x:c>
      <x:c r="Q95" s="83" t="str">
        <x:v>Direct</x:v>
      </x:c>
      <x:c r="R95" s="83" t="str">
        <x:v>Direct narrative</x:v>
      </x:c>
      <x:c r="S95" s="83" t="str">
        <x:v>A — Direct</x:v>
      </x:c>
      <x:c r="T95" s="83" t="str">
        <x:v>Context; demonstrates seasonal limits of conventional storage.</x:v>
      </x:c>
      <x:c r="U95" s="83" t="str"/>
    </x:row>
    <x:row r="96">
      <x:c r="A96" s="83" t="str">
        <x:v>FL-092</x:v>
      </x:c>
      <x:c r="B96" s="83" t="str">
        <x:v>TERNA_2050_NUCLEAR</x:v>
      </x:c>
      <x:c r="C96" s="83" t="n">
        <x:v>2050</x:v>
      </x:c>
      <x:c r="D96" s="83" t="str">
        <x:v>Terna 2050 con nucleare</x:v>
      </x:c>
      <x:c r="E96" s="83" t="str">
        <x:v>Critical spring hours</x:v>
      </x:c>
      <x:c r="F96" s="83" t="str">
        <x:v>Curtailment</x:v>
      </x:c>
      <x:c r="G96" s="83" t="str">
        <x:v>FER power curtailment in extreme hours</x:v>
      </x:c>
      <x:c r="H96" s="83" t="str">
        <x:v>&gt;</x:v>
      </x:c>
      <x:c r="I96" s="197" t="n">
        <x:v>100</x:v>
      </x:c>
      <x:c r="J96" s="83" t="str">
        <x:v>GW</x:v>
      </x:c>
      <x:c r="K96" s="83" t="str">
        <x:v>Source analytical result</x:v>
      </x:c>
      <x:c r="L96" s="83" t="str">
        <x:v>S07</x:v>
      </x:c>
      <x:c r="M96" s="83" t="str">
        <x:v>Prospettive di Sviluppo del Sistema Energetico 2050</x:v>
      </x:c>
      <x:c r="N96" s="83" t="n">
        <x:v>69</x:v>
      </x:c>
      <x:c r="O96" s="83" t="n">
        <x:v>67</x:v>
      </x:c>
      <x:c r="P96" s="83" t="str">
        <x:v>Figure 60 / narrative</x:v>
      </x:c>
      <x:c r="Q96" s="83" t="str">
        <x:v>Risultato di modello</x:v>
      </x:c>
      <x:c r="R96" s="83" t="str">
        <x:v>Direct threshold</x:v>
      </x:c>
      <x:c r="S96" s="83" t="str">
        <x:v>A — Direct</x:v>
      </x:c>
      <x:c r="T96" s="83" t="str">
        <x:v>Stress-test validation; requires curtailment capability.</x:v>
      </x:c>
      <x:c r="U96" s="83" t="str">
        <x:v>Even after storage and reasonable export.</x:v>
      </x:c>
    </x:row>
    <x:row r="97">
      <x:c r="A97" s="83" t="str">
        <x:v>FL-093</x:v>
      </x:c>
      <x:c r="B97" s="83" t="str"/>
      <x:c r="C97" s="83" t="n">
        <x:v>2050</x:v>
      </x:c>
      <x:c r="D97" s="83" t="str">
        <x:v>Storage economics illustration</x:v>
      </x:c>
      <x:c r="E97" s="83" t="str">
        <x:v>Annual</x:v>
      </x:c>
      <x:c r="F97" s="83" t="str">
        <x:v>Seasonal storage economics</x:v>
      </x:c>
      <x:c r="G97" s="83" t="str">
        <x:v>Cost of energy shifted — One cycle per day</x:v>
      </x:c>
      <x:c r="H97" s="83" t="str">
        <x:v>=</x:v>
      </x:c>
      <x:c r="I97" s="197" t="n">
        <x:v>60</x:v>
      </x:c>
      <x:c r="J97" s="83" t="str">
        <x:v>€/MWh</x:v>
      </x:c>
      <x:c r="K97" s="83" t="str">
        <x:v>Illustrative source estimate</x:v>
      </x:c>
      <x:c r="L97" s="83" t="str">
        <x:v>S07</x:v>
      </x:c>
      <x:c r="M97" s="83" t="str">
        <x:v>Prospettive di Sviluppo del Sistema Energetico 2050</x:v>
      </x:c>
      <x:c r="N97" s="83" t="n">
        <x:v>69</x:v>
      </x:c>
      <x:c r="O97" s="83" t="n">
        <x:v>67</x:v>
      </x:c>
      <x:c r="P97" s="83" t="str">
        <x:v>Narrative referring to Figure 44</x:v>
      </x:c>
      <x:c r="Q97" s="83" t="str">
        <x:v>Contextual cost estimate</x:v>
      </x:c>
      <x:c r="R97" s="83" t="str">
        <x:v>Direct</x:v>
      </x:c>
      <x:c r="S97" s="83" t="str">
        <x:v>A — Direct</x:v>
      </x:c>
      <x:c r="T97" s="83" t="str">
        <x:v>Explains why seasonal flexibility cannot be covered economically by daily-cycle batteries.</x:v>
      </x:c>
      <x:c r="U97" s="83" t="str">
        <x:v>Not a dispatch marginal cost input.</x:v>
      </x:c>
    </x:row>
    <x:row r="98">
      <x:c r="A98" s="83" t="str">
        <x:v>FL-094</x:v>
      </x:c>
      <x:c r="B98" s="83" t="str"/>
      <x:c r="C98" s="83" t="n">
        <x:v>2050</x:v>
      </x:c>
      <x:c r="D98" s="83" t="str">
        <x:v>Storage economics illustration</x:v>
      </x:c>
      <x:c r="E98" s="83" t="str">
        <x:v>Annual</x:v>
      </x:c>
      <x:c r="F98" s="83" t="str">
        <x:v>Seasonal storage economics</x:v>
      </x:c>
      <x:c r="G98" s="83" t="str">
        <x:v>Cost of energy shifted — One cycle per year</x:v>
      </x:c>
      <x:c r="H98" s="83" t="str">
        <x:v>=</x:v>
      </x:c>
      <x:c r="I98" s="197" t="n">
        <x:v>21000</x:v>
      </x:c>
      <x:c r="J98" s="83" t="str">
        <x:v>€/MWh</x:v>
      </x:c>
      <x:c r="K98" s="83" t="str">
        <x:v>Illustrative source estimate</x:v>
      </x:c>
      <x:c r="L98" s="83" t="str">
        <x:v>S07</x:v>
      </x:c>
      <x:c r="M98" s="83" t="str">
        <x:v>Prospettive di Sviluppo del Sistema Energetico 2050</x:v>
      </x:c>
      <x:c r="N98" s="83" t="n">
        <x:v>69</x:v>
      </x:c>
      <x:c r="O98" s="83" t="n">
        <x:v>67</x:v>
      </x:c>
      <x:c r="P98" s="83" t="str">
        <x:v>Narrative referring to Figure 44</x:v>
      </x:c>
      <x:c r="Q98" s="83" t="str">
        <x:v>Contextual cost estimate</x:v>
      </x:c>
      <x:c r="R98" s="83" t="str">
        <x:v>Direct</x:v>
      </x:c>
      <x:c r="S98" s="83" t="str">
        <x:v>A — Direct</x:v>
      </x:c>
      <x:c r="T98" s="83" t="str">
        <x:v>Explains why seasonal flexibility cannot be covered economically by daily-cycle batteries.</x:v>
      </x:c>
      <x:c r="U98" s="83" t="str">
        <x:v>Not a dispatch marginal cost input.</x:v>
      </x:c>
    </x:row>
    <x:row r="99">
      <x:c r="A99" s="83" t="str">
        <x:v>FL-095</x:v>
      </x:c>
      <x:c r="B99" s="83" t="str"/>
      <x:c r="C99" s="83" t="n">
        <x:v>2050</x:v>
      </x:c>
      <x:c r="D99" s="83" t="str">
        <x:v>Long-term flexibility context</x:v>
      </x:c>
      <x:c r="E99" s="83" t="str">
        <x:v>Intra-day</x:v>
      </x:c>
      <x:c r="F99" s="83" t="str">
        <x:v>Demand response</x:v>
      </x:c>
      <x:c r="G99" s="83" t="str">
        <x:v>Theoretical round-trip efficiency analogue</x:v>
      </x:c>
      <x:c r="H99" s="83" t="str">
        <x:v>=</x:v>
      </x:c>
      <x:c r="I99" s="197" t="n">
        <x:v>1</x:v>
      </x:c>
      <x:c r="J99" s="83" t="str">
        <x:v>p.u.</x:v>
      </x:c>
      <x:c r="K99" s="83" t="str">
        <x:v>Conceptual source statement</x:v>
      </x:c>
      <x:c r="L99" s="83" t="str">
        <x:v>S07</x:v>
      </x:c>
      <x:c r="M99" s="83" t="str">
        <x:v>Prospettive di Sviluppo del Sistema Energetico 2050</x:v>
      </x:c>
      <x:c r="N99" s="83" t="n">
        <x:v>70</x:v>
      </x:c>
      <x:c r="O99" s="83" t="n">
        <x:v>68</x:v>
      </x:c>
      <x:c r="P99" s="83" t="str">
        <x:v>Narrative</x:v>
      </x:c>
      <x:c r="Q99" s="83" t="str">
        <x:v>Conceptual</x:v>
      </x:c>
      <x:c r="R99" s="83" t="str">
        <x:v>Direct statement</x:v>
      </x:c>
      <x:c r="S99" s="83" t="str">
        <x:v>A — Direct</x:v>
      </x:c>
      <x:c r="T99" s="83" t="str">
        <x:v>Only if explicit shift windows, availability and opportunity costs are modeled.</x:v>
      </x:c>
      <x:c r="U99" s="83" t="str">
        <x:v>Demand response can be analogous to storage without energy losses, within consumer shift constraints.</x:v>
      </x:c>
    </x:row>
    <x:row r="100">
      <x:c r="A100" s="83" t="str">
        <x:v>FL-096</x:v>
      </x:c>
      <x:c r="B100" s="83" t="str"/>
      <x:c r="C100" s="83" t="n">
        <x:v>2050</x:v>
      </x:c>
      <x:c r="D100" s="83" t="str">
        <x:v>Long-term flexibility context</x:v>
      </x:c>
      <x:c r="E100" s="83" t="str">
        <x:v>Distributed</x:v>
      </x:c>
      <x:c r="F100" s="83" t="str">
        <x:v>Distributed flexibility</x:v>
      </x:c>
      <x:c r="G100" s="83" t="str">
        <x:v>Potential from EV, heat pumps and distributed batteries</x:v>
      </x:c>
      <x:c r="H100" s="83" t="str">
        <x:v>=</x:v>
      </x:c>
      <x:c r="I100" s="197"/>
      <x:c r="J100" s="83" t="str">
        <x:v>Qualitative</x:v>
      </x:c>
      <x:c r="K100" s="83" t="str">
        <x:v>Context / unquantified</x:v>
      </x:c>
      <x:c r="L100" s="83" t="str">
        <x:v>S07</x:v>
      </x:c>
      <x:c r="M100" s="83" t="str">
        <x:v>Prospettive di Sviluppo del Sistema Energetico 2050</x:v>
      </x:c>
      <x:c r="N100" s="83" t="n">
        <x:v>71</x:v>
      </x:c>
      <x:c r="O100" s="83" t="n">
        <x:v>69</x:v>
      </x:c>
      <x:c r="P100" s="83" t="str">
        <x:v>Narrative</x:v>
      </x:c>
      <x:c r="Q100" s="83" t="str">
        <x:v>Qualitative</x:v>
      </x:c>
      <x:c r="R100" s="83" t="str">
        <x:v>Direct narrative</x:v>
      </x:c>
      <x:c r="S100" s="83" t="str">
        <x:v>A — Direct qualitative</x:v>
      </x:c>
      <x:c r="T100" s="83" t="str">
        <x:v>Exclude from quantified base until profiles, participation and communication assumptions are defined.</x:v>
      </x:c>
      <x:c r="U100" s="83" t="str">
        <x:v>Theoretical potential is described as enormous; digital communication and aggregation standards are key enablers.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6ee14b78a6b14b9c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70" hidden="0" customWidth="1"/>
    <x:col min="4" max="4" width="34" hidden="0" customWidth="1"/>
    <x:col min="5" max="5" width="30" hidden="0" customWidth="1"/>
    <x:col min="6" max="6" width="60" hidden="0" customWidth="1"/>
  </x:cols>
  <x:sheetData>
    <x:row r="1" ht="34" customHeight="1">
      <x:c r="A1" s="188" t="str">
        <x:v>Decisioni su potenza, energia e architettura</x:v>
      </x:c>
      <x:c r="B1" s="188"/>
      <x:c r="C1" s="188"/>
      <x:c r="D1" s="188"/>
      <x:c r="E1" s="188"/>
      <x:c r="F1" s="188"/>
    </x:row>
    <x:row r="2" ht="30" customHeight="1">
      <x:c r="A2" s="192" t="str">
        <x:v>9 decisioni/proposte operative; nessuna blocca l'avvio della Fase 3C</x:v>
      </x:c>
      <x:c r="B2" s="192"/>
      <x:c r="C2" s="192"/>
      <x:c r="D2" s="192"/>
      <x:c r="E2" s="192"/>
      <x:c r="F2" s="192"/>
    </x:row>
    <x:row r="4" ht="42" customHeight="1">
      <x:c r="A4" s="196" t="str">
        <x:v>ID</x:v>
      </x:c>
      <x:c r="B4" s="196" t="str">
        <x:v>Tema</x:v>
      </x:c>
      <x:c r="C4" s="196" t="str">
        <x:v>Impostazione raccomandata</x:v>
      </x:c>
      <x:c r="D4" s="196" t="str">
        <x:v>Status</x:v>
      </x:c>
      <x:c r="E4" s="196" t="str">
        <x:v>Bloccante</x:v>
      </x:c>
      <x:c r="F4" s="196" t="str">
        <x:v>Motivazione</x:v>
      </x:c>
    </x:row>
    <x:row r="5">
      <x:c r="A5" s="83" t="str">
        <x:v>D15</x:v>
      </x:c>
      <x:c r="B5" s="83" t="str">
        <x:v>Hydro architecture</x:v>
      </x:c>
      <x:c r="C5" s="83" t="str">
        <x:v>Three classes: run-of-river Generator; reservoir Store+Link/StorageUnit; pumping Store+Links with asymmetric power.</x:v>
      </x:c>
      <x:c r="D5" s="83" t="str">
        <x:v>Operational proposal confirmed by Phase 3B evidence</x:v>
      </x:c>
      <x:c r="E5" s="83" t="str">
        <x:v>No for Phase 3C; yes before Phase 4 build</x:v>
      </x:c>
      <x:c r="F5" s="83" t="str">
        <x:v>Corpus gives distinct operating roles and asymmetric pumping/generation power.</x:v>
      </x:c>
    </x:row>
    <x:row r="6">
      <x:c r="A6" s="83" t="str">
        <x:v>D16</x:v>
      </x:c>
      <x:c r="B6" s="83" t="str">
        <x:v>Hydro SOC closure</x:v>
      </x:c>
      <x:c r="C6" s="83" t="str">
        <x:v>Cyclic annual SOC or calibrated terminal target; no free final SOC.</x:v>
      </x:c>
      <x:c r="D6" s="83" t="str">
        <x:v>Open implementation parameter</x:v>
      </x:c>
      <x:c r="E6" s="83" t="str">
        <x:v>No for Phase 3C; yes before simulation</x:v>
      </x:c>
      <x:c r="F6" s="83" t="str">
        <x:v>Corpus does not supply initial/final reservoir levels.</x:v>
      </x:c>
    </x:row>
    <x:row r="7">
      <x:c r="A7" s="83" t="str">
        <x:v>D17</x:v>
      </x:c>
      <x:c r="B7" s="83" t="str">
        <x:v>Battery component architecture</x:v>
      </x:c>
      <x:c r="C7" s="83" t="str">
        <x:v>Store + separate charge/discharge Links.</x:v>
      </x:c>
      <x:c r="D7" s="83" t="str">
        <x:v>Operational proposal confirmed</x:v>
      </x:c>
      <x:c r="E7" s="83" t="str">
        <x:v>No</x:v>
      </x:c>
      <x:c r="F7" s="83" t="str">
        <x:v>Power and energy are reported independently and some classes have duration ranges.</x:v>
      </x:c>
    </x:row>
    <x:row r="8">
      <x:c r="A8" s="83" t="str">
        <x:v>D18</x:v>
      </x:c>
      <x:c r="B8" s="83" t="str">
        <x:v>Small-scale duration</x:v>
      </x:c>
      <x:c r="C8" s="83" t="str">
        <x:v>Prefer two 2h and 4h classes; if shares remain unavailable, retain lower/upper p_nom bounds rather than silently assume 3h.</x:v>
      </x:c>
      <x:c r="D8" s="83" t="str">
        <x:v>Choice/data gap</x:v>
      </x:c>
      <x:c r="E8" s="83" t="str">
        <x:v>No for Phase 3C; yes before Phase 4</x:v>
      </x:c>
      <x:c r="F8" s="83" t="str">
        <x:v>DDS says 2 or 4 hours, not one 3-hour class.</x:v>
      </x:c>
    </x:row>
    <x:row r="9">
      <x:c r="A9" s="83" t="str">
        <x:v>D19</x:v>
      </x:c>
      <x:c r="B9" s="83" t="str">
        <x:v>Certain vs target/pipeline storage</x:v>
      </x:c>
      <x:c r="C9" s="83" t="str">
        <x:v>Base includes observed, CM/MACSE awarded and scenario-explicit capacity; connection requests remain sensitivities.</x:v>
      </x:c>
      <x:c r="D9" s="83" t="str">
        <x:v>Operational proposal confirmed</x:v>
      </x:c>
      <x:c r="E9" s="83" t="str">
        <x:v>No</x:v>
      </x:c>
      <x:c r="F9" s="83" t="str">
        <x:v>253 GW BESS and 9 GW pumping requests are not installed capacity.</x:v>
      </x:c>
    </x:row>
    <x:row r="10">
      <x:c r="A10" s="83" t="str">
        <x:v>3B-01</x:v>
      </x:c>
      <x:c r="B10" s="83" t="str">
        <x:v>Existing pumping energy convention</x:v>
      </x:c>
      <x:c r="C10" s="83" t="str">
        <x:v>Use 53 GWh physical stock for asset representation; retain 50 GWh DDS convention as reconciliation control/sensitivity.</x:v>
      </x:c>
      <x:c r="D10" s="83" t="str">
        <x:v>User choice required before Phase 4</x:v>
      </x:c>
      <x:c r="E10" s="83" t="str">
        <x:v>No for Phase 3C</x:v>
      </x:c>
      <x:c r="F10" s="83" t="str">
        <x:v>S01 physical estimate and DDS scenario convention differ by 3 GWh.</x:v>
      </x:c>
    </x:row>
    <x:row r="11">
      <x:c r="A11" s="83" t="str">
        <x:v>3B-02</x:v>
      </x:c>
      <x:c r="B11" s="83" t="str">
        <x:v>Capacity Market storage power/duration</x:v>
      </x:c>
      <x:c r="C11" s="83" t="str">
        <x:v>Do not derive p_nom from 7.5–8 GWh until auction/asset durations are acquired.</x:v>
      </x:c>
      <x:c r="D11" s="83" t="str">
        <x:v>External data gap</x:v>
      </x:c>
      <x:c r="E11" s="83" t="str">
        <x:v>No for Phase 3C; yes before Phase 4</x:v>
      </x:c>
      <x:c r="F11" s="83" t="str">
        <x:v>DDS reports energy, not duration/power.</x:v>
      </x:c>
    </x:row>
    <x:row r="12">
      <x:c r="A12" s="83" t="str">
        <x:v>3B-03</x:v>
      </x:c>
      <x:c r="B12" s="83" t="str">
        <x:v>2050 no-nuclear BESS power</x:v>
      </x:c>
      <x:c r="C12" s="83" t="str">
        <x:v>Do not assume same duration as nuclear branch automatically; retain 216 GWh e_nom and leave p_nom open.</x:v>
      </x:c>
      <x:c r="D12" s="83" t="str">
        <x:v>Choice/data gap</x:v>
      </x:c>
      <x:c r="E12" s="83" t="str">
        <x:v>No for Phase 3C; yes before Phase 4</x:v>
      </x:c>
      <x:c r="F12" s="83" t="str">
        <x:v>S07 gives 36 GW only in the illustrated nuclear configuration.</x:v>
      </x:c>
    </x:row>
    <x:row r="13">
      <x:c r="A13" s="83" t="str">
        <x:v>3B-04</x:v>
      </x:c>
      <x:c r="B13" s="83" t="str">
        <x:v>Efficiencies and standing loss</x:v>
      </x:c>
      <x:c r="C13" s="83" t="str">
        <x:v>Source from one coherent technical dataset in Phase 3D; scenario annual losses remain QA only.</x:v>
      </x:c>
      <x:c r="D13" s="83" t="str">
        <x:v>External data gap</x:v>
      </x:c>
      <x:c r="E13" s="83" t="str">
        <x:v>No for Phase 3C; yes before simulation</x:v>
      </x:c>
      <x:c r="F13" s="83" t="str">
        <x:v>Annual system losses cannot identify intrinsic charge/discharge efficiency.</x:v>
      </x:c>
    </x:row>
  </x:sheetData>
  <x:mergeCells>
    <x:mergeCell ref="A1:F1"/>
    <x:mergeCell ref="A2:F2"/>
  </x:mergeCells>
  <x:conditionalFormatting sqref="E5:E13">
    <x:cfRule type="expression" dxfId="41" priority="1">
      <x:formula>LEFT(E5,2)="No"</x:formula>
    </x:cfRule>
    <x:cfRule type="expression" dxfId="42" priority="2">
      <x:formula>LEFT(E5,3)="Yes"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1e618385a5468e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48" hidden="0" customWidth="1"/>
    <x:col min="4" max="4" width="20" hidden="0" customWidth="1"/>
    <x:col min="5" max="5" width="30" hidden="0" customWidth="1"/>
    <x:col min="6" max="6" width="36" hidden="0" customWidth="1"/>
    <x:col min="7" max="7" width="20" hidden="0" customWidth="1"/>
    <x:col min="8" max="8" width="42" hidden="0" customWidth="1"/>
    <x:col min="9" max="9" width="60" hidden="0" customWidth="1"/>
  </x:cols>
  <x:sheetData>
    <x:row r="1" ht="34" customHeight="1">
      <x:c r="A1" s="188" t="str">
        <x:v>Registro di estrazione — Fase 3B</x:v>
      </x:c>
      <x:c r="B1" s="188"/>
      <x:c r="C1" s="188"/>
      <x:c r="D1" s="188"/>
      <x:c r="E1" s="188"/>
      <x:c r="F1" s="188"/>
      <x:c r="G1" s="188"/>
      <x:c r="H1" s="188"/>
      <x:c r="I1" s="188"/>
    </x:row>
    <x:row r="2" ht="30" customHeight="1">
      <x:c r="A2" s="192" t="str">
        <x:v>13 blocchi documentali verificati</x:v>
      </x:c>
      <x:c r="B2" s="192"/>
      <x:c r="C2" s="192"/>
      <x:c r="D2" s="192"/>
      <x:c r="E2" s="192"/>
      <x:c r="F2" s="192"/>
      <x:c r="G2" s="192"/>
      <x:c r="H2" s="192"/>
      <x:c r="I2" s="192"/>
    </x:row>
    <x:row r="4" ht="42" customHeight="1">
      <x:c r="A4" s="196" t="str">
        <x:v>Extraction ID</x:v>
      </x:c>
      <x:c r="B4" s="196" t="str">
        <x:v>Fonte</x:v>
      </x:c>
      <x:c r="C4" s="196" t="str">
        <x:v>Contenuto</x:v>
      </x:c>
      <x:c r="D4" s="196" t="str">
        <x:v>Pagine PDF</x:v>
      </x:c>
      <x:c r="E4" s="196" t="str">
        <x:v>Tabella/Figura</x:v>
      </x:c>
      <x:c r="F4" s="196" t="str">
        <x:v>Blocco output</x:v>
      </x:c>
      <x:c r="G4" s="196" t="str">
        <x:v>Stato</x:v>
      </x:c>
      <x:c r="H4" s="196" t="str">
        <x:v>Metodo</x:v>
      </x:c>
      <x:c r="I4" s="196" t="str">
        <x:v>Note</x:v>
      </x:c>
    </x:row>
    <x:row r="5">
      <x:c r="A5" s="83" t="str">
        <x:v>E3B-001</x:v>
      </x:c>
      <x:c r="B5" s="83" t="str">
        <x:v>S01</x:v>
      </x:c>
      <x:c r="C5" s="83" t="str">
        <x:v>Historical electrochemical energy/power 2023-2024</x:v>
      </x:c>
      <x:c r="D5" s="83" t="str">
        <x:v>27-28</x:v>
      </x:c>
      <x:c r="E5" s="83" t="str">
        <x:v>Narrative; Figures 12-14</x:v>
      </x:c>
      <x:c r="F5" s="83" t="str">
        <x:v>20_STORAGE</x:v>
      </x:c>
      <x:c r="G5" s="83" t="str">
        <x:v>Complete</x:v>
      </x:c>
      <x:c r="H5" s="83" t="str">
        <x:v>Direct extraction + derived E/P</x:v>
      </x:c>
      <x:c r="I5" s="83" t="str"/>
    </x:row>
    <x:row r="6">
      <x:c r="A6" s="83" t="str">
        <x:v>E3B-002</x:v>
      </x:c>
      <x:c r="B6" s="83" t="str">
        <x:v>S07</x:v>
      </x:c>
      <x:c r="C6" s="83" t="str">
        <x:v>June 2025 electrochemical stock</x:v>
      </x:c>
      <x:c r="D6" s="83" t="str">
        <x:v>14</x:v>
      </x:c>
      <x:c r="E6" s="83" t="str">
        <x:v>Narrative</x:v>
      </x:c>
      <x:c r="F6" s="83" t="str">
        <x:v>20_STORAGE</x:v>
      </x:c>
      <x:c r="G6" s="83" t="str">
        <x:v>Complete</x:v>
      </x:c>
      <x:c r="H6" s="83" t="str">
        <x:v>Direct extraction</x:v>
      </x:c>
      <x:c r="I6" s="83" t="str"/>
    </x:row>
    <x:row r="7">
      <x:c r="A7" s="83" t="str">
        <x:v>E3B-003</x:v>
      </x:c>
      <x:c r="B7" s="83" t="str">
        <x:v>S09</x:v>
      </x:c>
      <x:c r="C7" s="83" t="str">
        <x:v>Storage taxonomy and 2030 composition</x:v>
      </x:c>
      <x:c r="D7" s="83" t="str">
        <x:v>48-49</x:v>
      </x:c>
      <x:c r="E7" s="83" t="str">
        <x:v>Figures 19-20; Table 9</x:v>
      </x:c>
      <x:c r="F7" s="83" t="str">
        <x:v>20_STORAGE</x:v>
      </x:c>
      <x:c r="G7" s="83" t="str">
        <x:v>Complete</x:v>
      </x:c>
      <x:c r="H7" s="83" t="str">
        <x:v>Direct extraction</x:v>
      </x:c>
      <x:c r="I7" s="83" t="str"/>
    </x:row>
    <x:row r="8">
      <x:c r="A8" s="83" t="str">
        <x:v>E3B-004</x:v>
      </x:c>
      <x:c r="B8" s="83" t="str">
        <x:v>S09</x:v>
      </x:c>
      <x:c r="C8" s="83" t="str">
        <x:v>Zonal storage energy 2023-2040</x:v>
      </x:c>
      <x:c r="D8" s="83" t="str">
        <x:v>62-63</x:v>
      </x:c>
      <x:c r="E8" s="83" t="str">
        <x:v>Table 16</x:v>
      </x:c>
      <x:c r="F8" s="83" t="str">
        <x:v>21_STORAGE_ZONAL</x:v>
      </x:c>
      <x:c r="G8" s="83" t="str">
        <x:v>Complete</x:v>
      </x:c>
      <x:c r="H8" s="83" t="str">
        <x:v>Direct table extraction</x:v>
      </x:c>
      <x:c r="I8" s="83" t="str"/>
    </x:row>
    <x:row r="9">
      <x:c r="A9" s="83" t="str">
        <x:v>E3B-005</x:v>
      </x:c>
      <x:c r="B9" s="83" t="str">
        <x:v>S04/S07</x:v>
      </x:c>
      <x:c r="C9" s="83" t="str">
        <x:v>MACSE need and first auction award</x:v>
      </x:c>
      <x:c r="D9" s="83" t="str">
        <x:v>33; 40-41</x:v>
      </x:c>
      <x:c r="E9" s="83" t="str">
        <x:v>Narrative</x:v>
      </x:c>
      <x:c r="F9" s="83" t="str">
        <x:v>20_STORAGE</x:v>
      </x:c>
      <x:c r="G9" s="83" t="str">
        <x:v>Complete</x:v>
      </x:c>
      <x:c r="H9" s="83" t="str">
        <x:v>Direct extraction</x:v>
      </x:c>
      <x:c r="I9" s="83" t="str"/>
    </x:row>
    <x:row r="10">
      <x:c r="A10" s="83" t="str">
        <x:v>E3B-006</x:v>
      </x:c>
      <x:c r="B10" s="83" t="str">
        <x:v>S04</x:v>
      </x:c>
      <x:c r="C10" s="83" t="str">
        <x:v>Electrochemical and pumping connection pipeline</x:v>
      </x:c>
      <x:c r="D10" s="83" t="str">
        <x:v>4; 30</x:v>
      </x:c>
      <x:c r="E10" s="83" t="str">
        <x:v>Tables 1, 7, 8</x:v>
      </x:c>
      <x:c r="F10" s="83" t="str">
        <x:v>20_STORAGE; 22_HYDRO</x:v>
      </x:c>
      <x:c r="G10" s="83" t="str">
        <x:v>Complete</x:v>
      </x:c>
      <x:c r="H10" s="83" t="str">
        <x:v>Direct extraction</x:v>
      </x:c>
      <x:c r="I10" s="83" t="str">
        <x:v>Pipeline kept separate from installed capacity.</x:v>
      </x:c>
    </x:row>
    <x:row r="11">
      <x:c r="A11" s="83" t="str">
        <x:v>E3B-007</x:v>
      </x:c>
      <x:c r="B11" s="83" t="str">
        <x:v>S01</x:v>
      </x:c>
      <x:c r="C11" s="83" t="str">
        <x:v>Existing pumped hydro stock and services</x:v>
      </x:c>
      <x:c r="D11" s="83" t="str">
        <x:v>57-59</x:v>
      </x:c>
      <x:c r="E11" s="83" t="str">
        <x:v>Section 3.5.1; Figure 36</x:v>
      </x:c>
      <x:c r="F11" s="83" t="str">
        <x:v>22_HYDRO</x:v>
      </x:c>
      <x:c r="G11" s="83" t="str">
        <x:v>Complete</x:v>
      </x:c>
      <x:c r="H11" s="83" t="str">
        <x:v>Direct extraction + derived aggregate duration</x:v>
      </x:c>
      <x:c r="I11" s="83" t="str"/>
    </x:row>
    <x:row r="12">
      <x:c r="A12" s="83" t="str">
        <x:v>E3B-008</x:v>
      </x:c>
      <x:c r="B12" s="83" t="str">
        <x:v>S01/S09</x:v>
      </x:c>
      <x:c r="C12" s="83" t="str">
        <x:v>Hydro generation historical and scenario control</x:v>
      </x:c>
      <x:c r="D12" s="83" t="str">
        <x:v>29; 66</x:v>
      </x:c>
      <x:c r="E12" s="83" t="str">
        <x:v>Figure 16; Table 18</x:v>
      </x:c>
      <x:c r="F12" s="83" t="str">
        <x:v>22_HYDRO</x:v>
      </x:c>
      <x:c r="G12" s="83" t="str">
        <x:v>Complete</x:v>
      </x:c>
      <x:c r="H12" s="83" t="str">
        <x:v>Direct extraction</x:v>
      </x:c>
      <x:c r="I12" s="83" t="str">
        <x:v>Source perimeter difference retained.</x:v>
      </x:c>
    </x:row>
    <x:row r="13">
      <x:c r="A13" s="83" t="str">
        <x:v>E3B-009</x:v>
      </x:c>
      <x:c r="B13" s="83" t="str">
        <x:v>S09</x:v>
      </x:c>
      <x:c r="C13" s="83" t="str">
        <x:v>Storage operation, losses, curtailment and electrolysers</x:v>
      </x:c>
      <x:c r="D13" s="83" t="str">
        <x:v>66; 70-71</x:v>
      </x:c>
      <x:c r="E13" s="83" t="str">
        <x:v>Table 18; Figures 35-38; Table 20</x:v>
      </x:c>
      <x:c r="F13" s="83" t="str">
        <x:v>23_FLEXIBILITY_CONTEXT</x:v>
      </x:c>
      <x:c r="G13" s="83" t="str">
        <x:v>Complete</x:v>
      </x:c>
      <x:c r="H13" s="83" t="str">
        <x:v>Direct extraction + simple derivations</x:v>
      </x:c>
      <x:c r="I13" s="83" t="str"/>
    </x:row>
    <x:row r="14">
      <x:c r="A14" s="83" t="str">
        <x:v>E3B-010</x:v>
      </x:c>
      <x:c r="B14" s="83" t="str">
        <x:v>S07</x:v>
      </x:c>
      <x:c r="C14" s="83" t="str">
        <x:v>2050 efficient storage sizing and annual balance</x:v>
      </x:c>
      <x:c r="D14" s="83" t="str">
        <x:v>58-59</x:v>
      </x:c>
      <x:c r="E14" s="83" t="str">
        <x:v>Table 4; Figure 49; Table 5</x:v>
      </x:c>
      <x:c r="F14" s="83" t="str">
        <x:v>20_STORAGE; 23_FLEXIBILITY_CONTEXT</x:v>
      </x:c>
      <x:c r="G14" s="83" t="str">
        <x:v>Complete</x:v>
      </x:c>
      <x:c r="H14" s="83" t="str">
        <x:v>Direct extraction + derived duration/energy</x:v>
      </x:c>
      <x:c r="I14" s="83" t="str"/>
    </x:row>
    <x:row r="15">
      <x:c r="A15" s="83" t="str">
        <x:v>E3B-011</x:v>
      </x:c>
      <x:c r="B15" s="83" t="str">
        <x:v>S07</x:v>
      </x:c>
      <x:c r="C15" s="83" t="str">
        <x:v>2050 residual load, adequacy and flexibility indices</x:v>
      </x:c>
      <x:c r="D15" s="83" t="str">
        <x:v>63-69</x:v>
      </x:c>
      <x:c r="E15" s="83" t="str">
        <x:v>Figures 53-60</x:v>
      </x:c>
      <x:c r="F15" s="83" t="str">
        <x:v>23_FLEXIBILITY_CONTEXT</x:v>
      </x:c>
      <x:c r="G15" s="83" t="str">
        <x:v>Complete</x:v>
      </x:c>
      <x:c r="H15" s="83" t="str">
        <x:v>Direct extraction</x:v>
      </x:c>
      <x:c r="I15" s="83" t="str"/>
    </x:row>
    <x:row r="16">
      <x:c r="A16" s="83" t="str">
        <x:v>E3B-012</x:v>
      </x:c>
      <x:c r="B16" s="83" t="str">
        <x:v>S07</x:v>
      </x:c>
      <x:c r="C16" s="83" t="str">
        <x:v>Demand response and distributed flexibility</x:v>
      </x:c>
      <x:c r="D16" s="83" t="str">
        <x:v>70-71</x:v>
      </x:c>
      <x:c r="E16" s="83" t="str">
        <x:v>Narrative</x:v>
      </x:c>
      <x:c r="F16" s="83" t="str">
        <x:v>23_FLEXIBILITY_CONTEXT</x:v>
      </x:c>
      <x:c r="G16" s="83" t="str">
        <x:v>Complete</x:v>
      </x:c>
      <x:c r="H16" s="83" t="str">
        <x:v>Qualitative extraction</x:v>
      </x:c>
      <x:c r="I16" s="83" t="str"/>
    </x:row>
    <x:row r="17">
      <x:c r="A17" s="83" t="str">
        <x:v>E3B-013</x:v>
      </x:c>
      <x:c r="B17" s="83" t="str">
        <x:v>Corpus</x:v>
      </x:c>
      <x:c r="C17" s="83" t="str">
        <x:v>Battery and hydro efficiencies, inflow, SOC, outage</x:v>
      </x:c>
      <x:c r="D17" s="83" t="str">
        <x:v>All</x:v>
      </x:c>
      <x:c r="E17" s="83" t="str">
        <x:v>Completeness review</x:v>
      </x:c>
      <x:c r="F17" s="83" t="str">
        <x:v>22_HYDRO; gaps</x:v>
      </x:c>
      <x:c r="G17" s="83" t="str">
        <x:v>Gap recorded</x:v>
      </x:c>
      <x:c r="H17" s="83" t="str">
        <x:v>No direct data found</x:v>
      </x:c>
      <x:c r="I17" s="83" t="str">
        <x:v>Deferred to Phase 3D/4 external sources.</x:v>
      </x:c>
    </x:row>
  </x:sheetData>
  <x:mergeCells>
    <x:mergeCell ref="A1:I1"/>
    <x:mergeCell ref="A2:I2"/>
  </x:mergeCells>
  <x:conditionalFormatting sqref="G5:G17">
    <x:cfRule type="expression" dxfId="43" priority="1">
      <x:formula>G5="Complete"</x:formula>
    </x:cfRule>
    <x:cfRule type="expression" dxfId="44" priority="2">
      <x:formula>OR(G5="Gap recorded",G5="Partial")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86b0dfa8874137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2" hidden="0" customWidth="1"/>
    <x:col min="3" max="3" width="23" hidden="0" customWidth="1"/>
    <x:col min="4" max="4" width="48" hidden="0" customWidth="1"/>
    <x:col min="5" max="5" width="15" hidden="0" customWidth="1"/>
    <x:col min="6" max="6" width="15" hidden="0" customWidth="1"/>
    <x:col min="7" max="7" width="15" hidden="0" customWidth="1"/>
    <x:col min="8" max="8" width="13" hidden="0" customWidth="1"/>
    <x:col min="9" max="9" width="14" hidden="0" customWidth="1"/>
    <x:col min="10" max="10" width="58" hidden="0" customWidth="1"/>
    <x:col min="11" max="11" width="70" hidden="0" customWidth="1"/>
  </x:cols>
  <x:sheetData>
    <x:row r="1" ht="34" customHeight="1">
      <x:c r="A1" s="188" t="str">
        <x:v>Controlli di qualità — Fase 3B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</x:row>
    <x:row r="2" ht="30" customHeight="1">
      <x:c r="A2" s="192" t="str">
        <x:v>46 controlli; formule ricalcolabili in Excel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</x:row>
    <x:row r="4" ht="40" customHeight="1">
      <x:c r="A4" s="194" t="str">
        <x:v>QA ID</x:v>
      </x:c>
      <x:c r="B4" s="194" t="str">
        <x:v>Tipo controllo</x:v>
      </x:c>
      <x:c r="C4" s="194" t="str">
        <x:v>Scenario ID</x:v>
      </x:c>
      <x:c r="D4" s="194" t="str">
        <x:v>Metrica</x:v>
      </x:c>
      <x:c r="E4" s="194" t="str">
        <x:v>Atteso</x:v>
      </x:c>
      <x:c r="F4" s="194" t="str">
        <x:v>Calcolato</x:v>
      </x:c>
      <x:c r="G4" s="194" t="str">
        <x:v>Differenza</x:v>
      </x:c>
      <x:c r="H4" s="194" t="str">
        <x:v>Tolleranza</x:v>
      </x:c>
      <x:c r="I4" s="194" t="str">
        <x:v>Stato</x:v>
      </x:c>
      <x:c r="J4" s="194" t="str">
        <x:v>Note</x:v>
      </x:c>
      <x:c r="K4" s="194" t="str">
        <x:v>Logica</x:v>
      </x:c>
    </x:row>
    <x:row r="5">
      <x:c r="A5" s="83" t="str">
        <x:v>QA3B-001</x:v>
      </x:c>
      <x:c r="B5" s="83" t="str">
        <x:v>Zonal sum vs national</x:v>
      </x:c>
      <x:c r="C5" s="83" t="str">
        <x:v>HIST_2023</x:v>
      </x:c>
      <x:c r="D5" s="83" t="str">
        <x:v>Small Scale</x:v>
      </x:c>
      <x:c r="E5" s="204" t="n">
        <x:v>6.6</x:v>
      </x:c>
      <x:c r="F5" s="204" t="n">
        <x:f>SUMIFS('21_STORAGE_ZONAL'!$G:$G,'21_STORAGE_ZONAL'!$B:$B,$C5,'21_STORAGE_ZONAL'!$F:$F,$D5)</x:f>
        <x:v>6.700000000000001</x:v>
      </x:c>
      <x:c r="G5" s="204" t="n">
        <x:f>F5-E5</x:f>
        <x:v>0.10000000000000142</x:v>
      </x:c>
      <x:c r="H5" s="204" t="n">
        <x:v>0.15</x:v>
      </x:c>
      <x:c r="I5" s="83" t="str">
        <x:f>IF(ABS(G5)&lt;=H5,"PASS","REVIEW")</x:f>
        <x:v>PASS</x:v>
      </x:c>
      <x:c r="J5" s="83" t="str">
        <x:v>Small deviations reflect one-decimal rounding by zone.</x:v>
      </x:c>
      <x:c r="K5" s="83" t="str">
        <x:v>SUMIFS delle sette zone per scenario e classe</x:v>
      </x:c>
    </x:row>
    <x:row r="6">
      <x:c r="A6" s="83" t="str">
        <x:v>QA3B-002</x:v>
      </x:c>
      <x:c r="B6" s="83" t="str">
        <x:v>Zonal sum vs national</x:v>
      </x:c>
      <x:c r="C6" s="83" t="str">
        <x:v>HIST_2023</x:v>
      </x:c>
      <x:c r="D6" s="83" t="str">
        <x:v>Utility Scale</x:v>
      </x:c>
      <x:c r="E6" s="204" t="n">
        <x:v>0</x:v>
      </x:c>
      <x:c r="F6" s="204" t="n">
        <x:f>SUMIFS('21_STORAGE_ZONAL'!$G:$G,'21_STORAGE_ZONAL'!$B:$B,$C6,'21_STORAGE_ZONAL'!$F:$F,$D6)</x:f>
        <x:v>0</x:v>
      </x:c>
      <x:c r="G6" s="204" t="n">
        <x:f>F6-E6</x:f>
        <x:v>0</x:v>
      </x:c>
      <x:c r="H6" s="204" t="n">
        <x:v>0.15</x:v>
      </x:c>
      <x:c r="I6" s="83" t="str">
        <x:f>IF(ABS(G6)&lt;=H6,"PASS","REVIEW")</x:f>
        <x:v>PASS</x:v>
      </x:c>
      <x:c r="J6" s="83" t="str">
        <x:v>Small deviations reflect one-decimal rounding by zone.</x:v>
      </x:c>
      <x:c r="K6" s="83" t="str">
        <x:v>SUMIFS delle sette zone per scenario e classe</x:v>
      </x:c>
    </x:row>
    <x:row r="7">
      <x:c r="A7" s="83" t="str">
        <x:v>QA3B-003</x:v>
      </x:c>
      <x:c r="B7" s="83" t="str">
        <x:v>Zonal sum vs national</x:v>
      </x:c>
      <x:c r="C7" s="83" t="str">
        <x:v>HIST_2023</x:v>
      </x:c>
      <x:c r="D7" s="83" t="str">
        <x:v>CM</x:v>
      </x:c>
      <x:c r="E7" s="204" t="n">
        <x:v>0</x:v>
      </x:c>
      <x:c r="F7" s="204" t="n">
        <x:f>SUMIFS('21_STORAGE_ZONAL'!$G:$G,'21_STORAGE_ZONAL'!$B:$B,$C7,'21_STORAGE_ZONAL'!$F:$F,$D7)</x:f>
        <x:v>0</x:v>
      </x:c>
      <x:c r="G7" s="204" t="n">
        <x:f>F7-E7</x:f>
        <x:v>0</x:v>
      </x:c>
      <x:c r="H7" s="204" t="n">
        <x:v>0.15</x:v>
      </x:c>
      <x:c r="I7" s="83" t="str">
        <x:f>IF(ABS(G7)&lt;=H7,"PASS","REVIEW")</x:f>
        <x:v>PASS</x:v>
      </x:c>
      <x:c r="J7" s="83" t="str">
        <x:v>Small deviations reflect one-decimal rounding by zone.</x:v>
      </x:c>
      <x:c r="K7" s="83" t="str">
        <x:v>SUMIFS delle sette zone per scenario e classe</x:v>
      </x:c>
    </x:row>
    <x:row r="8">
      <x:c r="A8" s="83" t="str">
        <x:v>QA3B-004</x:v>
      </x:c>
      <x:c r="B8" s="83" t="str">
        <x:v>Zonal sum vs national</x:v>
      </x:c>
      <x:c r="C8" s="83" t="str">
        <x:v>HIST_2023</x:v>
      </x:c>
      <x:c r="D8" s="83" t="str">
        <x:v>Totale</x:v>
      </x:c>
      <x:c r="E8" s="204" t="n">
        <x:v>6.6</x:v>
      </x:c>
      <x:c r="F8" s="204" t="n">
        <x:f>SUMIFS('21_STORAGE_ZONAL'!$G:$G,'21_STORAGE_ZONAL'!$B:$B,$C8,'21_STORAGE_ZONAL'!$F:$F,$D8)</x:f>
        <x:v>6.700000000000001</x:v>
      </x:c>
      <x:c r="G8" s="204" t="n">
        <x:f>F8-E8</x:f>
        <x:v>0.10000000000000142</x:v>
      </x:c>
      <x:c r="H8" s="204" t="n">
        <x:v>0.15</x:v>
      </x:c>
      <x:c r="I8" s="83" t="str">
        <x:f>IF(ABS(G8)&lt;=H8,"PASS","REVIEW")</x:f>
        <x:v>PASS</x:v>
      </x:c>
      <x:c r="J8" s="83" t="str">
        <x:v>Small deviations reflect one-decimal rounding by zone.</x:v>
      </x:c>
      <x:c r="K8" s="83" t="str">
        <x:v>SUMIFS delle sette zone per scenario e classe</x:v>
      </x:c>
    </x:row>
    <x:row r="9">
      <x:c r="A9" s="83" t="str">
        <x:v>QA3B-005</x:v>
      </x:c>
      <x:c r="B9" s="83" t="str">
        <x:v>Zonal sum vs national</x:v>
      </x:c>
      <x:c r="C9" s="83" t="str">
        <x:v>PNIEC_POLICY_2030</x:v>
      </x:c>
      <x:c r="D9" s="83" t="str">
        <x:v>Small Scale</x:v>
      </x:c>
      <x:c r="E9" s="204" t="n">
        <x:v>14</x:v>
      </x:c>
      <x:c r="F9" s="204" t="n">
        <x:f>SUMIFS('21_STORAGE_ZONAL'!$G:$G,'21_STORAGE_ZONAL'!$B:$B,$C9,'21_STORAGE_ZONAL'!$F:$F,$D9)</x:f>
        <x:v>13.9</x:v>
      </x:c>
      <x:c r="G9" s="204" t="n">
        <x:f>F9-E9</x:f>
        <x:v>-0.09999999999999964</x:v>
      </x:c>
      <x:c r="H9" s="204" t="n">
        <x:v>0.15</x:v>
      </x:c>
      <x:c r="I9" s="83" t="str">
        <x:f>IF(ABS(G9)&lt;=H9,"PASS","REVIEW")</x:f>
        <x:v>PASS</x:v>
      </x:c>
      <x:c r="J9" s="83" t="str">
        <x:v>Small deviations reflect one-decimal rounding by zone.</x:v>
      </x:c>
      <x:c r="K9" s="83" t="str">
        <x:v>SUMIFS delle sette zone per scenario e classe</x:v>
      </x:c>
    </x:row>
    <x:row r="10">
      <x:c r="A10" s="83" t="str">
        <x:v>QA3B-006</x:v>
      </x:c>
      <x:c r="B10" s="83" t="str">
        <x:v>Zonal sum vs national</x:v>
      </x:c>
      <x:c r="C10" s="83" t="str">
        <x:v>PNIEC_POLICY_2030</x:v>
      </x:c>
      <x:c r="D10" s="83" t="str">
        <x:v>Utility Scale</x:v>
      </x:c>
      <x:c r="E10" s="204" t="n">
        <x:v>50</x:v>
      </x:c>
      <x:c r="F10" s="204" t="n">
        <x:f>SUMIFS('21_STORAGE_ZONAL'!$G:$G,'21_STORAGE_ZONAL'!$B:$B,$C10,'21_STORAGE_ZONAL'!$F:$F,$D10)</x:f>
        <x:v>50</x:v>
      </x:c>
      <x:c r="G10" s="204" t="n">
        <x:f>F10-E10</x:f>
        <x:v>0</x:v>
      </x:c>
      <x:c r="H10" s="204" t="n">
        <x:v>0.15</x:v>
      </x:c>
      <x:c r="I10" s="83" t="str">
        <x:f>IF(ABS(G10)&lt;=H10,"PASS","REVIEW")</x:f>
        <x:v>PASS</x:v>
      </x:c>
      <x:c r="J10" s="83" t="str">
        <x:v>Small deviations reflect one-decimal rounding by zone.</x:v>
      </x:c>
      <x:c r="K10" s="83" t="str">
        <x:v>SUMIFS delle sette zone per scenario e classe</x:v>
      </x:c>
    </x:row>
    <x:row r="11">
      <x:c r="A11" s="83" t="str">
        <x:v>QA3B-007</x:v>
      </x:c>
      <x:c r="B11" s="83" t="str">
        <x:v>Zonal sum vs national</x:v>
      </x:c>
      <x:c r="C11" s="83" t="str">
        <x:v>PNIEC_POLICY_2030</x:v>
      </x:c>
      <x:c r="D11" s="83" t="str">
        <x:v>CM</x:v>
      </x:c>
      <x:c r="E11" s="204" t="n">
        <x:v>7.5</x:v>
      </x:c>
      <x:c r="F11" s="204" t="n">
        <x:f>SUMIFS('21_STORAGE_ZONAL'!$G:$G,'21_STORAGE_ZONAL'!$B:$B,$C11,'21_STORAGE_ZONAL'!$F:$F,$D11)</x:f>
        <x:v>7.4</x:v>
      </x:c>
      <x:c r="G11" s="204" t="n">
        <x:f>F11-E11</x:f>
        <x:v>-0.09999999999999964</x:v>
      </x:c>
      <x:c r="H11" s="204" t="n">
        <x:v>0.15</x:v>
      </x:c>
      <x:c r="I11" s="83" t="str">
        <x:f>IF(ABS(G11)&lt;=H11,"PASS","REVIEW")</x:f>
        <x:v>PASS</x:v>
      </x:c>
      <x:c r="J11" s="83" t="str">
        <x:v>Small deviations reflect one-decimal rounding by zone.</x:v>
      </x:c>
      <x:c r="K11" s="83" t="str">
        <x:v>SUMIFS delle sette zone per scenario e classe</x:v>
      </x:c>
    </x:row>
    <x:row r="12">
      <x:c r="A12" s="83" t="str">
        <x:v>QA3B-008</x:v>
      </x:c>
      <x:c r="B12" s="83" t="str">
        <x:v>Zonal sum vs national</x:v>
      </x:c>
      <x:c r="C12" s="83" t="str">
        <x:v>PNIEC_POLICY_2030</x:v>
      </x:c>
      <x:c r="D12" s="83" t="str">
        <x:v>Totale</x:v>
      </x:c>
      <x:c r="E12" s="204" t="n">
        <x:v>71.5</x:v>
      </x:c>
      <x:c r="F12" s="204" t="n">
        <x:f>SUMIFS('21_STORAGE_ZONAL'!$G:$G,'21_STORAGE_ZONAL'!$B:$B,$C12,'21_STORAGE_ZONAL'!$F:$F,$D12)</x:f>
        <x:v>71.3</x:v>
      </x:c>
      <x:c r="G12" s="204" t="n">
        <x:f>F12-E12</x:f>
        <x:v>-0.20000000000000284</x:v>
      </x:c>
      <x:c r="H12" s="204" t="n">
        <x:v>0.15</x:v>
      </x:c>
      <x:c r="I12" s="83" t="str">
        <x:f>IF(ABS(G12)&lt;=H12,"PASS","REVIEW")</x:f>
        <x:v>REVIEW</x:v>
      </x:c>
      <x:c r="J12" s="83" t="str">
        <x:v>Small deviations reflect one-decimal rounding by zone.</x:v>
      </x:c>
      <x:c r="K12" s="83" t="str">
        <x:v>SUMIFS delle sette zone per scenario e classe</x:v>
      </x:c>
    </x:row>
    <x:row r="13">
      <x:c r="A13" s="83" t="str">
        <x:v>QA3B-009</x:v>
      </x:c>
      <x:c r="B13" s="83" t="str">
        <x:v>Zonal sum vs national</x:v>
      </x:c>
      <x:c r="C13" s="83" t="str">
        <x:v>PNIEC_SLOW_2030</x:v>
      </x:c>
      <x:c r="D13" s="83" t="str">
        <x:v>Small Scale</x:v>
      </x:c>
      <x:c r="E13" s="204" t="n">
        <x:v>13.3</x:v>
      </x:c>
      <x:c r="F13" s="204" t="n">
        <x:f>SUMIFS('21_STORAGE_ZONAL'!$G:$G,'21_STORAGE_ZONAL'!$B:$B,$C13,'21_STORAGE_ZONAL'!$F:$F,$D13)</x:f>
        <x:v>13.200000000000001</x:v>
      </x:c>
      <x:c r="G13" s="204" t="n">
        <x:f>F13-E13</x:f>
        <x:v>-0.09999999999999964</x:v>
      </x:c>
      <x:c r="H13" s="204" t="n">
        <x:v>0.15</x:v>
      </x:c>
      <x:c r="I13" s="83" t="str">
        <x:f>IF(ABS(G13)&lt;=H13,"PASS","REVIEW")</x:f>
        <x:v>PASS</x:v>
      </x:c>
      <x:c r="J13" s="83" t="str">
        <x:v>Small deviations reflect one-decimal rounding by zone.</x:v>
      </x:c>
      <x:c r="K13" s="83" t="str">
        <x:v>SUMIFS delle sette zone per scenario e classe</x:v>
      </x:c>
    </x:row>
    <x:row r="14">
      <x:c r="A14" s="83" t="str">
        <x:v>QA3B-010</x:v>
      </x:c>
      <x:c r="B14" s="83" t="str">
        <x:v>Zonal sum vs national</x:v>
      </x:c>
      <x:c r="C14" s="83" t="str">
        <x:v>PNIEC_SLOW_2030</x:v>
      </x:c>
      <x:c r="D14" s="83" t="str">
        <x:v>Utility Scale</x:v>
      </x:c>
      <x:c r="E14" s="204" t="n">
        <x:v>24</x:v>
      </x:c>
      <x:c r="F14" s="204" t="n">
        <x:f>SUMIFS('21_STORAGE_ZONAL'!$G:$G,'21_STORAGE_ZONAL'!$B:$B,$C14,'21_STORAGE_ZONAL'!$F:$F,$D14)</x:f>
        <x:v>24</x:v>
      </x:c>
      <x:c r="G14" s="204" t="n">
        <x:f>F14-E14</x:f>
        <x:v>0</x:v>
      </x:c>
      <x:c r="H14" s="204" t="n">
        <x:v>0.15</x:v>
      </x:c>
      <x:c r="I14" s="83" t="str">
        <x:f>IF(ABS(G14)&lt;=H14,"PASS","REVIEW")</x:f>
        <x:v>PASS</x:v>
      </x:c>
      <x:c r="J14" s="83" t="str">
        <x:v>Small deviations reflect one-decimal rounding by zone.</x:v>
      </x:c>
      <x:c r="K14" s="83" t="str">
        <x:v>SUMIFS delle sette zone per scenario e classe</x:v>
      </x:c>
    </x:row>
    <x:row r="15">
      <x:c r="A15" s="83" t="str">
        <x:v>QA3B-011</x:v>
      </x:c>
      <x:c r="B15" s="83" t="str">
        <x:v>Zonal sum vs national</x:v>
      </x:c>
      <x:c r="C15" s="83" t="str">
        <x:v>PNIEC_SLOW_2030</x:v>
      </x:c>
      <x:c r="D15" s="83" t="str">
        <x:v>CM</x:v>
      </x:c>
      <x:c r="E15" s="204" t="n">
        <x:v>7.5</x:v>
      </x:c>
      <x:c r="F15" s="204" t="n">
        <x:f>SUMIFS('21_STORAGE_ZONAL'!$G:$G,'21_STORAGE_ZONAL'!$B:$B,$C15,'21_STORAGE_ZONAL'!$F:$F,$D15)</x:f>
        <x:v>7.4</x:v>
      </x:c>
      <x:c r="G15" s="204" t="n">
        <x:f>F15-E15</x:f>
        <x:v>-0.09999999999999964</x:v>
      </x:c>
      <x:c r="H15" s="204" t="n">
        <x:v>0.15</x:v>
      </x:c>
      <x:c r="I15" s="83" t="str">
        <x:f>IF(ABS(G15)&lt;=H15,"PASS","REVIEW")</x:f>
        <x:v>PASS</x:v>
      </x:c>
      <x:c r="J15" s="83" t="str">
        <x:v>Small deviations reflect one-decimal rounding by zone.</x:v>
      </x:c>
      <x:c r="K15" s="83" t="str">
        <x:v>SUMIFS delle sette zone per scenario e classe</x:v>
      </x:c>
    </x:row>
    <x:row r="16">
      <x:c r="A16" s="83" t="str">
        <x:v>QA3B-012</x:v>
      </x:c>
      <x:c r="B16" s="83" t="str">
        <x:v>Zonal sum vs national</x:v>
      </x:c>
      <x:c r="C16" s="83" t="str">
        <x:v>PNIEC_SLOW_2030</x:v>
      </x:c>
      <x:c r="D16" s="83" t="str">
        <x:v>Totale</x:v>
      </x:c>
      <x:c r="E16" s="204" t="n">
        <x:v>44.7</x:v>
      </x:c>
      <x:c r="F16" s="204" t="n">
        <x:f>SUMIFS('21_STORAGE_ZONAL'!$G:$G,'21_STORAGE_ZONAL'!$B:$B,$C16,'21_STORAGE_ZONAL'!$F:$F,$D16)</x:f>
        <x:v>44.8</x:v>
      </x:c>
      <x:c r="G16" s="204" t="n">
        <x:f>F16-E16</x:f>
        <x:v>0.09999999999999432</x:v>
      </x:c>
      <x:c r="H16" s="204" t="n">
        <x:v>0.15</x:v>
      </x:c>
      <x:c r="I16" s="83" t="str">
        <x:f>IF(ABS(G16)&lt;=H16,"PASS","REVIEW")</x:f>
        <x:v>PASS</x:v>
      </x:c>
      <x:c r="J16" s="83" t="str">
        <x:v>Small deviations reflect one-decimal rounding by zone.</x:v>
      </x:c>
      <x:c r="K16" s="83" t="str">
        <x:v>SUMIFS delle sette zone per scenario e classe</x:v>
      </x:c>
    </x:row>
    <x:row r="17">
      <x:c r="A17" s="83" t="str">
        <x:v>QA3B-013</x:v>
      </x:c>
      <x:c r="B17" s="83" t="str">
        <x:v>Zonal sum vs national</x:v>
      </x:c>
      <x:c r="C17" s="83" t="str">
        <x:v>DE_IT_2035</x:v>
      </x:c>
      <x:c r="D17" s="83" t="str">
        <x:v>Small Scale</x:v>
      </x:c>
      <x:c r="E17" s="204" t="n">
        <x:v>16.2</x:v>
      </x:c>
      <x:c r="F17" s="204" t="n">
        <x:f>SUMIFS('21_STORAGE_ZONAL'!$G:$G,'21_STORAGE_ZONAL'!$B:$B,$C17,'21_STORAGE_ZONAL'!$F:$F,$D17)</x:f>
        <x:v>16.1</x:v>
      </x:c>
      <x:c r="G17" s="204" t="n">
        <x:f>F17-E17</x:f>
        <x:v>-0.09999999999999787</x:v>
      </x:c>
      <x:c r="H17" s="204" t="n">
        <x:v>0.15</x:v>
      </x:c>
      <x:c r="I17" s="83" t="str">
        <x:f>IF(ABS(G17)&lt;=H17,"PASS","REVIEW")</x:f>
        <x:v>PASS</x:v>
      </x:c>
      <x:c r="J17" s="83" t="str">
        <x:v>Small deviations reflect one-decimal rounding by zone.</x:v>
      </x:c>
      <x:c r="K17" s="83" t="str">
        <x:v>SUMIFS delle sette zone per scenario e classe</x:v>
      </x:c>
    </x:row>
    <x:row r="18">
      <x:c r="A18" s="83" t="str">
        <x:v>QA3B-014</x:v>
      </x:c>
      <x:c r="B18" s="83" t="str">
        <x:v>Zonal sum vs national</x:v>
      </x:c>
      <x:c r="C18" s="83" t="str">
        <x:v>DE_IT_2035</x:v>
      </x:c>
      <x:c r="D18" s="83" t="str">
        <x:v>Utility Scale</x:v>
      </x:c>
      <x:c r="E18" s="204" t="n">
        <x:v>100</x:v>
      </x:c>
      <x:c r="F18" s="204" t="n">
        <x:f>SUMIFS('21_STORAGE_ZONAL'!$G:$G,'21_STORAGE_ZONAL'!$B:$B,$C18,'21_STORAGE_ZONAL'!$F:$F,$D18)</x:f>
        <x:v>100</x:v>
      </x:c>
      <x:c r="G18" s="204" t="n">
        <x:f>F18-E18</x:f>
        <x:v>0</x:v>
      </x:c>
      <x:c r="H18" s="204" t="n">
        <x:v>0.15</x:v>
      </x:c>
      <x:c r="I18" s="83" t="str">
        <x:f>IF(ABS(G18)&lt;=H18,"PASS","REVIEW")</x:f>
        <x:v>PASS</x:v>
      </x:c>
      <x:c r="J18" s="83" t="str">
        <x:v>Small deviations reflect one-decimal rounding by zone.</x:v>
      </x:c>
      <x:c r="K18" s="83" t="str">
        <x:v>SUMIFS delle sette zone per scenario e classe</x:v>
      </x:c>
    </x:row>
    <x:row r="19">
      <x:c r="A19" s="83" t="str">
        <x:v>QA3B-015</x:v>
      </x:c>
      <x:c r="B19" s="83" t="str">
        <x:v>Zonal sum vs national</x:v>
      </x:c>
      <x:c r="C19" s="83" t="str">
        <x:v>DE_IT_2035</x:v>
      </x:c>
      <x:c r="D19" s="83" t="str">
        <x:v>CM</x:v>
      </x:c>
      <x:c r="E19" s="204" t="n">
        <x:v>7.5</x:v>
      </x:c>
      <x:c r="F19" s="204" t="n">
        <x:f>SUMIFS('21_STORAGE_ZONAL'!$G:$G,'21_STORAGE_ZONAL'!$B:$B,$C19,'21_STORAGE_ZONAL'!$F:$F,$D19)</x:f>
        <x:v>7.4</x:v>
      </x:c>
      <x:c r="G19" s="204" t="n">
        <x:f>F19-E19</x:f>
        <x:v>-0.09999999999999964</x:v>
      </x:c>
      <x:c r="H19" s="204" t="n">
        <x:v>0.15</x:v>
      </x:c>
      <x:c r="I19" s="83" t="str">
        <x:f>IF(ABS(G19)&lt;=H19,"PASS","REVIEW")</x:f>
        <x:v>PASS</x:v>
      </x:c>
      <x:c r="J19" s="83" t="str">
        <x:v>Small deviations reflect one-decimal rounding by zone.</x:v>
      </x:c>
      <x:c r="K19" s="83" t="str">
        <x:v>SUMIFS delle sette zone per scenario e classe</x:v>
      </x:c>
    </x:row>
    <x:row r="20">
      <x:c r="A20" s="83" t="str">
        <x:v>QA3B-016</x:v>
      </x:c>
      <x:c r="B20" s="83" t="str">
        <x:v>Zonal sum vs national</x:v>
      </x:c>
      <x:c r="C20" s="83" t="str">
        <x:v>DE_IT_2035</x:v>
      </x:c>
      <x:c r="D20" s="83" t="str">
        <x:v>Totale</x:v>
      </x:c>
      <x:c r="E20" s="204" t="n">
        <x:v>123.7</x:v>
      </x:c>
      <x:c r="F20" s="204" t="n">
        <x:f>SUMIFS('21_STORAGE_ZONAL'!$G:$G,'21_STORAGE_ZONAL'!$B:$B,$C20,'21_STORAGE_ZONAL'!$F:$F,$D20)</x:f>
        <x:v>123.69999999999999</x:v>
      </x:c>
      <x:c r="G20" s="204" t="n">
        <x:f>F20-E20</x:f>
        <x:v>-1.4210854715202004e-14</x:v>
      </x:c>
      <x:c r="H20" s="204" t="n">
        <x:v>0.15</x:v>
      </x:c>
      <x:c r="I20" s="83" t="str">
        <x:f>IF(ABS(G20)&lt;=H20,"PASS","REVIEW")</x:f>
        <x:v>PASS</x:v>
      </x:c>
      <x:c r="J20" s="83" t="str">
        <x:v>Small deviations reflect one-decimal rounding by zone.</x:v>
      </x:c>
      <x:c r="K20" s="83" t="str">
        <x:v>SUMIFS delle sette zone per scenario e classe</x:v>
      </x:c>
    </x:row>
    <x:row r="21">
      <x:c r="A21" s="83" t="str">
        <x:v>QA3B-017</x:v>
      </x:c>
      <x:c r="B21" s="83" t="str">
        <x:v>Zonal sum vs national</x:v>
      </x:c>
      <x:c r="C21" s="83" t="str">
        <x:v>GA_IT_2035</x:v>
      </x:c>
      <x:c r="D21" s="83" t="str">
        <x:v>Small Scale</x:v>
      </x:c>
      <x:c r="E21" s="204" t="n">
        <x:v>15.6</x:v>
      </x:c>
      <x:c r="F21" s="204" t="n">
        <x:f>SUMIFS('21_STORAGE_ZONAL'!$G:$G,'21_STORAGE_ZONAL'!$B:$B,$C21,'21_STORAGE_ZONAL'!$F:$F,$D21)</x:f>
        <x:v>15.6</x:v>
      </x:c>
      <x:c r="G21" s="204" t="n">
        <x:f>F21-E21</x:f>
        <x:v>0</x:v>
      </x:c>
      <x:c r="H21" s="204" t="n">
        <x:v>0.15</x:v>
      </x:c>
      <x:c r="I21" s="83" t="str">
        <x:f>IF(ABS(G21)&lt;=H21,"PASS","REVIEW")</x:f>
        <x:v>PASS</x:v>
      </x:c>
      <x:c r="J21" s="83" t="str">
        <x:v>Small deviations reflect one-decimal rounding by zone.</x:v>
      </x:c>
      <x:c r="K21" s="83" t="str">
        <x:v>SUMIFS delle sette zone per scenario e classe</x:v>
      </x:c>
    </x:row>
    <x:row r="22">
      <x:c r="A22" s="83" t="str">
        <x:v>QA3B-018</x:v>
      </x:c>
      <x:c r="B22" s="83" t="str">
        <x:v>Zonal sum vs national</x:v>
      </x:c>
      <x:c r="C22" s="83" t="str">
        <x:v>GA_IT_2035</x:v>
      </x:c>
      <x:c r="D22" s="83" t="str">
        <x:v>Utility Scale</x:v>
      </x:c>
      <x:c r="E22" s="204" t="n">
        <x:v>64</x:v>
      </x:c>
      <x:c r="F22" s="204" t="n">
        <x:f>SUMIFS('21_STORAGE_ZONAL'!$G:$G,'21_STORAGE_ZONAL'!$B:$B,$C22,'21_STORAGE_ZONAL'!$F:$F,$D22)</x:f>
        <x:v>64</x:v>
      </x:c>
      <x:c r="G22" s="204" t="n">
        <x:f>F22-E22</x:f>
        <x:v>0</x:v>
      </x:c>
      <x:c r="H22" s="204" t="n">
        <x:v>0.15</x:v>
      </x:c>
      <x:c r="I22" s="83" t="str">
        <x:f>IF(ABS(G22)&lt;=H22,"PASS","REVIEW")</x:f>
        <x:v>PASS</x:v>
      </x:c>
      <x:c r="J22" s="83" t="str">
        <x:v>Small deviations reflect one-decimal rounding by zone.</x:v>
      </x:c>
      <x:c r="K22" s="83" t="str">
        <x:v>SUMIFS delle sette zone per scenario e classe</x:v>
      </x:c>
    </x:row>
    <x:row r="23">
      <x:c r="A23" s="83" t="str">
        <x:v>QA3B-019</x:v>
      </x:c>
      <x:c r="B23" s="83" t="str">
        <x:v>Zonal sum vs national</x:v>
      </x:c>
      <x:c r="C23" s="83" t="str">
        <x:v>GA_IT_2035</x:v>
      </x:c>
      <x:c r="D23" s="83" t="str">
        <x:v>CM</x:v>
      </x:c>
      <x:c r="E23" s="204" t="n">
        <x:v>7.5</x:v>
      </x:c>
      <x:c r="F23" s="204" t="n">
        <x:f>SUMIFS('21_STORAGE_ZONAL'!$G:$G,'21_STORAGE_ZONAL'!$B:$B,$C23,'21_STORAGE_ZONAL'!$F:$F,$D23)</x:f>
        <x:v>7.4</x:v>
      </x:c>
      <x:c r="G23" s="204" t="n">
        <x:f>F23-E23</x:f>
        <x:v>-0.09999999999999964</x:v>
      </x:c>
      <x:c r="H23" s="204" t="n">
        <x:v>0.15</x:v>
      </x:c>
      <x:c r="I23" s="83" t="str">
        <x:f>IF(ABS(G23)&lt;=H23,"PASS","REVIEW")</x:f>
        <x:v>PASS</x:v>
      </x:c>
      <x:c r="J23" s="83" t="str">
        <x:v>Small deviations reflect one-decimal rounding by zone.</x:v>
      </x:c>
      <x:c r="K23" s="83" t="str">
        <x:v>SUMIFS delle sette zone per scenario e classe</x:v>
      </x:c>
    </x:row>
    <x:row r="24">
      <x:c r="A24" s="83" t="str">
        <x:v>QA3B-020</x:v>
      </x:c>
      <x:c r="B24" s="83" t="str">
        <x:v>Zonal sum vs national</x:v>
      </x:c>
      <x:c r="C24" s="83" t="str">
        <x:v>GA_IT_2035</x:v>
      </x:c>
      <x:c r="D24" s="83" t="str">
        <x:v>Totale</x:v>
      </x:c>
      <x:c r="E24" s="204" t="n">
        <x:v>87</x:v>
      </x:c>
      <x:c r="F24" s="204" t="n">
        <x:f>SUMIFS('21_STORAGE_ZONAL'!$G:$G,'21_STORAGE_ZONAL'!$B:$B,$C24,'21_STORAGE_ZONAL'!$F:$F,$D24)</x:f>
        <x:v>87</x:v>
      </x:c>
      <x:c r="G24" s="204" t="n">
        <x:f>F24-E24</x:f>
        <x:v>0</x:v>
      </x:c>
      <x:c r="H24" s="204" t="n">
        <x:v>0.15</x:v>
      </x:c>
      <x:c r="I24" s="83" t="str">
        <x:f>IF(ABS(G24)&lt;=H24,"PASS","REVIEW")</x:f>
        <x:v>PASS</x:v>
      </x:c>
      <x:c r="J24" s="83" t="str">
        <x:v>Small deviations reflect one-decimal rounding by zone.</x:v>
      </x:c>
      <x:c r="K24" s="83" t="str">
        <x:v>SUMIFS delle sette zone per scenario e classe</x:v>
      </x:c>
    </x:row>
    <x:row r="25">
      <x:c r="A25" s="83" t="str">
        <x:v>QA3B-021</x:v>
      </x:c>
      <x:c r="B25" s="83" t="str">
        <x:v>Zonal sum vs national</x:v>
      </x:c>
      <x:c r="C25" s="83" t="str">
        <x:v>PNIEC_SLOW_2035</x:v>
      </x:c>
      <x:c r="D25" s="83" t="str">
        <x:v>Small Scale</x:v>
      </x:c>
      <x:c r="E25" s="204" t="n">
        <x:v>15.1</x:v>
      </x:c>
      <x:c r="F25" s="204" t="n">
        <x:f>SUMIFS('21_STORAGE_ZONAL'!$G:$G,'21_STORAGE_ZONAL'!$B:$B,$C25,'21_STORAGE_ZONAL'!$F:$F,$D25)</x:f>
        <x:v>15.2</x:v>
      </x:c>
      <x:c r="G25" s="204" t="n">
        <x:f>F25-E25</x:f>
        <x:v>0.09999999999999964</x:v>
      </x:c>
      <x:c r="H25" s="204" t="n">
        <x:v>0.15</x:v>
      </x:c>
      <x:c r="I25" s="83" t="str">
        <x:f>IF(ABS(G25)&lt;=H25,"PASS","REVIEW")</x:f>
        <x:v>PASS</x:v>
      </x:c>
      <x:c r="J25" s="83" t="str">
        <x:v>Small deviations reflect one-decimal rounding by zone.</x:v>
      </x:c>
      <x:c r="K25" s="83" t="str">
        <x:v>SUMIFS delle sette zone per scenario e classe</x:v>
      </x:c>
    </x:row>
    <x:row r="26">
      <x:c r="A26" s="83" t="str">
        <x:v>QA3B-022</x:v>
      </x:c>
      <x:c r="B26" s="83" t="str">
        <x:v>Zonal sum vs national</x:v>
      </x:c>
      <x:c r="C26" s="83" t="str">
        <x:v>PNIEC_SLOW_2035</x:v>
      </x:c>
      <x:c r="D26" s="83" t="str">
        <x:v>Utility Scale</x:v>
      </x:c>
      <x:c r="E26" s="204" t="n">
        <x:v>56</x:v>
      </x:c>
      <x:c r="F26" s="204" t="n">
        <x:f>SUMIFS('21_STORAGE_ZONAL'!$G:$G,'21_STORAGE_ZONAL'!$B:$B,$C26,'21_STORAGE_ZONAL'!$F:$F,$D26)</x:f>
        <x:v>55.9</x:v>
      </x:c>
      <x:c r="G26" s="204" t="n">
        <x:f>F26-E26</x:f>
        <x:v>-0.10000000000000142</x:v>
      </x:c>
      <x:c r="H26" s="204" t="n">
        <x:v>0.15</x:v>
      </x:c>
      <x:c r="I26" s="83" t="str">
        <x:f>IF(ABS(G26)&lt;=H26,"PASS","REVIEW")</x:f>
        <x:v>PASS</x:v>
      </x:c>
      <x:c r="J26" s="83" t="str">
        <x:v>Small deviations reflect one-decimal rounding by zone.</x:v>
      </x:c>
      <x:c r="K26" s="83" t="str">
        <x:v>SUMIFS delle sette zone per scenario e classe</x:v>
      </x:c>
    </x:row>
    <x:row r="27">
      <x:c r="A27" s="83" t="str">
        <x:v>QA3B-023</x:v>
      </x:c>
      <x:c r="B27" s="83" t="str">
        <x:v>Zonal sum vs national</x:v>
      </x:c>
      <x:c r="C27" s="83" t="str">
        <x:v>PNIEC_SLOW_2035</x:v>
      </x:c>
      <x:c r="D27" s="83" t="str">
        <x:v>CM</x:v>
      </x:c>
      <x:c r="E27" s="204" t="n">
        <x:v>7.5</x:v>
      </x:c>
      <x:c r="F27" s="204" t="n">
        <x:f>SUMIFS('21_STORAGE_ZONAL'!$G:$G,'21_STORAGE_ZONAL'!$B:$B,$C27,'21_STORAGE_ZONAL'!$F:$F,$D27)</x:f>
        <x:v>7.4</x:v>
      </x:c>
      <x:c r="G27" s="204" t="n">
        <x:f>F27-E27</x:f>
        <x:v>-0.09999999999999964</x:v>
      </x:c>
      <x:c r="H27" s="204" t="n">
        <x:v>0.15</x:v>
      </x:c>
      <x:c r="I27" s="83" t="str">
        <x:f>IF(ABS(G27)&lt;=H27,"PASS","REVIEW")</x:f>
        <x:v>PASS</x:v>
      </x:c>
      <x:c r="J27" s="83" t="str">
        <x:v>Small deviations reflect one-decimal rounding by zone.</x:v>
      </x:c>
      <x:c r="K27" s="83" t="str">
        <x:v>SUMIFS delle sette zone per scenario e classe</x:v>
      </x:c>
    </x:row>
    <x:row r="28">
      <x:c r="A28" s="83" t="str">
        <x:v>QA3B-024</x:v>
      </x:c>
      <x:c r="B28" s="83" t="str">
        <x:v>Zonal sum vs national</x:v>
      </x:c>
      <x:c r="C28" s="83" t="str">
        <x:v>PNIEC_SLOW_2035</x:v>
      </x:c>
      <x:c r="D28" s="83" t="str">
        <x:v>Totale</x:v>
      </x:c>
      <x:c r="E28" s="204" t="n">
        <x:v>78.6</x:v>
      </x:c>
      <x:c r="F28" s="204" t="n">
        <x:f>SUMIFS('21_STORAGE_ZONAL'!$G:$G,'21_STORAGE_ZONAL'!$B:$B,$C28,'21_STORAGE_ZONAL'!$F:$F,$D28)</x:f>
        <x:v>78.69999999999999</x:v>
      </x:c>
      <x:c r="G28" s="204" t="n">
        <x:f>F28-E28</x:f>
        <x:v>0.09999999999999432</x:v>
      </x:c>
      <x:c r="H28" s="204" t="n">
        <x:v>0.15</x:v>
      </x:c>
      <x:c r="I28" s="83" t="str">
        <x:f>IF(ABS(G28)&lt;=H28,"PASS","REVIEW")</x:f>
        <x:v>PASS</x:v>
      </x:c>
      <x:c r="J28" s="83" t="str">
        <x:v>Small deviations reflect one-decimal rounding by zone.</x:v>
      </x:c>
      <x:c r="K28" s="83" t="str">
        <x:v>SUMIFS delle sette zone per scenario e classe</x:v>
      </x:c>
    </x:row>
    <x:row r="29">
      <x:c r="A29" s="83" t="str">
        <x:v>QA3B-025</x:v>
      </x:c>
      <x:c r="B29" s="83" t="str">
        <x:v>Zonal sum vs national</x:v>
      </x:c>
      <x:c r="C29" s="83" t="str">
        <x:v>DE_IT_2040</x:v>
      </x:c>
      <x:c r="D29" s="83" t="str">
        <x:v>Small Scale</x:v>
      </x:c>
      <x:c r="E29" s="204" t="n">
        <x:v>19.1</x:v>
      </x:c>
      <x:c r="F29" s="204" t="n">
        <x:f>SUMIFS('21_STORAGE_ZONAL'!$G:$G,'21_STORAGE_ZONAL'!$B:$B,$C29,'21_STORAGE_ZONAL'!$F:$F,$D29)</x:f>
        <x:v>19</x:v>
      </x:c>
      <x:c r="G29" s="204" t="n">
        <x:f>F29-E29</x:f>
        <x:v>-0.10000000000000142</x:v>
      </x:c>
      <x:c r="H29" s="204" t="n">
        <x:v>0.15</x:v>
      </x:c>
      <x:c r="I29" s="83" t="str">
        <x:f>IF(ABS(G29)&lt;=H29,"PASS","REVIEW")</x:f>
        <x:v>PASS</x:v>
      </x:c>
      <x:c r="J29" s="83" t="str">
        <x:v>Small deviations reflect one-decimal rounding by zone.</x:v>
      </x:c>
      <x:c r="K29" s="83" t="str">
        <x:v>SUMIFS delle sette zone per scenario e classe</x:v>
      </x:c>
    </x:row>
    <x:row r="30">
      <x:c r="A30" s="83" t="str">
        <x:v>QA3B-026</x:v>
      </x:c>
      <x:c r="B30" s="83" t="str">
        <x:v>Zonal sum vs national</x:v>
      </x:c>
      <x:c r="C30" s="83" t="str">
        <x:v>DE_IT_2040</x:v>
      </x:c>
      <x:c r="D30" s="83" t="str">
        <x:v>Utility Scale</x:v>
      </x:c>
      <x:c r="E30" s="204" t="n">
        <x:v>140</x:v>
      </x:c>
      <x:c r="F30" s="204" t="n">
        <x:f>SUMIFS('21_STORAGE_ZONAL'!$G:$G,'21_STORAGE_ZONAL'!$B:$B,$C30,'21_STORAGE_ZONAL'!$F:$F,$D30)</x:f>
        <x:v>140.00000000000003</x:v>
      </x:c>
      <x:c r="G30" s="204" t="n">
        <x:f>F30-E30</x:f>
        <x:v>2.842170943040401e-14</x:v>
      </x:c>
      <x:c r="H30" s="204" t="n">
        <x:v>0.15</x:v>
      </x:c>
      <x:c r="I30" s="83" t="str">
        <x:f>IF(ABS(G30)&lt;=H30,"PASS","REVIEW")</x:f>
        <x:v>PASS</x:v>
      </x:c>
      <x:c r="J30" s="83" t="str">
        <x:v>Small deviations reflect one-decimal rounding by zone.</x:v>
      </x:c>
      <x:c r="K30" s="83" t="str">
        <x:v>SUMIFS delle sette zone per scenario e classe</x:v>
      </x:c>
    </x:row>
    <x:row r="31">
      <x:c r="A31" s="83" t="str">
        <x:v>QA3B-027</x:v>
      </x:c>
      <x:c r="B31" s="83" t="str">
        <x:v>Zonal sum vs national</x:v>
      </x:c>
      <x:c r="C31" s="83" t="str">
        <x:v>DE_IT_2040</x:v>
      </x:c>
      <x:c r="D31" s="83" t="str">
        <x:v>CM</x:v>
      </x:c>
      <x:c r="E31" s="204" t="n">
        <x:v>7.5</x:v>
      </x:c>
      <x:c r="F31" s="204" t="n">
        <x:f>SUMIFS('21_STORAGE_ZONAL'!$G:$G,'21_STORAGE_ZONAL'!$B:$B,$C31,'21_STORAGE_ZONAL'!$F:$F,$D31)</x:f>
        <x:v>7.4</x:v>
      </x:c>
      <x:c r="G31" s="204" t="n">
        <x:f>F31-E31</x:f>
        <x:v>-0.09999999999999964</x:v>
      </x:c>
      <x:c r="H31" s="204" t="n">
        <x:v>0.15</x:v>
      </x:c>
      <x:c r="I31" s="83" t="str">
        <x:f>IF(ABS(G31)&lt;=H31,"PASS","REVIEW")</x:f>
        <x:v>PASS</x:v>
      </x:c>
      <x:c r="J31" s="83" t="str">
        <x:v>Small deviations reflect one-decimal rounding by zone.</x:v>
      </x:c>
      <x:c r="K31" s="83" t="str">
        <x:v>SUMIFS delle sette zone per scenario e classe</x:v>
      </x:c>
    </x:row>
    <x:row r="32">
      <x:c r="A32" s="83" t="str">
        <x:v>QA3B-028</x:v>
      </x:c>
      <x:c r="B32" s="83" t="str">
        <x:v>Zonal sum vs national</x:v>
      </x:c>
      <x:c r="C32" s="83" t="str">
        <x:v>DE_IT_2040</x:v>
      </x:c>
      <x:c r="D32" s="83" t="str">
        <x:v>Totale</x:v>
      </x:c>
      <x:c r="E32" s="204" t="n">
        <x:v>166.5</x:v>
      </x:c>
      <x:c r="F32" s="204" t="n">
        <x:f>SUMIFS('21_STORAGE_ZONAL'!$G:$G,'21_STORAGE_ZONAL'!$B:$B,$C32,'21_STORAGE_ZONAL'!$F:$F,$D32)</x:f>
        <x:v>166.5</x:v>
      </x:c>
      <x:c r="G32" s="204" t="n">
        <x:f>F32-E32</x:f>
        <x:v>0</x:v>
      </x:c>
      <x:c r="H32" s="204" t="n">
        <x:v>0.15</x:v>
      </x:c>
      <x:c r="I32" s="83" t="str">
        <x:f>IF(ABS(G32)&lt;=H32,"PASS","REVIEW")</x:f>
        <x:v>PASS</x:v>
      </x:c>
      <x:c r="J32" s="83" t="str">
        <x:v>Small deviations reflect one-decimal rounding by zone.</x:v>
      </x:c>
      <x:c r="K32" s="83" t="str">
        <x:v>SUMIFS delle sette zone per scenario e classe</x:v>
      </x:c>
    </x:row>
    <x:row r="33">
      <x:c r="A33" s="83" t="str">
        <x:v>QA3B-029</x:v>
      </x:c>
      <x:c r="B33" s="83" t="str">
        <x:v>Zonal sum vs national</x:v>
      </x:c>
      <x:c r="C33" s="83" t="str">
        <x:v>GA_IT_2040</x:v>
      </x:c>
      <x:c r="D33" s="83" t="str">
        <x:v>Small Scale</x:v>
      </x:c>
      <x:c r="E33" s="204" t="n">
        <x:v>18.2</x:v>
      </x:c>
      <x:c r="F33" s="204" t="n">
        <x:f>SUMIFS('21_STORAGE_ZONAL'!$G:$G,'21_STORAGE_ZONAL'!$B:$B,$C33,'21_STORAGE_ZONAL'!$F:$F,$D33)</x:f>
        <x:v>18.400000000000002</x:v>
      </x:c>
      <x:c r="G33" s="204" t="n">
        <x:f>F33-E33</x:f>
        <x:v>0.20000000000000284</x:v>
      </x:c>
      <x:c r="H33" s="204" t="n">
        <x:v>0.15</x:v>
      </x:c>
      <x:c r="I33" s="83" t="str">
        <x:f>IF(ABS(G33)&lt;=H33,"PASS","REVIEW")</x:f>
        <x:v>REVIEW</x:v>
      </x:c>
      <x:c r="J33" s="83" t="str">
        <x:v>Small deviations reflect one-decimal rounding by zone.</x:v>
      </x:c>
      <x:c r="K33" s="83" t="str">
        <x:v>SUMIFS delle sette zone per scenario e classe</x:v>
      </x:c>
    </x:row>
    <x:row r="34">
      <x:c r="A34" s="83" t="str">
        <x:v>QA3B-030</x:v>
      </x:c>
      <x:c r="B34" s="83" t="str">
        <x:v>Zonal sum vs national</x:v>
      </x:c>
      <x:c r="C34" s="83" t="str">
        <x:v>GA_IT_2040</x:v>
      </x:c>
      <x:c r="D34" s="83" t="str">
        <x:v>Utility Scale</x:v>
      </x:c>
      <x:c r="E34" s="204" t="n">
        <x:v>108</x:v>
      </x:c>
      <x:c r="F34" s="204" t="n">
        <x:f>SUMIFS('21_STORAGE_ZONAL'!$G:$G,'21_STORAGE_ZONAL'!$B:$B,$C34,'21_STORAGE_ZONAL'!$F:$F,$D34)</x:f>
        <x:v>107.9</x:v>
      </x:c>
      <x:c r="G34" s="204" t="n">
        <x:f>F34-E34</x:f>
        <x:v>-0.09999999999999432</x:v>
      </x:c>
      <x:c r="H34" s="204" t="n">
        <x:v>0.15</x:v>
      </x:c>
      <x:c r="I34" s="83" t="str">
        <x:f>IF(ABS(G34)&lt;=H34,"PASS","REVIEW")</x:f>
        <x:v>PASS</x:v>
      </x:c>
      <x:c r="J34" s="83" t="str">
        <x:v>Small deviations reflect one-decimal rounding by zone.</x:v>
      </x:c>
      <x:c r="K34" s="83" t="str">
        <x:v>SUMIFS delle sette zone per scenario e classe</x:v>
      </x:c>
    </x:row>
    <x:row r="35">
      <x:c r="A35" s="83" t="str">
        <x:v>QA3B-031</x:v>
      </x:c>
      <x:c r="B35" s="83" t="str">
        <x:v>Zonal sum vs national</x:v>
      </x:c>
      <x:c r="C35" s="83" t="str">
        <x:v>GA_IT_2040</x:v>
      </x:c>
      <x:c r="D35" s="83" t="str">
        <x:v>CM</x:v>
      </x:c>
      <x:c r="E35" s="204" t="n">
        <x:v>7.5</x:v>
      </x:c>
      <x:c r="F35" s="204" t="n">
        <x:f>SUMIFS('21_STORAGE_ZONAL'!$G:$G,'21_STORAGE_ZONAL'!$B:$B,$C35,'21_STORAGE_ZONAL'!$F:$F,$D35)</x:f>
        <x:v>7.4</x:v>
      </x:c>
      <x:c r="G35" s="204" t="n">
        <x:f>F35-E35</x:f>
        <x:v>-0.09999999999999964</x:v>
      </x:c>
      <x:c r="H35" s="204" t="n">
        <x:v>0.15</x:v>
      </x:c>
      <x:c r="I35" s="83" t="str">
        <x:f>IF(ABS(G35)&lt;=H35,"PASS","REVIEW")</x:f>
        <x:v>PASS</x:v>
      </x:c>
      <x:c r="J35" s="83" t="str">
        <x:v>Small deviations reflect one-decimal rounding by zone.</x:v>
      </x:c>
      <x:c r="K35" s="83" t="str">
        <x:v>SUMIFS delle sette zone per scenario e classe</x:v>
      </x:c>
    </x:row>
    <x:row r="36">
      <x:c r="A36" s="83" t="str">
        <x:v>QA3B-032</x:v>
      </x:c>
      <x:c r="B36" s="83" t="str">
        <x:v>Zonal sum vs national</x:v>
      </x:c>
      <x:c r="C36" s="83" t="str">
        <x:v>GA_IT_2040</x:v>
      </x:c>
      <x:c r="D36" s="83" t="str">
        <x:v>Totale</x:v>
      </x:c>
      <x:c r="E36" s="204" t="n">
        <x:v>133.6</x:v>
      </x:c>
      <x:c r="F36" s="204" t="n">
        <x:f>SUMIFS('21_STORAGE_ZONAL'!$G:$G,'21_STORAGE_ZONAL'!$B:$B,$C36,'21_STORAGE_ZONAL'!$F:$F,$D36)</x:f>
        <x:v>133.6</x:v>
      </x:c>
      <x:c r="G36" s="204" t="n">
        <x:f>F36-E36</x:f>
        <x:v>0</x:v>
      </x:c>
      <x:c r="H36" s="204" t="n">
        <x:v>0.15</x:v>
      </x:c>
      <x:c r="I36" s="83" t="str">
        <x:f>IF(ABS(G36)&lt;=H36,"PASS","REVIEW")</x:f>
        <x:v>PASS</x:v>
      </x:c>
      <x:c r="J36" s="83" t="str">
        <x:v>Small deviations reflect one-decimal rounding by zone.</x:v>
      </x:c>
      <x:c r="K36" s="83" t="str">
        <x:v>SUMIFS delle sette zone per scenario e classe</x:v>
      </x:c>
    </x:row>
    <x:row r="37">
      <x:c r="A37" s="83" t="str">
        <x:v>QA3B-033</x:v>
      </x:c>
      <x:c r="B37" s="83" t="str">
        <x:v>Zonal sum vs national</x:v>
      </x:c>
      <x:c r="C37" s="83" t="str">
        <x:v>PNIEC_SLOW_2040</x:v>
      </x:c>
      <x:c r="D37" s="83" t="str">
        <x:v>Small Scale</x:v>
      </x:c>
      <x:c r="E37" s="204" t="n">
        <x:v>17.5</x:v>
      </x:c>
      <x:c r="F37" s="204" t="n">
        <x:f>SUMIFS('21_STORAGE_ZONAL'!$G:$G,'21_STORAGE_ZONAL'!$B:$B,$C37,'21_STORAGE_ZONAL'!$F:$F,$D37)</x:f>
        <x:v>17.4</x:v>
      </x:c>
      <x:c r="G37" s="204" t="n">
        <x:f>F37-E37</x:f>
        <x:v>-0.10000000000000142</x:v>
      </x:c>
      <x:c r="H37" s="204" t="n">
        <x:v>0.15</x:v>
      </x:c>
      <x:c r="I37" s="83" t="str">
        <x:f>IF(ABS(G37)&lt;=H37,"PASS","REVIEW")</x:f>
        <x:v>PASS</x:v>
      </x:c>
      <x:c r="J37" s="83" t="str">
        <x:v>Small deviations reflect one-decimal rounding by zone.</x:v>
      </x:c>
      <x:c r="K37" s="83" t="str">
        <x:v>SUMIFS delle sette zone per scenario e classe</x:v>
      </x:c>
    </x:row>
    <x:row r="38">
      <x:c r="A38" s="83" t="str">
        <x:v>QA3B-034</x:v>
      </x:c>
      <x:c r="B38" s="83" t="str">
        <x:v>Zonal sum vs national</x:v>
      </x:c>
      <x:c r="C38" s="83" t="str">
        <x:v>PNIEC_SLOW_2040</x:v>
      </x:c>
      <x:c r="D38" s="83" t="str">
        <x:v>Utility Scale</x:v>
      </x:c>
      <x:c r="E38" s="204" t="n">
        <x:v>92</x:v>
      </x:c>
      <x:c r="F38" s="204" t="n">
        <x:f>SUMIFS('21_STORAGE_ZONAL'!$G:$G,'21_STORAGE_ZONAL'!$B:$B,$C38,'21_STORAGE_ZONAL'!$F:$F,$D38)</x:f>
        <x:v>92</x:v>
      </x:c>
      <x:c r="G38" s="204" t="n">
        <x:f>F38-E38</x:f>
        <x:v>0</x:v>
      </x:c>
      <x:c r="H38" s="204" t="n">
        <x:v>0.15</x:v>
      </x:c>
      <x:c r="I38" s="83" t="str">
        <x:f>IF(ABS(G38)&lt;=H38,"PASS","REVIEW")</x:f>
        <x:v>PASS</x:v>
      </x:c>
      <x:c r="J38" s="83" t="str">
        <x:v>Small deviations reflect one-decimal rounding by zone.</x:v>
      </x:c>
      <x:c r="K38" s="83" t="str">
        <x:v>SUMIFS delle sette zone per scenario e classe</x:v>
      </x:c>
    </x:row>
    <x:row r="39">
      <x:c r="A39" s="83" t="str">
        <x:v>QA3B-035</x:v>
      </x:c>
      <x:c r="B39" s="83" t="str">
        <x:v>Zonal sum vs national</x:v>
      </x:c>
      <x:c r="C39" s="83" t="str">
        <x:v>PNIEC_SLOW_2040</x:v>
      </x:c>
      <x:c r="D39" s="83" t="str">
        <x:v>CM</x:v>
      </x:c>
      <x:c r="E39" s="204" t="n">
        <x:v>7.5</x:v>
      </x:c>
      <x:c r="F39" s="204" t="n">
        <x:f>SUMIFS('21_STORAGE_ZONAL'!$G:$G,'21_STORAGE_ZONAL'!$B:$B,$C39,'21_STORAGE_ZONAL'!$F:$F,$D39)</x:f>
        <x:v>7.4</x:v>
      </x:c>
      <x:c r="G39" s="204" t="n">
        <x:f>F39-E39</x:f>
        <x:v>-0.09999999999999964</x:v>
      </x:c>
      <x:c r="H39" s="204" t="n">
        <x:v>0.15</x:v>
      </x:c>
      <x:c r="I39" s="83" t="str">
        <x:f>IF(ABS(G39)&lt;=H39,"PASS","REVIEW")</x:f>
        <x:v>PASS</x:v>
      </x:c>
      <x:c r="J39" s="83" t="str">
        <x:v>Small deviations reflect one-decimal rounding by zone.</x:v>
      </x:c>
      <x:c r="K39" s="83" t="str">
        <x:v>SUMIFS delle sette zone per scenario e classe</x:v>
      </x:c>
    </x:row>
    <x:row r="40">
      <x:c r="A40" s="83" t="str">
        <x:v>QA3B-036</x:v>
      </x:c>
      <x:c r="B40" s="83" t="str">
        <x:v>Zonal sum vs national</x:v>
      </x:c>
      <x:c r="C40" s="83" t="str">
        <x:v>PNIEC_SLOW_2040</x:v>
      </x:c>
      <x:c r="D40" s="83" t="str">
        <x:v>Totale</x:v>
      </x:c>
      <x:c r="E40" s="204" t="n">
        <x:v>117</x:v>
      </x:c>
      <x:c r="F40" s="204" t="n">
        <x:f>SUMIFS('21_STORAGE_ZONAL'!$G:$G,'21_STORAGE_ZONAL'!$B:$B,$C40,'21_STORAGE_ZONAL'!$F:$F,$D40)</x:f>
        <x:v>117.00000000000001</x:v>
      </x:c>
      <x:c r="G40" s="204" t="n">
        <x:f>F40-E40</x:f>
        <x:v>1.4210854715202004e-14</x:v>
      </x:c>
      <x:c r="H40" s="204" t="n">
        <x:v>0.15</x:v>
      </x:c>
      <x:c r="I40" s="83" t="str">
        <x:f>IF(ABS(G40)&lt;=H40,"PASS","REVIEW")</x:f>
        <x:v>PASS</x:v>
      </x:c>
      <x:c r="J40" s="83" t="str">
        <x:v>Small deviations reflect one-decimal rounding by zone.</x:v>
      </x:c>
      <x:c r="K40" s="83" t="str">
        <x:v>SUMIFS delle sette zone per scenario e classe</x:v>
      </x:c>
    </x:row>
    <x:row r="41">
      <x:c r="A41" s="83" t="str">
        <x:v>QA3B-037</x:v>
      </x:c>
      <x:c r="B41" s="83" t="str">
        <x:v>Scenario storage accounting</x:v>
      </x:c>
      <x:c r="C41" s="83" t="str">
        <x:v>PNIEC_POLICY_2030</x:v>
      </x:c>
      <x:c r="D41" s="83" t="str">
        <x:v>Total including 50 GWh pumping</x:v>
      </x:c>
      <x:c r="E41" s="204" t="n">
        <x:v>122</x:v>
      </x:c>
      <x:c r="F41" s="204" t="n">
        <x:f>'20_STORAGE'!J20+50</x:f>
        <x:v>121.5</x:v>
      </x:c>
      <x:c r="G41" s="204" t="n">
        <x:f>F41-E41</x:f>
        <x:v>-0.5</x:v>
      </x:c>
      <x:c r="H41" s="204" t="n">
        <x:v>0.6</x:v>
      </x:c>
      <x:c r="I41" s="83" t="str">
        <x:f>IF(ABS(G41)&lt;=H41,"PASS","REVIEW")</x:f>
        <x:v>PASS</x:v>
      </x:c>
      <x:c r="J41" s="83" t="str">
        <x:v>Source reports approximately 122 GWh.</x:v>
      </x:c>
      <x:c r="K41" s="83" t="str">
        <x:v>Totale DDS ex pompaggi + convenzione 50 GWh</x:v>
      </x:c>
    </x:row>
    <x:row r="42">
      <x:c r="A42" s="83" t="str">
        <x:v>QA3B-038</x:v>
      </x:c>
      <x:c r="B42" s="83" t="str">
        <x:v>Duration calculation</x:v>
      </x:c>
      <x:c r="C42" s="83" t="str">
        <x:v>HIST_2023</x:v>
      </x:c>
      <x:c r="D42" s="83" t="str">
        <x:v>BESS duration 2023</x:v>
      </x:c>
      <x:c r="E42" s="204" t="n">
        <x:v>2.033781102166035</x:v>
      </x:c>
      <x:c r="F42" s="204" t="n">
        <x:f>'20_STORAGE'!J5/'20_STORAGE'!L5</x:f>
        <x:v>2.033781102166035</x:v>
      </x:c>
      <x:c r="G42" s="204" t="n">
        <x:f>F42-E42</x:f>
        <x:v>0</x:v>
      </x:c>
      <x:c r="H42" s="204" t="n">
        <x:v>0.000001</x:v>
      </x:c>
      <x:c r="I42" s="83" t="str">
        <x:f>IF(ABS(G42)&lt;=H42,"PASS","REVIEW")</x:f>
        <x:v>PASS</x:v>
      </x:c>
      <x:c r="J42" s="83" t="str">
        <x:v>Formula identity.</x:v>
      </x:c>
      <x:c r="K42" s="83" t="str">
        <x:v>Energia / potenza scarica</x:v>
      </x:c>
    </x:row>
    <x:row r="43">
      <x:c r="A43" s="83" t="str">
        <x:v>QA3B-039</x:v>
      </x:c>
      <x:c r="B43" s="83" t="str">
        <x:v>Duration calculation</x:v>
      </x:c>
      <x:c r="C43" s="83" t="str">
        <x:v>HIST_2024</x:v>
      </x:c>
      <x:c r="D43" s="83" t="str">
        <x:v>BESS duration 2024</x:v>
      </x:c>
      <x:c r="E43" s="204" t="n">
        <x:v>2.3250757805804065</x:v>
      </x:c>
      <x:c r="F43" s="204" t="n">
        <x:f>'20_STORAGE'!J8/'20_STORAGE'!L8</x:f>
        <x:v>2.3250757805804065</x:v>
      </x:c>
      <x:c r="G43" s="204" t="n">
        <x:f>F43-E43</x:f>
        <x:v>0</x:v>
      </x:c>
      <x:c r="H43" s="204" t="n">
        <x:v>0.000001</x:v>
      </x:c>
      <x:c r="I43" s="83" t="str">
        <x:f>IF(ABS(G43)&lt;=H43,"PASS","REVIEW")</x:f>
        <x:v>PASS</x:v>
      </x:c>
      <x:c r="J43" s="83" t="str">
        <x:v>Formula identity.</x:v>
      </x:c>
      <x:c r="K43" s="83" t="str">
        <x:v>Energia / potenza scarica</x:v>
      </x:c>
    </x:row>
    <x:row r="44">
      <x:c r="A44" s="83" t="str">
        <x:v>QA3B-040</x:v>
      </x:c>
      <x:c r="B44" s="83" t="str">
        <x:v>Duration calculation</x:v>
      </x:c>
      <x:c r="C44" s="83" t="str">
        <x:v>TERNA_2050_NUCLEAR</x:v>
      </x:c>
      <x:c r="D44" s="83" t="str">
        <x:v>BESS duration 2050</x:v>
      </x:c>
      <x:c r="E44" s="204" t="n">
        <x:v>5.444444444444445</x:v>
      </x:c>
      <x:c r="F44" s="204" t="n">
        <x:f>'20_STORAGE'!J61/'20_STORAGE'!L61</x:f>
        <x:v>5.444444444444445</x:v>
      </x:c>
      <x:c r="G44" s="204" t="n">
        <x:f>F44-E44</x:f>
        <x:v>0</x:v>
      </x:c>
      <x:c r="H44" s="204" t="n">
        <x:v>0.000001</x:v>
      </x:c>
      <x:c r="I44" s="83" t="str">
        <x:f>IF(ABS(G44)&lt;=H44,"PASS","REVIEW")</x:f>
        <x:v>PASS</x:v>
      </x:c>
      <x:c r="J44" s="83" t="str">
        <x:v>Aggregate implied duration.</x:v>
      </x:c>
      <x:c r="K44" s="83" t="str">
        <x:v>Energia / potenza scarica</x:v>
      </x:c>
    </x:row>
    <x:row r="45">
      <x:c r="A45" s="83" t="str">
        <x:v>QA3B-041</x:v>
      </x:c>
      <x:c r="B45" s="83" t="str">
        <x:v>Pumping pipeline reconciliation</x:v>
      </x:c>
      <x:c r="C45" s="83" t="str">
        <x:v>PIPELINE_2024</x:v>
      </x:c>
      <x:c r="D45" s="83" t="str">
        <x:v>Table 7 vs Table 8 totals</x:v>
      </x:c>
      <x:c r="E45" s="204" t="n">
        <x:v>9.14</x:v>
      </x:c>
      <x:c r="F45" s="204" t="n">
        <x:f>SUMIFS('22_HYDRO'!$I:$I,'22_HYDRO'!$P:$P,"Table 8")</x:f>
        <x:v>9.13</x:v>
      </x:c>
      <x:c r="G45" s="204" t="n">
        <x:f>F45-E45</x:f>
        <x:v>-0.009999999999999787</x:v>
      </x:c>
      <x:c r="H45" s="204" t="n">
        <x:v>0.02</x:v>
      </x:c>
      <x:c r="I45" s="83" t="str">
        <x:f>IF(ABS(G45)&lt;=H45,"PASS","REVIEW")</x:f>
        <x:v>PASS</x:v>
      </x:c>
      <x:c r="J45" s="83" t="str">
        <x:v>Independent rounding of tables.</x:v>
      </x:c>
      <x:c r="K45" s="83" t="str">
        <x:v>Somma zonale Tabella 8; atteso da Tabella 7</x:v>
      </x:c>
    </x:row>
    <x:row r="46">
      <x:c r="A46" s="83" t="str">
        <x:v>QA3B-042</x:v>
      </x:c>
      <x:c r="B46" s="83" t="str">
        <x:v>Derived overgeneration</x:v>
      </x:c>
      <x:c r="C46" s="83" t="str">
        <x:v>TERNA_2050_NUCLEAR</x:v>
      </x:c>
      <x:c r="D46" s="83" t="str">
        <x:v>583 TWh × 4.8%</x:v>
      </x:c>
      <x:c r="E46" s="204" t="n">
        <x:v>27.984</x:v>
      </x:c>
      <x:c r="F46" s="204" t="n">
        <x:f>583*'23_FLEXIBILITY_CONTEXT'!I66/100</x:f>
        <x:v>27.984</x:v>
      </x:c>
      <x:c r="G46" s="204" t="n">
        <x:f>F46-E46</x:f>
        <x:v>0</x:v>
      </x:c>
      <x:c r="H46" s="204" t="n">
        <x:v>0.000001</x:v>
      </x:c>
      <x:c r="I46" s="83" t="str">
        <x:f>IF(ABS(G46)&lt;=H46,"PASS","REVIEW")</x:f>
        <x:v>PASS</x:v>
      </x:c>
      <x:c r="J46" s="83" t="str"/>
      <x:c r="K46" s="83" t="str">
        <x:v>583 TWh × quota overgeneration</x:v>
      </x:c>
    </x:row>
    <x:row r="47">
      <x:c r="A47" s="83" t="str">
        <x:v>QA3B-043</x:v>
      </x:c>
      <x:c r="B47" s="83" t="str">
        <x:v>Derived overgeneration</x:v>
      </x:c>
      <x:c r="C47" s="83" t="str">
        <x:v>TERNA_2050_NO_NUCLEAR</x:v>
      </x:c>
      <x:c r="D47" s="83" t="str">
        <x:v>583 TWh × 4.4%</x:v>
      </x:c>
      <x:c r="E47" s="204" t="n">
        <x:v>25.652</x:v>
      </x:c>
      <x:c r="F47" s="204" t="n">
        <x:f>583*'23_FLEXIBILITY_CONTEXT'!I69/100</x:f>
        <x:v>25.652</x:v>
      </x:c>
      <x:c r="G47" s="204" t="n">
        <x:f>F47-E47</x:f>
        <x:v>0</x:v>
      </x:c>
      <x:c r="H47" s="204" t="n">
        <x:v>0.000001</x:v>
      </x:c>
      <x:c r="I47" s="83" t="str">
        <x:f>IF(ABS(G47)&lt;=H47,"PASS","REVIEW")</x:f>
        <x:v>PASS</x:v>
      </x:c>
      <x:c r="J47" s="83" t="str"/>
      <x:c r="K47" s="83" t="str">
        <x:v>583 TWh × quota overgeneration</x:v>
      </x:c>
    </x:row>
    <x:row r="48">
      <x:c r="A48" s="83" t="str">
        <x:v>QA3B-044</x:v>
      </x:c>
      <x:c r="B48" s="83" t="str">
        <x:v>Flexibility contribution shares</x:v>
      </x:c>
      <x:c r="C48" s="83" t="str">
        <x:v>TERNA_2050_NUCLEAR</x:v>
      </x:c>
      <x:c r="D48" s="83" t="str">
        <x:v>Daily shares sum</x:v>
      </x:c>
      <x:c r="E48" s="204" t="n">
        <x:v>100</x:v>
      </x:c>
      <x:c r="F48" s="204" t="n">
        <x:f>SUMIFS('23_FLEXIBILITY_CONTEXT'!$I:$I,'23_FLEXIBILITY_CONTEXT'!$B:$B,$C48,'23_FLEXIBILITY_CONTEXT'!$E:$E,"Daily",'23_FLEXIBILITY_CONTEXT'!$F:$F,"Flexibility contribution")</x:f>
        <x:v>100</x:v>
      </x:c>
      <x:c r="G48" s="204" t="n">
        <x:f>F48-E48</x:f>
        <x:v>0</x:v>
      </x:c>
      <x:c r="H48" s="204" t="n">
        <x:v>0.01</x:v>
      </x:c>
      <x:c r="I48" s="83" t="str">
        <x:f>IF(ABS(G48)&lt;=H48,"PASS","REVIEW")</x:f>
        <x:v>PASS</x:v>
      </x:c>
      <x:c r="J48" s="83" t="str"/>
      <x:c r="K48" s="83" t="str">
        <x:v>Somma quote daily 2050</x:v>
      </x:c>
    </x:row>
    <x:row r="49">
      <x:c r="A49" s="83" t="str">
        <x:v>QA3B-045</x:v>
      </x:c>
      <x:c r="B49" s="83" t="str">
        <x:v>Flexibility contribution shares</x:v>
      </x:c>
      <x:c r="C49" s="83" t="str">
        <x:v>TERNA_2050_NUCLEAR</x:v>
      </x:c>
      <x:c r="D49" s="83" t="str">
        <x:v>Monthly shares sum</x:v>
      </x:c>
      <x:c r="E49" s="204" t="n">
        <x:v>100</x:v>
      </x:c>
      <x:c r="F49" s="204" t="n">
        <x:f>SUMIFS('23_FLEXIBILITY_CONTEXT'!$I:$I,'23_FLEXIBILITY_CONTEXT'!$B:$B,$C49,'23_FLEXIBILITY_CONTEXT'!$E:$E,"Monthly",'23_FLEXIBILITY_CONTEXT'!$F:$F,"Flexibility contribution")</x:f>
        <x:v>100</x:v>
      </x:c>
      <x:c r="G49" s="204" t="n">
        <x:f>F49-E49</x:f>
        <x:v>0</x:v>
      </x:c>
      <x:c r="H49" s="204" t="n">
        <x:v>0.01</x:v>
      </x:c>
      <x:c r="I49" s="83" t="str">
        <x:f>IF(ABS(G49)&lt;=H49,"PASS","REVIEW")</x:f>
        <x:v>PASS</x:v>
      </x:c>
      <x:c r="J49" s="83" t="str"/>
      <x:c r="K49" s="83" t="str">
        <x:v>Somma quote monthly 2050</x:v>
      </x:c>
    </x:row>
    <x:row r="50">
      <x:c r="A50" s="83" t="str">
        <x:v>QA3B-046</x:v>
      </x:c>
      <x:c r="B50" s="83" t="str">
        <x:v>Source perimeter comparison</x:v>
      </x:c>
      <x:c r="C50" s="83" t="str">
        <x:v>HIST_2023</x:v>
      </x:c>
      <x:c r="D50" s="83" t="str">
        <x:v>DDS small-scale energy vs S01 installed BESS</x:v>
      </x:c>
      <x:c r="E50" s="204" t="n">
        <x:v>7.02047</x:v>
      </x:c>
      <x:c r="F50" s="204" t="n">
        <x:f>'20_STORAGE'!J13</x:f>
        <x:v>6.6</x:v>
      </x:c>
      <x:c r="G50" s="204" t="n">
        <x:f>F50-E50</x:f>
        <x:v>-0.4204700000000008</x:v>
      </x:c>
      <x:c r="H50" s="204" t="n">
        <x:v>0.15</x:v>
      </x:c>
      <x:c r="I50" s="83" t="str">
        <x:f>IF(ABS(G50)&lt;=H50,"PASS","REVIEW")</x:f>
        <x:v>REVIEW</x:v>
      </x:c>
      <x:c r="J50" s="83" t="str">
        <x:v>Expected REVIEW: DDS table uses a different/rounded perimeter or data cut than S01 year-end stock.</x:v>
      </x:c>
      <x:c r="K50" s="83" t="str">
        <x:v>Confronto DDS 2023 con stock S01</x:v>
      </x:c>
    </x:row>
  </x:sheetData>
  <x:mergeCells>
    <x:mergeCell ref="A1:K1"/>
    <x:mergeCell ref="A2:K2"/>
  </x:mergeCells>
  <x:conditionalFormatting sqref="I5:I50">
    <x:cfRule type="expression" dxfId="45" priority="1">
      <x:formula>I5="PASS"</x:formula>
    </x:cfRule>
    <x:cfRule type="expression" dxfId="46" priority="2">
      <x:formula>I5="REVIEW"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fa3be521e5d4886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  <x:col min="10" max="10" width="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188" t="str">
        <x:v>Fase 3B — Accumuli, idroelettrico e flessibilità</x:v>
      </x:c>
      <x:c r="B1" s="188"/>
      <x:c r="C1" s="188"/>
      <x:c r="D1" s="188"/>
      <x:c r="E1" s="188"/>
      <x:c r="F1" s="188"/>
      <x:c r="G1" s="188"/>
      <x:c r="H1" s="188"/>
      <x:c r="I1" s="188"/>
      <x:c r="J1" s="188"/>
      <x:c r="K1" s="188"/>
      <x:c r="L1" s="188"/>
      <x:c r="M1" s="188"/>
      <x:c r="N1" s="188"/>
      <x:c r="O1" s="188"/>
      <x:c r="P1" s="188"/>
      <x:c r="Q1" s="188"/>
      <x:c r="R1" s="188"/>
    </x:row>
    <x:row r="2" ht="30" customHeight="1">
      <x:c r="A2" s="192" t="str">
        <x:v>Capacità energetica e potenza mantenute separate; dati certi, scenari e pipeline non vengono confusi</x:v>
      </x:c>
      <x:c r="B2" s="192"/>
      <x:c r="C2" s="192"/>
      <x:c r="D2" s="192"/>
      <x:c r="E2" s="192"/>
      <x:c r="F2" s="192"/>
      <x:c r="G2" s="192"/>
      <x:c r="H2" s="192"/>
      <x:c r="I2" s="192"/>
      <x:c r="J2" s="192"/>
      <x:c r="K2" s="192"/>
      <x:c r="L2" s="192"/>
      <x:c r="M2" s="192"/>
      <x:c r="N2" s="192"/>
      <x:c r="O2" s="192"/>
      <x:c r="P2" s="192"/>
      <x:c r="Q2" s="192"/>
      <x:c r="R2" s="192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</x:row>
    <x:row r="4">
      <x:c r="A4" s="228" t="str">
        <x:v>Indicatore</x:v>
      </x:c>
      <x:c r="B4" s="228" t="str">
        <x:v>Valore</x:v>
      </x:c>
      <x:c r="C4" s="45"/>
      <x:c r="D4" s="228" t="str">
        <x:v>Esito analitico</x:v>
      </x:c>
      <x:c r="E4" s="228"/>
      <x:c r="F4" s="228"/>
      <x:c r="G4" s="228"/>
      <x:c r="H4" s="228"/>
      <x:c r="I4" s="228"/>
      <x:c r="J4" s="228"/>
      <x:c r="K4" s="45"/>
      <x:c r="L4" s="45"/>
      <x:c r="M4" s="45"/>
      <x:c r="N4" s="45"/>
      <x:c r="O4" s="45"/>
      <x:c r="P4" s="45"/>
      <x:c r="Q4" s="45"/>
      <x:c r="R4" s="45"/>
    </x:row>
    <x:row r="5">
      <x:c r="A5" s="222" t="str">
        <x:v>Record storage</x:v>
      </x:c>
      <x:c r="B5" s="48" t="n">
        <x:v>58</x:v>
      </x:c>
      <x:c r="C5" s="45"/>
      <x:c r="D5" s="212" t="str">
        <x:v>Il DDS fornisce energia zonale completa per small-scale, utility-scale e Capacity Market. La potenza è derivabile direttamente solo per utility-scale 8h; small-scale resta un intervallo 2h/4h. Lo stock fisico dei pompaggi è 53 GWh, mentre il DDS usa 50 GWh come convenzione. Pipeline di connessione e capacità assegnata sono mantenute separate.</x:v>
      </x:c>
      <x:c r="E5" s="212"/>
      <x:c r="F5" s="212"/>
      <x:c r="G5" s="212"/>
      <x:c r="H5" s="212"/>
      <x:c r="I5" s="212"/>
      <x:c r="J5" s="212"/>
      <x:c r="K5" s="45"/>
      <x:c r="L5" s="45"/>
      <x:c r="M5" s="45"/>
      <x:c r="N5" s="45"/>
      <x:c r="O5" s="45"/>
      <x:c r="P5" s="45"/>
      <x:c r="Q5" s="45"/>
      <x:c r="R5" s="45"/>
    </x:row>
    <x:row r="6">
      <x:c r="A6" s="222" t="str">
        <x:v>Righe storage zonale</x:v>
      </x:c>
      <x:c r="B6" s="48" t="n">
        <x:v>252</x:v>
      </x:c>
      <x:c r="C6" s="45"/>
      <x:c r="D6" s="212"/>
      <x:c r="E6" s="212"/>
      <x:c r="F6" s="212"/>
      <x:c r="G6" s="212"/>
      <x:c r="H6" s="212"/>
      <x:c r="I6" s="212"/>
      <x:c r="J6" s="212"/>
      <x:c r="K6" s="45"/>
      <x:c r="L6" s="45"/>
      <x:c r="M6" s="45"/>
      <x:c r="N6" s="45"/>
      <x:c r="O6" s="45"/>
      <x:c r="P6" s="45"/>
      <x:c r="Q6" s="45"/>
      <x:c r="R6" s="45"/>
    </x:row>
    <x:row r="7">
      <x:c r="A7" s="222" t="str">
        <x:v>Record idroelettrico</x:v>
      </x:c>
      <x:c r="B7" s="48" t="n">
        <x:v>67</x:v>
      </x:c>
      <x:c r="C7" s="45"/>
      <x:c r="D7" s="212"/>
      <x:c r="E7" s="212"/>
      <x:c r="F7" s="212"/>
      <x:c r="G7" s="212"/>
      <x:c r="H7" s="212"/>
      <x:c r="I7" s="212"/>
      <x:c r="J7" s="212"/>
      <x:c r="K7" s="45"/>
      <x:c r="L7" s="45"/>
      <x:c r="M7" s="45"/>
      <x:c r="N7" s="45"/>
      <x:c r="O7" s="45"/>
      <x:c r="P7" s="45"/>
      <x:c r="Q7" s="45"/>
      <x:c r="R7" s="45"/>
    </x:row>
    <x:row r="8">
      <x:c r="A8" s="222" t="str">
        <x:v>Record flessibilità</x:v>
      </x:c>
      <x:c r="B8" s="48" t="n">
        <x:v>96</x:v>
      </x:c>
      <x:c r="C8" s="45"/>
      <x:c r="D8" s="212"/>
      <x:c r="E8" s="212"/>
      <x:c r="F8" s="212"/>
      <x:c r="G8" s="212"/>
      <x:c r="H8" s="212"/>
      <x:c r="I8" s="212"/>
      <x:c r="J8" s="212"/>
      <x:c r="K8" s="45"/>
      <x:c r="L8" s="45"/>
      <x:c r="M8" s="45"/>
      <x:c r="N8" s="45"/>
      <x:c r="O8" s="45"/>
      <x:c r="P8" s="45"/>
      <x:c r="Q8" s="45"/>
      <x:c r="R8" s="45"/>
    </x:row>
    <x:row r="9">
      <x:c r="A9" s="222" t="str">
        <x:v>Controlli QA</x:v>
      </x:c>
      <x:c r="B9" s="48" t="n">
        <x:v>46</x:v>
      </x:c>
      <x:c r="C9" s="45"/>
      <x:c r="D9" s="212"/>
      <x:c r="E9" s="212"/>
      <x:c r="F9" s="212"/>
      <x:c r="G9" s="212"/>
      <x:c r="H9" s="212"/>
      <x:c r="I9" s="212"/>
      <x:c r="J9" s="212"/>
      <x:c r="K9" s="45"/>
      <x:c r="L9" s="45"/>
      <x:c r="M9" s="45"/>
      <x:c r="N9" s="45"/>
      <x:c r="O9" s="45"/>
      <x:c r="P9" s="45"/>
      <x:c r="Q9" s="45"/>
      <x:c r="R9" s="45"/>
    </x:row>
    <x:row r="10">
      <x:c r="A10" s="222" t="str">
        <x:v>QA PASS</x:v>
      </x:c>
      <x:c r="B10" s="48" t="n">
        <x:v>43</x:v>
      </x:c>
      <x:c r="C10" s="45"/>
      <x:c r="D10" s="212"/>
      <x:c r="E10" s="212"/>
      <x:c r="F10" s="212"/>
      <x:c r="G10" s="212"/>
      <x:c r="H10" s="212"/>
      <x:c r="I10" s="212"/>
      <x:c r="J10" s="212"/>
      <x:c r="K10" s="45"/>
      <x:c r="L10" s="45"/>
      <x:c r="M10" s="45"/>
      <x:c r="N10" s="45"/>
      <x:c r="O10" s="45"/>
      <x:c r="P10" s="45"/>
      <x:c r="Q10" s="45"/>
      <x:c r="R10" s="45"/>
    </x:row>
    <x:row r="11">
      <x:c r="A11" s="222" t="str">
        <x:v>QA REVIEW</x:v>
      </x:c>
      <x:c r="B11" s="48" t="n">
        <x:v>3</x:v>
      </x:c>
      <x:c r="C11" s="45"/>
      <x:c r="D11" s="212"/>
      <x:c r="E11" s="212"/>
      <x:c r="F11" s="212"/>
      <x:c r="G11" s="212"/>
      <x:c r="H11" s="212"/>
      <x:c r="I11" s="212"/>
      <x:c r="J11" s="212"/>
      <x:c r="K11" s="45"/>
      <x:c r="L11" s="45"/>
      <x:c r="M11" s="45"/>
      <x:c r="N11" s="45"/>
      <x:c r="O11" s="45"/>
      <x:c r="P11" s="45"/>
      <x:c r="Q11" s="45"/>
      <x:c r="R11" s="45"/>
    </x:row>
    <x:row r="12">
      <x:c r="A12" s="222" t="str">
        <x:v>Blocchi estrazione</x:v>
      </x:c>
      <x:c r="B12" s="48" t="n">
        <x:v>13</x:v>
      </x:c>
      <x:c r="C12" s="45"/>
      <x:c r="D12" s="212"/>
      <x:c r="E12" s="212"/>
      <x:c r="F12" s="212"/>
      <x:c r="G12" s="212"/>
      <x:c r="H12" s="212"/>
      <x:c r="I12" s="212"/>
      <x:c r="J12" s="212"/>
      <x:c r="K12" s="45"/>
      <x:c r="L12" s="45"/>
      <x:c r="M12" s="45"/>
      <x:c r="N12" s="45"/>
      <x:c r="O12" s="45"/>
      <x:c r="P12" s="45"/>
      <x:c r="Q12" s="45"/>
      <x:c r="R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45"/>
      <x:c r="Q13" s="45"/>
      <x:c r="R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45"/>
      <x:c r="Q14" s="45"/>
      <x:c r="R14" s="45"/>
    </x:row>
    <x:row r="15">
      <x:c r="A15" s="229" t="str">
        <x:v>Scenario 2040</x:v>
      </x:c>
      <x:c r="B15" s="229" t="str">
        <x:v>Small GWh</x:v>
      </x:c>
      <x:c r="C15" s="229" t="str">
        <x:v>Utility GWh</x:v>
      </x:c>
      <x:c r="D15" s="229" t="str">
        <x:v>Utility GW (8h)</x:v>
      </x:c>
      <x:c r="E15" s="229" t="str">
        <x:v>CM GWh</x:v>
      </x:c>
      <x:c r="F15" s="229" t="str">
        <x:v>Totale ex pomp. GWh</x:v>
      </x:c>
      <x:c r="G15" s="229" t="str">
        <x:v>Totale con 50 GWh</x:v>
      </x:c>
      <x:c r="H15" s="229" t="str">
        <x:v>Small power range GW</x:v>
      </x:c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</x:row>
    <x:row r="16">
      <x:c r="A16" s="45" t="str">
        <x:v>DE-IT 2040</x:v>
      </x:c>
      <x:c r="B16" s="224" t="n">
        <x:f>'20_STORAGE'!J42</x:f>
        <x:v>19.1</x:v>
      </x:c>
      <x:c r="C16" s="224" t="n">
        <x:f>'20_STORAGE'!J43</x:f>
        <x:v>140</x:v>
      </x:c>
      <x:c r="D16" s="224" t="n">
        <x:f>'20_STORAGE'!Q43</x:f>
        <x:v>17.5</x:v>
      </x:c>
      <x:c r="E16" s="224" t="n">
        <x:f>'20_STORAGE'!J44</x:f>
        <x:v>7.5</x:v>
      </x:c>
      <x:c r="F16" s="224" t="n">
        <x:f>'20_STORAGE'!J45</x:f>
        <x:v>166.5</x:v>
      </x:c>
      <x:c r="G16" s="224" t="n">
        <x:f>'20_STORAGE'!J46</x:f>
        <x:v>216.5</x:v>
      </x:c>
      <x:c r="H16" s="45" t="str">
        <x:f>" "&amp;TEXT('20_STORAGE'!P42,"0.000")&amp;"–"&amp;TEXT('20_STORAGE'!R42,"0.000")</x:f>
        <x:v> 4.775–9.550</x:v>
      </x:c>
      <x:c r="I16" s="45"/>
      <x:c r="J16" s="45"/>
      <x:c r="K16" s="45"/>
      <x:c r="L16" s="45"/>
      <x:c r="M16" s="45"/>
      <x:c r="N16" s="45"/>
      <x:c r="O16" s="45"/>
      <x:c r="P16" s="45"/>
      <x:c r="Q16" s="45"/>
      <x:c r="R16" s="45"/>
    </x:row>
    <x:row r="17">
      <x:c r="A17" s="45" t="str">
        <x:v>GA-IT 2040</x:v>
      </x:c>
      <x:c r="B17" s="224" t="n">
        <x:f>'20_STORAGE'!J47</x:f>
        <x:v>18.2</x:v>
      </x:c>
      <x:c r="C17" s="224" t="n">
        <x:f>'20_STORAGE'!J48</x:f>
        <x:v>108</x:v>
      </x:c>
      <x:c r="D17" s="224" t="n">
        <x:f>'20_STORAGE'!Q48</x:f>
        <x:v>13.5</x:v>
      </x:c>
      <x:c r="E17" s="224" t="n">
        <x:f>'20_STORAGE'!J49</x:f>
        <x:v>7.5</x:v>
      </x:c>
      <x:c r="F17" s="224" t="n">
        <x:f>'20_STORAGE'!J50</x:f>
        <x:v>133.6</x:v>
      </x:c>
      <x:c r="G17" s="224" t="n">
        <x:f>'20_STORAGE'!J51</x:f>
        <x:v>183.6</x:v>
      </x:c>
      <x:c r="H17" s="45" t="str">
        <x:f>" "&amp;TEXT('20_STORAGE'!P47,"0.000")&amp;"–"&amp;TEXT('20_STORAGE'!R47,"0.000")</x:f>
        <x:v> 4.550–9.100</x:v>
      </x:c>
      <x:c r="I17" s="45"/>
      <x:c r="J17" s="45"/>
      <x:c r="K17" s="45"/>
      <x:c r="L17" s="45"/>
      <x:c r="M17" s="45"/>
      <x:c r="N17" s="45"/>
      <x:c r="O17" s="45"/>
      <x:c r="P17" s="45"/>
      <x:c r="Q17" s="45"/>
      <x:c r="R17" s="45"/>
    </x:row>
    <x:row r="18">
      <x:c r="A18" s="45" t="str">
        <x:v>PNIEC Slow 2040</x:v>
      </x:c>
      <x:c r="B18" s="224" t="n">
        <x:f>'20_STORAGE'!J52</x:f>
        <x:v>17.5</x:v>
      </x:c>
      <x:c r="C18" s="224" t="n">
        <x:f>'20_STORAGE'!J53</x:f>
        <x:v>92</x:v>
      </x:c>
      <x:c r="D18" s="224" t="n">
        <x:f>'20_STORAGE'!Q53</x:f>
        <x:v>11.5</x:v>
      </x:c>
      <x:c r="E18" s="224" t="n">
        <x:f>'20_STORAGE'!J54</x:f>
        <x:v>7.5</x:v>
      </x:c>
      <x:c r="F18" s="224" t="n">
        <x:f>'20_STORAGE'!J55</x:f>
        <x:v>117</x:v>
      </x:c>
      <x:c r="G18" s="224" t="n">
        <x:f>'20_STORAGE'!J56</x:f>
        <x:v>167</x:v>
      </x:c>
      <x:c r="H18" s="45" t="str">
        <x:f>" "&amp;TEXT('20_STORAGE'!P52,"0.000")&amp;"–"&amp;TEXT('20_STORAGE'!R52,"0.000")</x:f>
        <x:v> 4.375–8.750</x:v>
      </x:c>
      <x:c r="I18" s="45"/>
      <x:c r="J18" s="45"/>
      <x:c r="K18" s="45"/>
      <x:c r="L18" s="45"/>
      <x:c r="M18" s="45"/>
      <x:c r="N18" s="45"/>
      <x:c r="O18" s="45"/>
      <x:c r="P18" s="45"/>
      <x:c r="Q18" s="45"/>
      <x:c r="R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45"/>
      <x:c r="Q19" s="45"/>
      <x:c r="R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45"/>
      <x:c r="Q21" s="45"/>
      <x:c r="R21" s="45"/>
    </x:row>
    <x:row r="22">
      <x:c r="A22" s="229" t="str">
        <x:v>Pompaggi esistenti</x:v>
      </x:c>
      <x:c r="B22" s="229" t="str">
        <x:v>Energia GWh</x:v>
      </x:c>
      <x:c r="C22" s="229" t="str">
        <x:v>Potenza carica GW</x:v>
      </x:c>
      <x:c r="D22" s="229" t="str">
        <x:v>Potenza scarica GW</x:v>
      </x:c>
      <x:c r="E22" s="229" t="str">
        <x:v>Durata su carica h</x:v>
      </x:c>
      <x:c r="F22" s="229" t="str">
        <x:v>Durata su scarica h</x:v>
      </x:c>
      <x:c r="G22" s="45"/>
      <x:c r="H22" s="45"/>
      <x:c r="I22" s="45"/>
      <x:c r="J22" s="45"/>
      <x:c r="K22" s="45"/>
      <x:c r="L22" s="45"/>
      <x:c r="M22" s="45"/>
      <x:c r="N22" s="45"/>
      <x:c r="O22" s="45"/>
      <x:c r="P22" s="45"/>
      <x:c r="Q22" s="45"/>
      <x:c r="R22" s="45"/>
    </x:row>
    <x:row r="23">
      <x:c r="A23" s="45" t="str">
        <x:v>Stock fisico S01</x:v>
      </x:c>
      <x:c r="B23" s="225" t="n">
        <x:f>'22_HYDRO'!I26</x:f>
        <x:v>53</x:v>
      </x:c>
      <x:c r="C23" s="225" t="n">
        <x:f>'22_HYDRO'!I24</x:f>
        <x:v>6.4</x:v>
      </x:c>
      <x:c r="D23" s="225" t="n">
        <x:f>'22_HYDRO'!I25</x:f>
        <x:v>7.3</x:v>
      </x:c>
      <x:c r="E23" s="225" t="n">
        <x:f>B23/C23</x:f>
        <x:v>8.28125</x:v>
      </x:c>
      <x:c r="F23" s="225" t="n">
        <x:f>B23/D23</x:f>
        <x:v>7.26027397260274</x:v>
      </x:c>
      <x:c r="G23" s="45"/>
      <x:c r="H23" s="45"/>
      <x:c r="I23" s="45"/>
      <x:c r="J23" s="45"/>
      <x:c r="K23" s="45"/>
      <x:c r="L23" s="45"/>
      <x:c r="M23" s="45"/>
      <x:c r="N23" s="45"/>
      <x:c r="O23" s="45"/>
      <x:c r="P23" s="45"/>
      <x:c r="Q23" s="45"/>
      <x:c r="R23" s="45"/>
    </x:row>
    <x:row r="24">
      <x:c r="A24" s="45" t="str">
        <x:v>Convenzione DDS</x:v>
      </x:c>
      <x:c r="B24" s="225" t="n">
        <x:v>50</x:v>
      </x:c>
      <x:c r="C24" s="225"/>
      <x:c r="D24" s="225"/>
      <x:c r="E24" s="225"/>
      <x:c r="F24" s="22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45"/>
      <x:c r="Q26" s="45"/>
      <x:c r="R26" s="45"/>
    </x:row>
    <x:row r="27">
      <x:c r="A27" s="229" t="str">
        <x:v>Scenario 2050</x:v>
      </x:c>
      <x:c r="B27" s="229" t="str">
        <x:v>BESS GWh</x:v>
      </x:c>
      <x:c r="C27" s="229" t="str">
        <x:v>BESS GW</x:v>
      </x:c>
      <x:c r="D27" s="229" t="str">
        <x:v>Durata implicita h</x:v>
      </x:c>
      <x:c r="E27" s="229" t="str">
        <x:v>Perdite TWh</x:v>
      </x:c>
      <x:c r="F27" s="229" t="str">
        <x:v>Overgeneration %</x:v>
      </x:c>
      <x:c r="G27" s="229" t="str">
        <x:v>Overgeneration TWh</x:v>
      </x:c>
      <x:c r="H27" s="45"/>
      <x:c r="I27" s="45"/>
      <x:c r="J27" s="45"/>
      <x:c r="K27" s="45"/>
      <x:c r="L27" s="45"/>
      <x:c r="M27" s="45"/>
      <x:c r="N27" s="45"/>
      <x:c r="O27" s="45"/>
      <x:c r="P27" s="45"/>
      <x:c r="Q27" s="45"/>
      <x:c r="R27" s="45"/>
    </x:row>
    <x:row r="28">
      <x:c r="A28" s="45" t="str">
        <x:v>Con nucleare</x:v>
      </x:c>
      <x:c r="B28" s="225" t="n">
        <x:f>'20_STORAGE'!J61</x:f>
        <x:v>196</x:v>
      </x:c>
      <x:c r="C28" s="225" t="n">
        <x:f>IF('20_STORAGE'!L61="","",'20_STORAGE'!L61)</x:f>
        <x:v>36</x:v>
      </x:c>
      <x:c r="D28" s="225" t="n">
        <x:f>IF('20_STORAGE'!S61="","",'20_STORAGE'!S61)</x:f>
        <x:v>5.444444444444445</x:v>
      </x:c>
      <x:c r="E28" s="225" t="n">
        <x:f>'23_FLEXIBILITY_CONTEXT'!I65</x:f>
        <x:v>11</x:v>
      </x:c>
      <x:c r="F28" s="225" t="n">
        <x:f>'23_FLEXIBILITY_CONTEXT'!I66</x:f>
        <x:v>4.8</x:v>
      </x:c>
      <x:c r="G28" s="225" t="n">
        <x:f>'23_FLEXIBILITY_CONTEXT'!I67</x:f>
        <x:v>27.984</x:v>
      </x:c>
      <x:c r="H28" s="45"/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</x:row>
    <x:row r="29">
      <x:c r="A29" s="45" t="str">
        <x:v>Senza nucleare</x:v>
      </x:c>
      <x:c r="B29" s="225" t="n">
        <x:f>'20_STORAGE'!J62</x:f>
        <x:v>216</x:v>
      </x:c>
      <x:c r="C29" s="225" t="str">
        <x:f>IF('20_STORAGE'!L62="","",'20_STORAGE'!L62)</x:f>
      </x:c>
      <x:c r="D29" s="225" t="str">
        <x:f>IF('20_STORAGE'!S62="","",'20_STORAGE'!S62)</x:f>
      </x:c>
      <x:c r="E29" s="225" t="n">
        <x:f>'23_FLEXIBILITY_CONTEXT'!I68</x:f>
        <x:v>14</x:v>
      </x:c>
      <x:c r="F29" s="225" t="n">
        <x:f>'23_FLEXIBILITY_CONTEXT'!I69</x:f>
        <x:v>4.4</x:v>
      </x:c>
      <x:c r="G29" s="225" t="n">
        <x:f>'23_FLEXIBILITY_CONTEXT'!I70</x:f>
        <x:v>25.652</x:v>
      </x:c>
      <x:c r="H29" s="45"/>
      <x:c r="I29" s="45"/>
      <x:c r="J29" s="45"/>
      <x:c r="K29" s="45"/>
      <x:c r="L29" s="45"/>
      <x:c r="M29" s="45"/>
      <x:c r="N29" s="45"/>
      <x:c r="O29" s="45"/>
      <x:c r="P29" s="45"/>
      <x:c r="Q29" s="45"/>
      <x:c r="R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45"/>
      <x:c r="Q30" s="45"/>
      <x:c r="R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45"/>
      <x:c r="Q31" s="45"/>
      <x:c r="R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45"/>
      <x:c r="Q32" s="45"/>
      <x:c r="R32" s="45"/>
    </x:row>
    <x:row r="33">
      <x:c r="A33" s="229" t="str">
        <x:v>Scelte necessarie prima dell'armonizzazione e della simulazione</x:v>
      </x:c>
      <x:c r="B33" s="229"/>
      <x:c r="C33" s="229"/>
      <x:c r="D33" s="229"/>
      <x:c r="E33" s="229"/>
      <x:c r="F33" s="229"/>
      <x:c r="G33" s="229"/>
      <x:c r="H33" s="229"/>
      <x:c r="I33" s="229"/>
      <x:c r="J33" s="229"/>
      <x:c r="K33" s="45"/>
      <x:c r="L33" s="45"/>
      <x:c r="M33" s="45"/>
      <x:c r="N33" s="45"/>
      <x:c r="O33" s="45"/>
      <x:c r="P33" s="45"/>
      <x:c r="Q33" s="45"/>
      <x:c r="R33" s="45"/>
    </x:row>
    <x:row r="34">
      <x:c r="A34" s="228" t="str">
        <x:v>Tema</x:v>
      </x:c>
      <x:c r="B34" s="228" t="str">
        <x:v>Raccomandazione</x:v>
      </x:c>
      <x:c r="C34" s="228" t="str">
        <x:v>Quando diventa bloccante</x:v>
      </x:c>
      <x:c r="D34" s="45"/>
      <x:c r="E34" s="228" t="str">
        <x:v>Scala</x:v>
      </x:c>
      <x:c r="F34" s="228" t="str">
        <x:v>2023</x:v>
      </x:c>
      <x:c r="G34" s="228" t="str">
        <x:v>2030</x:v>
      </x:c>
      <x:c r="H34" s="228" t="str">
        <x:v>2040</x:v>
      </x:c>
      <x:c r="I34" s="228" t="str">
        <x:v>2050</x:v>
      </x:c>
      <x:c r="J34" s="45"/>
      <x:c r="K34" s="45"/>
      <x:c r="L34" s="45"/>
      <x:c r="M34" s="45"/>
      <x:c r="N34" s="45"/>
      <x:c r="O34" s="45"/>
      <x:c r="P34" s="45"/>
      <x:c r="Q34" s="45"/>
      <x:c r="R34" s="45"/>
    </x:row>
    <x:row r="35" ht="22" customHeight="1">
      <x:c r="A35" s="226" t="str">
        <x:v>Small-scale 2h/4h</x:v>
      </x:c>
      <x:c r="B35" s="226" t="str">
        <x:v>Due classi; fino ad allora usare intervallo di potenza</x:v>
      </x:c>
      <x:c r="C35" s="226" t="str">
        <x:v>Prima della Fase 4</x:v>
      </x:c>
      <x:c r="D35" s="45"/>
      <x:c r="E35" s="45" t="str">
        <x:v>Daily</x:v>
      </x:c>
      <x:c r="F35" s="227" t="n">
        <x:f>'23_FLEXIBILITY_CONTEXT'!I76</x:f>
        <x:v>100</x:v>
      </x:c>
      <x:c r="G35" s="227" t="n">
        <x:f>'23_FLEXIBILITY_CONTEXT'!I77</x:f>
        <x:v>240</x:v>
      </x:c>
      <x:c r="H35" s="227" t="n">
        <x:f>'23_FLEXIBILITY_CONTEXT'!I78</x:f>
        <x:v>411</x:v>
      </x:c>
      <x:c r="I35" s="227" t="n">
        <x:f>'23_FLEXIBILITY_CONTEXT'!I79</x:f>
        <x:v>665</x:v>
      </x:c>
      <x:c r="J35" s="45"/>
      <x:c r="K35" s="45"/>
      <x:c r="L35" s="45"/>
      <x:c r="M35" s="45"/>
      <x:c r="N35" s="45"/>
      <x:c r="O35" s="45"/>
      <x:c r="P35" s="45"/>
      <x:c r="Q35" s="45"/>
      <x:c r="R35" s="45"/>
    </x:row>
    <x:row r="36" ht="22" customHeight="1">
      <x:c r="A36" s="226" t="str">
        <x:v>Pompaggi 53 vs 50 GWh</x:v>
      </x:c>
      <x:c r="B36" s="226" t="str">
        <x:v>53 GWh asset fisico; 50 GWh controllo DDS</x:v>
      </x:c>
      <x:c r="C36" s="226" t="str">
        <x:v>Prima della Fase 4</x:v>
      </x:c>
      <x:c r="D36" s="45"/>
      <x:c r="E36" s="45" t="str">
        <x:v>Weekly</x:v>
      </x:c>
      <x:c r="F36" s="227" t="n">
        <x:f>'23_FLEXIBILITY_CONTEXT'!I80</x:f>
        <x:v>87</x:v>
      </x:c>
      <x:c r="G36" s="227" t="n">
        <x:f>'23_FLEXIBILITY_CONTEXT'!I81</x:f>
        <x:v>114</x:v>
      </x:c>
      <x:c r="H36" s="227" t="n">
        <x:f>'23_FLEXIBILITY_CONTEXT'!I82</x:f>
        <x:v>161</x:v>
      </x:c>
      <x:c r="I36" s="227" t="n">
        <x:f>'23_FLEXIBILITY_CONTEXT'!I83</x:f>
        <x:v>206</x:v>
      </x:c>
      <x:c r="J36" s="45"/>
      <x:c r="K36" s="45"/>
      <x:c r="L36" s="45"/>
      <x:c r="M36" s="45"/>
      <x:c r="N36" s="45"/>
      <x:c r="O36" s="45"/>
      <x:c r="P36" s="45"/>
      <x:c r="Q36" s="45"/>
      <x:c r="R36" s="45"/>
    </x:row>
    <x:row r="37" ht="22" customHeight="1">
      <x:c r="A37" s="226" t="str">
        <x:v>Capacity Market</x:v>
      </x:c>
      <x:c r="B37" s="226" t="str">
        <x:v>Non inferire potenza dalla sola energia</x:v>
      </x:c>
      <x:c r="C37" s="226" t="str">
        <x:v>Prima della Fase 4</x:v>
      </x:c>
      <x:c r="D37" s="45"/>
      <x:c r="E37" s="45" t="str">
        <x:v>Monthly</x:v>
      </x:c>
      <x:c r="F37" s="227" t="n">
        <x:f>'23_FLEXIBILITY_CONTEXT'!I84</x:f>
        <x:v>36</x:v>
      </x:c>
      <x:c r="G37" s="227" t="n">
        <x:f>'23_FLEXIBILITY_CONTEXT'!I85</x:f>
        <x:v>80</x:v>
      </x:c>
      <x:c r="H37" s="227" t="n">
        <x:f>'23_FLEXIBILITY_CONTEXT'!I86</x:f>
        <x:v>121</x:v>
      </x:c>
      <x:c r="I37" s="227" t="n">
        <x:f>'23_FLEXIBILITY_CONTEXT'!I87</x:f>
        <x:v>188</x:v>
      </x:c>
      <x:c r="J37" s="45"/>
      <x:c r="K37" s="45"/>
      <x:c r="L37" s="45"/>
      <x:c r="M37" s="45"/>
      <x:c r="N37" s="45"/>
      <x:c r="O37" s="45"/>
      <x:c r="P37" s="45"/>
      <x:c r="Q37" s="45"/>
      <x:c r="R37" s="45"/>
    </x:row>
    <x:row r="38" ht="34" customHeight="1">
      <x:c r="A38" s="226" t="str">
        <x:v>2050 senza nucleare</x:v>
      </x:c>
      <x:c r="B38" s="226" t="str">
        <x:v>216 GWh diretti; potenza lasciata aperta</x:v>
      </x:c>
      <x:c r="C38" s="226" t="str">
        <x:v>Prima della Fase 4</x:v>
      </x:c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</x:row>
    <x:row r="39" ht="34" customHeight="1">
      <x:c r="A39" s="226" t="str">
        <x:v>Efficienze e standing loss</x:v>
      </x:c>
      <x:c r="B39" s="226" t="str">
        <x:v>Fonte tecnica coerente nella Fase 3D</x:v>
      </x:c>
      <x:c r="C39" s="226" t="str">
        <x:v>Prima della simulazione</x:v>
      </x:c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45"/>
      <x:c r="Q39" s="45"/>
      <x:c r="R39" s="45"/>
    </x:row>
    <x:row r="40" ht="34" customHeight="1">
      <x:c r="A40" s="226" t="str">
        <x:v>Idro a bacino</x:v>
      </x:c>
      <x:c r="B40" s="226" t="str">
        <x:v>Acquisire potenza, energia, inflow e SOC</x:v>
      </x:c>
      <x:c r="C40" s="226" t="str">
        <x:v>Fase 4</x:v>
      </x:c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45"/>
      <x:c r="Q40" s="45"/>
      <x:c r="R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45"/>
      <x:c r="Q42" s="45"/>
      <x:c r="R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  <x:c r="Q43" s="45"/>
      <x:c r="R43" s="45"/>
    </x:row>
    <x:row r="44">
      <x:c r="A44" s="45" t="str">
        <x:v>Scenario</x:v>
      </x:c>
      <x:c r="B44" s="45" t="str">
        <x:v>Small GWh</x:v>
      </x:c>
      <x:c r="C44" s="45" t="str">
        <x:v>Utility GWh</x:v>
      </x:c>
      <x:c r="D44" s="45" t="str">
        <x:v>CM GWh</x:v>
      </x:c>
      <x:c r="E44" s="45"/>
      <x:c r="F44" s="45" t="str">
        <x:v>Anno</x:v>
      </x:c>
      <x:c r="G44" s="45" t="str">
        <x:v>Daily</x:v>
      </x:c>
      <x:c r="H44" s="45" t="str">
        <x:v>Weekly</x:v>
      </x:c>
      <x:c r="I44" s="45" t="str">
        <x:v>Monthly</x:v>
      </x:c>
      <x:c r="J44" s="45"/>
      <x:c r="K44" s="45"/>
      <x:c r="L44" s="45"/>
      <x:c r="M44" s="45"/>
      <x:c r="N44" s="45"/>
      <x:c r="O44" s="45"/>
      <x:c r="P44" s="45"/>
      <x:c r="Q44" s="45"/>
      <x:c r="R44" s="45"/>
    </x:row>
    <x:row r="45">
      <x:c r="A45" s="45" t="str">
        <x:v>DE-IT 2040</x:v>
      </x:c>
      <x:c r="B45" s="45" t="n">
        <x:f>B16</x:f>
        <x:v>19.1</x:v>
      </x:c>
      <x:c r="C45" s="45" t="n">
        <x:f>C16</x:f>
        <x:v>140</x:v>
      </x:c>
      <x:c r="D45" s="45" t="n">
        <x:f>E16</x:f>
        <x:v>7.5</x:v>
      </x:c>
      <x:c r="E45" s="45"/>
      <x:c r="F45" s="45" t="n">
        <x:v>2023</x:v>
      </x:c>
      <x:c r="G45" s="45" t="n">
        <x:f>F35</x:f>
        <x:v>100</x:v>
      </x:c>
      <x:c r="H45" s="45" t="n">
        <x:f>F36</x:f>
        <x:v>87</x:v>
      </x:c>
      <x:c r="I45" s="45" t="n">
        <x:f>F37</x:f>
        <x:v>36</x:v>
      </x:c>
      <x:c r="J45" s="45"/>
      <x:c r="K45" s="45"/>
      <x:c r="L45" s="45"/>
      <x:c r="M45" s="45"/>
      <x:c r="N45" s="45"/>
      <x:c r="O45" s="45"/>
      <x:c r="P45" s="45"/>
      <x:c r="Q45" s="45"/>
      <x:c r="R45" s="45"/>
    </x:row>
    <x:row r="46">
      <x:c r="A46" s="45" t="str">
        <x:v>GA-IT 2040</x:v>
      </x:c>
      <x:c r="B46" s="45" t="n">
        <x:f>B17</x:f>
        <x:v>18.2</x:v>
      </x:c>
      <x:c r="C46" s="45" t="n">
        <x:f>C17</x:f>
        <x:v>108</x:v>
      </x:c>
      <x:c r="D46" s="45" t="n">
        <x:f>E17</x:f>
        <x:v>7.5</x:v>
      </x:c>
      <x:c r="E46" s="45"/>
      <x:c r="F46" s="45" t="n">
        <x:v>2030</x:v>
      </x:c>
      <x:c r="G46" s="45" t="n">
        <x:f>G35</x:f>
        <x:v>240</x:v>
      </x:c>
      <x:c r="H46" s="45" t="n">
        <x:f>G36</x:f>
        <x:v>114</x:v>
      </x:c>
      <x:c r="I46" s="45" t="n">
        <x:f>G37</x:f>
        <x:v>80</x:v>
      </x:c>
      <x:c r="J46" s="45"/>
      <x:c r="K46" s="45"/>
      <x:c r="L46" s="45"/>
      <x:c r="M46" s="45"/>
      <x:c r="N46" s="45"/>
      <x:c r="O46" s="45"/>
      <x:c r="P46" s="45"/>
      <x:c r="Q46" s="45"/>
      <x:c r="R46" s="45"/>
    </x:row>
    <x:row r="47">
      <x:c r="A47" s="45" t="str">
        <x:v>PNIEC Slow 2040</x:v>
      </x:c>
      <x:c r="B47" s="45" t="n">
        <x:f>B18</x:f>
        <x:v>17.5</x:v>
      </x:c>
      <x:c r="C47" s="45" t="n">
        <x:f>C18</x:f>
        <x:v>92</x:v>
      </x:c>
      <x:c r="D47" s="45" t="n">
        <x:f>E18</x:f>
        <x:v>7.5</x:v>
      </x:c>
      <x:c r="E47" s="45"/>
      <x:c r="F47" s="45" t="n">
        <x:v>2040</x:v>
      </x:c>
      <x:c r="G47" s="45" t="n">
        <x:f>H35</x:f>
        <x:v>411</x:v>
      </x:c>
      <x:c r="H47" s="45" t="n">
        <x:f>H36</x:f>
        <x:v>161</x:v>
      </x:c>
      <x:c r="I47" s="45" t="n">
        <x:f>H37</x:f>
        <x:v>121</x:v>
      </x:c>
      <x:c r="J47" s="45"/>
      <x:c r="K47" s="45"/>
      <x:c r="L47" s="45"/>
      <x:c r="M47" s="45"/>
      <x:c r="N47" s="45"/>
      <x:c r="O47" s="45"/>
      <x:c r="P47" s="45"/>
      <x:c r="Q47" s="45"/>
      <x:c r="R47" s="45"/>
    </x:row>
    <x:row r="48">
      <x:c r="A48" s="45"/>
      <x:c r="B48" s="45"/>
      <x:c r="C48" s="45"/>
      <x:c r="D48" s="45"/>
      <x:c r="E48" s="45"/>
      <x:c r="F48" s="45" t="n">
        <x:v>2050</x:v>
      </x:c>
      <x:c r="G48" s="45" t="n">
        <x:f>I35</x:f>
        <x:v>665</x:v>
      </x:c>
      <x:c r="H48" s="45" t="n">
        <x:f>I36</x:f>
        <x:v>206</x:v>
      </x:c>
      <x:c r="I48" s="45" t="n">
        <x:f>I37</x:f>
        <x:v>188</x:v>
      </x:c>
      <x:c r="J48" s="45"/>
      <x:c r="K48" s="45"/>
      <x:c r="L48" s="45"/>
      <x:c r="M48" s="45"/>
      <x:c r="N48" s="45"/>
      <x:c r="O48" s="45"/>
      <x:c r="P48" s="45"/>
      <x:c r="Q48" s="45"/>
      <x:c r="R48" s="45"/>
    </x:row>
  </x:sheetData>
  <x:mergeCells>
    <x:mergeCell ref="A1:R1"/>
    <x:mergeCell ref="A2:R2"/>
    <x:mergeCell ref="D4:J4"/>
    <x:mergeCell ref="D5:J12"/>
    <x:mergeCell ref="A33:J33"/>
  </x:mergeCells>
  <x:pageMargins left="0.7" right="0.7" top="0.75" bottom="0.75" header="0.3" footer="0.3"/>
  <x:drawing xmlns:r="http://schemas.openxmlformats.org/officeDocument/2006/relationships" r:id="Rc2e884dcf7654edc"/>
</x:worksheet>
</file>
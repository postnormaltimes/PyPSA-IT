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ource://workbook-origin"/>
    </mc:Choice>
  </mc:AlternateContent>
  <xr:revisionPtr revIDLastSave="82" documentId="11_EF4A214D5E8E6FA5E2DE450CD969C9F081F11EB7" xr6:coauthVersionLast="47" xr6:coauthVersionMax="47" xr10:uidLastSave="{91F8851D-46C5-4608-B087-3EB2F9D44538}"/>
  <bookViews>
    <workbookView xWindow="-108" yWindow="-108" windowWidth="23256" windowHeight="12456" firstSheet="3" activeTab="4" xr2:uid="{00000000-000D-0000-FFFF-FFFF00000000}"/>
  </bookViews>
  <sheets>
    <sheet name="00_README" sheetId="1" r:id="rId1"/>
    <sheet name="01_SOURCES" sheetId="2" r:id="rId2"/>
    <sheet name="02_SCENARIOS" sheetId="3" r:id="rId3"/>
    <sheet name="03_ZONE_MAP" sheetId="4" r:id="rId4"/>
    <sheet name="04_GENERATION_BY_ZONE" sheetId="5" r:id="rId5"/>
    <sheet name="05_STORAGE_BY_ZONE" sheetId="6" r:id="rId6"/>
    <sheet name="06_DEMAND_BY_ZONE" sheetId="7" r:id="rId7"/>
    <sheet name="07_INTERZONAL_BY_ZONE" sheetId="8" r:id="rId8"/>
    <sheet name="08_FOREIGN_BY_ZONE" sheetId="9" r:id="rId9"/>
    <sheet name="09_TECH_COSTS" sheetId="10" r:id="rId10"/>
    <sheet name="10_NUCLEAR" sheetId="11" r:id="rId11"/>
    <sheet name="11_PYPSA_IMPLEMENT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5" l="1"/>
  <c r="I49" i="5"/>
  <c r="I50" i="5"/>
  <c r="I51" i="5"/>
  <c r="I52" i="5"/>
  <c r="I53" i="5"/>
  <c r="I54" i="5"/>
  <c r="I47" i="5"/>
  <c r="C17" i="11"/>
  <c r="C16" i="11"/>
  <c r="C15" i="11"/>
  <c r="C10" i="11"/>
  <c r="G10" i="11" s="1"/>
  <c r="G9" i="11"/>
  <c r="C9" i="11"/>
  <c r="C8" i="11"/>
  <c r="G8" i="11" s="1"/>
  <c r="G7" i="11"/>
  <c r="C7" i="11"/>
  <c r="G6" i="11"/>
  <c r="C6" i="11"/>
  <c r="G5" i="11"/>
  <c r="C5" i="11"/>
  <c r="G20" i="9"/>
  <c r="H20" i="9" s="1"/>
  <c r="F20" i="9"/>
  <c r="E20" i="9"/>
  <c r="C20" i="9"/>
  <c r="G19" i="9"/>
  <c r="H19" i="9" s="1"/>
  <c r="E19" i="9"/>
  <c r="C19" i="9"/>
  <c r="F19" i="9" s="1"/>
  <c r="H18" i="9"/>
  <c r="G18" i="9"/>
  <c r="E18" i="9"/>
  <c r="C18" i="9"/>
  <c r="F18" i="9" s="1"/>
  <c r="G17" i="9"/>
  <c r="H17" i="9" s="1"/>
  <c r="F17" i="9"/>
  <c r="E17" i="9"/>
  <c r="C17" i="9"/>
  <c r="H16" i="9"/>
  <c r="G16" i="9"/>
  <c r="F16" i="9"/>
  <c r="E16" i="9"/>
  <c r="C16" i="9"/>
  <c r="G15" i="9"/>
  <c r="H15" i="9" s="1"/>
  <c r="E15" i="9"/>
  <c r="C15" i="9"/>
  <c r="F15" i="9" s="1"/>
  <c r="H14" i="9"/>
  <c r="G14" i="9"/>
  <c r="E14" i="9"/>
  <c r="C14" i="9"/>
  <c r="F14" i="9" s="1"/>
  <c r="G13" i="9"/>
  <c r="H13" i="9" s="1"/>
  <c r="F13" i="9"/>
  <c r="E13" i="9"/>
  <c r="C13" i="9"/>
  <c r="G12" i="9"/>
  <c r="H12" i="9" s="1"/>
  <c r="F12" i="9"/>
  <c r="E12" i="9"/>
  <c r="C12" i="9"/>
  <c r="G11" i="9"/>
  <c r="H11" i="9" s="1"/>
  <c r="E11" i="9"/>
  <c r="C11" i="9"/>
  <c r="F11" i="9" s="1"/>
  <c r="H10" i="9"/>
  <c r="G10" i="9"/>
  <c r="E10" i="9"/>
  <c r="C10" i="9"/>
  <c r="F10" i="9" s="1"/>
  <c r="G9" i="9"/>
  <c r="H9" i="9" s="1"/>
  <c r="F9" i="9"/>
  <c r="E9" i="9"/>
  <c r="C9" i="9"/>
  <c r="G8" i="9"/>
  <c r="H8" i="9" s="1"/>
  <c r="F8" i="9"/>
  <c r="E8" i="9"/>
  <c r="C8" i="9"/>
  <c r="G7" i="9"/>
  <c r="H7" i="9" s="1"/>
  <c r="F7" i="9"/>
  <c r="E7" i="9"/>
  <c r="C7" i="9"/>
  <c r="H6" i="9"/>
  <c r="G6" i="9"/>
  <c r="E6" i="9"/>
  <c r="C6" i="9"/>
  <c r="G5" i="9"/>
  <c r="H5" i="9" s="1"/>
  <c r="F5" i="9"/>
  <c r="E5" i="9"/>
  <c r="C5" i="9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C25" i="8" s="1"/>
  <c r="I64" i="8"/>
  <c r="I63" i="8"/>
  <c r="I62" i="8"/>
  <c r="I61" i="8"/>
  <c r="I60" i="8"/>
  <c r="I59" i="8"/>
  <c r="I58" i="8"/>
  <c r="I57" i="8"/>
  <c r="I56" i="8"/>
  <c r="I55" i="8"/>
  <c r="I54" i="8"/>
  <c r="I53" i="8"/>
  <c r="C8" i="8" s="1"/>
  <c r="I52" i="8"/>
  <c r="I51" i="8"/>
  <c r="I50" i="8"/>
  <c r="I49" i="8"/>
  <c r="I48" i="8"/>
  <c r="I47" i="8"/>
  <c r="I46" i="8"/>
  <c r="I45" i="8"/>
  <c r="I44" i="8"/>
  <c r="I43" i="8"/>
  <c r="I42" i="8"/>
  <c r="I41" i="8"/>
  <c r="C21" i="8" s="1"/>
  <c r="I40" i="8"/>
  <c r="I39" i="8"/>
  <c r="I38" i="8"/>
  <c r="I37" i="8"/>
  <c r="I36" i="8"/>
  <c r="I35" i="8"/>
  <c r="H28" i="8"/>
  <c r="G28" i="8"/>
  <c r="E28" i="8"/>
  <c r="C28" i="8"/>
  <c r="G27" i="8"/>
  <c r="H27" i="8" s="1"/>
  <c r="E27" i="8"/>
  <c r="C27" i="8"/>
  <c r="I27" i="8" s="1"/>
  <c r="H26" i="8"/>
  <c r="G26" i="8"/>
  <c r="E26" i="8"/>
  <c r="C26" i="8"/>
  <c r="G25" i="8"/>
  <c r="H25" i="8" s="1"/>
  <c r="E25" i="8"/>
  <c r="H24" i="8"/>
  <c r="G24" i="8"/>
  <c r="E24" i="8"/>
  <c r="C24" i="8"/>
  <c r="G23" i="8"/>
  <c r="H23" i="8" s="1"/>
  <c r="E23" i="8"/>
  <c r="C23" i="8"/>
  <c r="H22" i="8"/>
  <c r="G22" i="8"/>
  <c r="E22" i="8"/>
  <c r="C22" i="8"/>
  <c r="G21" i="8"/>
  <c r="H21" i="8" s="1"/>
  <c r="E21" i="8"/>
  <c r="H20" i="8"/>
  <c r="G20" i="8"/>
  <c r="E20" i="8"/>
  <c r="C20" i="8"/>
  <c r="G19" i="8"/>
  <c r="H19" i="8" s="1"/>
  <c r="E19" i="8"/>
  <c r="C19" i="8"/>
  <c r="H18" i="8"/>
  <c r="G18" i="8"/>
  <c r="E18" i="8"/>
  <c r="C18" i="8"/>
  <c r="G17" i="8"/>
  <c r="H17" i="8" s="1"/>
  <c r="E17" i="8"/>
  <c r="C17" i="8"/>
  <c r="H16" i="8"/>
  <c r="G16" i="8"/>
  <c r="E16" i="8"/>
  <c r="C16" i="8"/>
  <c r="G15" i="8"/>
  <c r="H15" i="8" s="1"/>
  <c r="E15" i="8"/>
  <c r="C15" i="8"/>
  <c r="H14" i="8"/>
  <c r="G14" i="8"/>
  <c r="E14" i="8"/>
  <c r="C14" i="8"/>
  <c r="G13" i="8"/>
  <c r="H13" i="8" s="1"/>
  <c r="E13" i="8"/>
  <c r="C13" i="8"/>
  <c r="H12" i="8"/>
  <c r="G12" i="8"/>
  <c r="E12" i="8"/>
  <c r="C12" i="8"/>
  <c r="G11" i="8"/>
  <c r="H11" i="8" s="1"/>
  <c r="E11" i="8"/>
  <c r="C11" i="8"/>
  <c r="H10" i="8"/>
  <c r="G10" i="8"/>
  <c r="E10" i="8"/>
  <c r="C10" i="8"/>
  <c r="G9" i="8"/>
  <c r="H9" i="8" s="1"/>
  <c r="E9" i="8"/>
  <c r="C9" i="8"/>
  <c r="H8" i="8"/>
  <c r="G8" i="8"/>
  <c r="E8" i="8"/>
  <c r="G7" i="8"/>
  <c r="H7" i="8" s="1"/>
  <c r="E7" i="8"/>
  <c r="C7" i="8"/>
  <c r="H6" i="8"/>
  <c r="G6" i="8"/>
  <c r="E6" i="8"/>
  <c r="C6" i="8"/>
  <c r="G5" i="8"/>
  <c r="H5" i="8" s="1"/>
  <c r="E5" i="8"/>
  <c r="C5" i="8"/>
  <c r="D25" i="7"/>
  <c r="C25" i="7"/>
  <c r="M24" i="7"/>
  <c r="G24" i="7"/>
  <c r="J23" i="7"/>
  <c r="M22" i="7"/>
  <c r="G22" i="7"/>
  <c r="J21" i="7"/>
  <c r="G21" i="7"/>
  <c r="M20" i="7"/>
  <c r="G20" i="7"/>
  <c r="J19" i="7"/>
  <c r="M18" i="7"/>
  <c r="G18" i="7"/>
  <c r="D12" i="7"/>
  <c r="C12" i="7"/>
  <c r="G10" i="7"/>
  <c r="G9" i="7"/>
  <c r="G6" i="7"/>
  <c r="G5" i="7"/>
  <c r="O48" i="6"/>
  <c r="K48" i="6"/>
  <c r="O45" i="6"/>
  <c r="H45" i="6"/>
  <c r="G45" i="6"/>
  <c r="F45" i="6"/>
  <c r="O44" i="6"/>
  <c r="O43" i="6"/>
  <c r="O42" i="6"/>
  <c r="D42" i="6"/>
  <c r="C42" i="6"/>
  <c r="O41" i="6"/>
  <c r="O40" i="6"/>
  <c r="I40" i="6"/>
  <c r="O39" i="6"/>
  <c r="O38" i="6"/>
  <c r="O33" i="6"/>
  <c r="H33" i="6"/>
  <c r="G33" i="6"/>
  <c r="F33" i="6"/>
  <c r="O32" i="6"/>
  <c r="I32" i="6"/>
  <c r="O31" i="6"/>
  <c r="K31" i="6"/>
  <c r="O30" i="6"/>
  <c r="K30" i="6"/>
  <c r="O29" i="6"/>
  <c r="O28" i="6"/>
  <c r="O27" i="6"/>
  <c r="O26" i="6"/>
  <c r="O25" i="6"/>
  <c r="J25" i="6"/>
  <c r="I25" i="6"/>
  <c r="O24" i="6"/>
  <c r="K24" i="6"/>
  <c r="O23" i="6"/>
  <c r="O22" i="6"/>
  <c r="O21" i="6"/>
  <c r="I21" i="6"/>
  <c r="O20" i="6"/>
  <c r="I20" i="6"/>
  <c r="O19" i="6"/>
  <c r="J19" i="6"/>
  <c r="O18" i="6"/>
  <c r="J18" i="6"/>
  <c r="O17" i="6"/>
  <c r="O16" i="6"/>
  <c r="O15" i="6"/>
  <c r="D15" i="6"/>
  <c r="O14" i="6"/>
  <c r="I14" i="6"/>
  <c r="O13" i="6"/>
  <c r="J13" i="6"/>
  <c r="I13" i="6"/>
  <c r="O12" i="6"/>
  <c r="K12" i="6"/>
  <c r="O11" i="6"/>
  <c r="K11" i="6"/>
  <c r="C11" i="6"/>
  <c r="O10" i="6"/>
  <c r="O9" i="6"/>
  <c r="I9" i="6"/>
  <c r="O8" i="6"/>
  <c r="I8" i="6"/>
  <c r="O7" i="6"/>
  <c r="J7" i="6"/>
  <c r="O6" i="6"/>
  <c r="J6" i="6"/>
  <c r="O5" i="6"/>
  <c r="H59" i="5"/>
  <c r="G59" i="5"/>
  <c r="F59" i="5"/>
  <c r="E58" i="5"/>
  <c r="D58" i="5"/>
  <c r="C58" i="5"/>
  <c r="G42" i="5"/>
  <c r="D42" i="5"/>
  <c r="G41" i="5"/>
  <c r="D41" i="5"/>
  <c r="H39" i="5"/>
  <c r="F39" i="5"/>
  <c r="E39" i="5"/>
  <c r="C39" i="5"/>
  <c r="H38" i="5"/>
  <c r="H37" i="5"/>
  <c r="F37" i="5"/>
  <c r="H36" i="5"/>
  <c r="H35" i="5"/>
  <c r="H34" i="5"/>
  <c r="F34" i="5"/>
  <c r="E34" i="5"/>
  <c r="C34" i="5"/>
  <c r="H33" i="5"/>
  <c r="H32" i="5"/>
  <c r="H31" i="5"/>
  <c r="C31" i="5"/>
  <c r="H30" i="5"/>
  <c r="H29" i="5"/>
  <c r="F29" i="5"/>
  <c r="E29" i="5"/>
  <c r="C29" i="5"/>
  <c r="H28" i="5"/>
  <c r="C28" i="5"/>
  <c r="H27" i="5"/>
  <c r="H26" i="5"/>
  <c r="H25" i="5"/>
  <c r="F25" i="5"/>
  <c r="H24" i="5"/>
  <c r="F24" i="5"/>
  <c r="E24" i="5"/>
  <c r="C24" i="5"/>
  <c r="H23" i="5"/>
  <c r="H22" i="5"/>
  <c r="F22" i="5"/>
  <c r="H21" i="5"/>
  <c r="H20" i="5"/>
  <c r="H19" i="5"/>
  <c r="F19" i="5"/>
  <c r="E19" i="5"/>
  <c r="C19" i="5"/>
  <c r="H18" i="5"/>
  <c r="H17" i="5"/>
  <c r="H16" i="5"/>
  <c r="C16" i="5"/>
  <c r="H15" i="5"/>
  <c r="H14" i="5"/>
  <c r="F14" i="5"/>
  <c r="E14" i="5"/>
  <c r="C14" i="5"/>
  <c r="H13" i="5"/>
  <c r="C13" i="5"/>
  <c r="H12" i="5"/>
  <c r="H11" i="5"/>
  <c r="H10" i="5"/>
  <c r="F10" i="5"/>
  <c r="H9" i="5"/>
  <c r="F9" i="5"/>
  <c r="E9" i="5"/>
  <c r="C9" i="5"/>
  <c r="H8" i="5"/>
  <c r="H7" i="5"/>
  <c r="F7" i="5"/>
  <c r="H6" i="5"/>
  <c r="H5" i="5"/>
  <c r="B24" i="3"/>
  <c r="E8" i="3" s="1"/>
  <c r="B20" i="3"/>
  <c r="E5" i="3" s="1"/>
  <c r="N10" i="3"/>
  <c r="M10" i="3"/>
  <c r="I10" i="3"/>
  <c r="H10" i="3"/>
  <c r="G10" i="3"/>
  <c r="F10" i="3"/>
  <c r="M21" i="7" s="1"/>
  <c r="E10" i="3"/>
  <c r="D10" i="3"/>
  <c r="N9" i="3"/>
  <c r="M9" i="3"/>
  <c r="I9" i="3"/>
  <c r="H9" i="3"/>
  <c r="G9" i="3"/>
  <c r="F9" i="3"/>
  <c r="E9" i="3"/>
  <c r="D9" i="3"/>
  <c r="N8" i="3"/>
  <c r="M8" i="3"/>
  <c r="I8" i="3"/>
  <c r="E40" i="6" s="1"/>
  <c r="H8" i="3"/>
  <c r="F35" i="5" s="1"/>
  <c r="G8" i="3"/>
  <c r="F8" i="3"/>
  <c r="G23" i="7" s="1"/>
  <c r="D8" i="3"/>
  <c r="N7" i="3"/>
  <c r="M7" i="3"/>
  <c r="I7" i="3"/>
  <c r="I26" i="6" s="1"/>
  <c r="H7" i="3"/>
  <c r="E36" i="5" s="1"/>
  <c r="G7" i="3"/>
  <c r="F7" i="3"/>
  <c r="M8" i="7" s="1"/>
  <c r="E7" i="3"/>
  <c r="L8" i="7" s="1"/>
  <c r="K8" i="7" s="1"/>
  <c r="D7" i="3"/>
  <c r="N6" i="3"/>
  <c r="M6" i="3"/>
  <c r="I6" i="3"/>
  <c r="H6" i="3"/>
  <c r="G6" i="3"/>
  <c r="F6" i="3"/>
  <c r="J7" i="7" s="1"/>
  <c r="D6" i="3"/>
  <c r="N5" i="3"/>
  <c r="M5" i="3"/>
  <c r="I5" i="3"/>
  <c r="C29" i="6" s="1"/>
  <c r="H5" i="3"/>
  <c r="C25" i="5" s="1"/>
  <c r="G5" i="3"/>
  <c r="F5" i="3"/>
  <c r="G11" i="7" s="1"/>
  <c r="D5" i="3"/>
  <c r="E42" i="5" l="1"/>
  <c r="C42" i="5"/>
  <c r="G43" i="5"/>
  <c r="F42" i="5"/>
  <c r="H42" i="5"/>
  <c r="I8" i="8"/>
  <c r="F8" i="8"/>
  <c r="I21" i="8"/>
  <c r="F21" i="8"/>
  <c r="I25" i="8"/>
  <c r="F25" i="8"/>
  <c r="I18" i="8"/>
  <c r="F18" i="8"/>
  <c r="F9" i="7"/>
  <c r="E9" i="7" s="1"/>
  <c r="F5" i="7"/>
  <c r="F11" i="7"/>
  <c r="E11" i="7" s="1"/>
  <c r="F7" i="7"/>
  <c r="F24" i="7"/>
  <c r="E24" i="7" s="1"/>
  <c r="F20" i="7"/>
  <c r="E20" i="7" s="1"/>
  <c r="F21" i="7"/>
  <c r="E21" i="7" s="1"/>
  <c r="F22" i="7"/>
  <c r="E22" i="7" s="1"/>
  <c r="F18" i="7"/>
  <c r="F23" i="7"/>
  <c r="E23" i="7" s="1"/>
  <c r="F19" i="7"/>
  <c r="D23" i="6"/>
  <c r="I15" i="8"/>
  <c r="F15" i="8"/>
  <c r="I22" i="8"/>
  <c r="F22" i="8"/>
  <c r="F5" i="5"/>
  <c r="C10" i="5"/>
  <c r="F20" i="5"/>
  <c r="E8" i="6"/>
  <c r="D16" i="6"/>
  <c r="E20" i="6"/>
  <c r="K23" i="6"/>
  <c r="D28" i="6"/>
  <c r="I5" i="8"/>
  <c r="F5" i="8"/>
  <c r="I12" i="8"/>
  <c r="F12" i="8"/>
  <c r="E16" i="6"/>
  <c r="E28" i="6"/>
  <c r="F8" i="7"/>
  <c r="I19" i="8"/>
  <c r="F19" i="8"/>
  <c r="I26" i="8"/>
  <c r="F26" i="8"/>
  <c r="I11" i="8"/>
  <c r="F11" i="8"/>
  <c r="H41" i="5"/>
  <c r="D43" i="5"/>
  <c r="F36" i="5"/>
  <c r="F33" i="5"/>
  <c r="F30" i="5"/>
  <c r="F27" i="5"/>
  <c r="F21" i="5"/>
  <c r="F18" i="5"/>
  <c r="F15" i="5"/>
  <c r="F12" i="5"/>
  <c r="F6" i="5"/>
  <c r="I9" i="8"/>
  <c r="F9" i="8"/>
  <c r="I16" i="8"/>
  <c r="F16" i="8"/>
  <c r="C21" i="5"/>
  <c r="C12" i="5"/>
  <c r="C6" i="5"/>
  <c r="C38" i="5"/>
  <c r="C35" i="5"/>
  <c r="C32" i="5"/>
  <c r="C26" i="5"/>
  <c r="C23" i="5"/>
  <c r="C20" i="5"/>
  <c r="C17" i="5"/>
  <c r="C11" i="5"/>
  <c r="C8" i="5"/>
  <c r="C5" i="5"/>
  <c r="C36" i="5"/>
  <c r="C33" i="5"/>
  <c r="C30" i="5"/>
  <c r="C27" i="5"/>
  <c r="C18" i="5"/>
  <c r="C15" i="5"/>
  <c r="D44" i="6"/>
  <c r="C39" i="6"/>
  <c r="C44" i="6"/>
  <c r="D40" i="6"/>
  <c r="C40" i="6"/>
  <c r="E38" i="6"/>
  <c r="E43" i="6"/>
  <c r="D38" i="6"/>
  <c r="C38" i="6"/>
  <c r="D43" i="6"/>
  <c r="C43" i="6"/>
  <c r="E41" i="6"/>
  <c r="C41" i="6"/>
  <c r="E39" i="6"/>
  <c r="E44" i="6"/>
  <c r="D39" i="6"/>
  <c r="E42" i="6"/>
  <c r="L21" i="7"/>
  <c r="K21" i="7" s="1"/>
  <c r="L22" i="7"/>
  <c r="K22" i="7" s="1"/>
  <c r="L18" i="7"/>
  <c r="L23" i="7"/>
  <c r="L19" i="7"/>
  <c r="L24" i="7"/>
  <c r="K24" i="7" s="1"/>
  <c r="L20" i="7"/>
  <c r="K20" i="7" s="1"/>
  <c r="C7" i="5"/>
  <c r="F11" i="5"/>
  <c r="F16" i="5"/>
  <c r="C22" i="5"/>
  <c r="F26" i="5"/>
  <c r="F31" i="5"/>
  <c r="C37" i="5"/>
  <c r="C5" i="6"/>
  <c r="E9" i="6"/>
  <c r="C17" i="6"/>
  <c r="E21" i="6"/>
  <c r="D41" i="6"/>
  <c r="I6" i="8"/>
  <c r="F6" i="8"/>
  <c r="I23" i="8"/>
  <c r="F23" i="8"/>
  <c r="C32" i="6"/>
  <c r="E30" i="6"/>
  <c r="D25" i="6"/>
  <c r="C20" i="6"/>
  <c r="E18" i="6"/>
  <c r="D13" i="6"/>
  <c r="C8" i="6"/>
  <c r="E6" i="6"/>
  <c r="D30" i="6"/>
  <c r="C25" i="6"/>
  <c r="E23" i="6"/>
  <c r="D18" i="6"/>
  <c r="C13" i="6"/>
  <c r="D6" i="6"/>
  <c r="C28" i="6"/>
  <c r="E26" i="6"/>
  <c r="D21" i="6"/>
  <c r="C16" i="6"/>
  <c r="E14" i="6"/>
  <c r="D9" i="6"/>
  <c r="E31" i="6"/>
  <c r="D26" i="6"/>
  <c r="C21" i="6"/>
  <c r="E19" i="6"/>
  <c r="D14" i="6"/>
  <c r="C9" i="6"/>
  <c r="E7" i="6"/>
  <c r="E48" i="6"/>
  <c r="C26" i="6"/>
  <c r="E24" i="6"/>
  <c r="C14" i="6"/>
  <c r="D7" i="6"/>
  <c r="E29" i="6"/>
  <c r="D31" i="6"/>
  <c r="D19" i="6"/>
  <c r="E12" i="6"/>
  <c r="D48" i="6"/>
  <c r="C31" i="6"/>
  <c r="C19" i="6"/>
  <c r="E5" i="6"/>
  <c r="D24" i="6"/>
  <c r="E17" i="6"/>
  <c r="D12" i="6"/>
  <c r="C7" i="6"/>
  <c r="C48" i="6"/>
  <c r="D29" i="6"/>
  <c r="C24" i="6"/>
  <c r="E22" i="6"/>
  <c r="D17" i="6"/>
  <c r="C12" i="6"/>
  <c r="E10" i="6"/>
  <c r="D5" i="6"/>
  <c r="E32" i="6"/>
  <c r="D27" i="6"/>
  <c r="D32" i="6"/>
  <c r="C27" i="6"/>
  <c r="E25" i="6"/>
  <c r="D20" i="6"/>
  <c r="C15" i="6"/>
  <c r="E13" i="6"/>
  <c r="D8" i="6"/>
  <c r="E11" i="6"/>
  <c r="I20" i="8"/>
  <c r="F20" i="8"/>
  <c r="M9" i="7"/>
  <c r="M5" i="7"/>
  <c r="M10" i="7"/>
  <c r="M6" i="7"/>
  <c r="M11" i="7"/>
  <c r="M7" i="7"/>
  <c r="F17" i="5"/>
  <c r="C6" i="6"/>
  <c r="C18" i="6"/>
  <c r="C30" i="6"/>
  <c r="F10" i="8"/>
  <c r="I10" i="8"/>
  <c r="F23" i="5"/>
  <c r="F38" i="5"/>
  <c r="C10" i="6"/>
  <c r="C22" i="6"/>
  <c r="F10" i="7"/>
  <c r="E10" i="7" s="1"/>
  <c r="I17" i="8"/>
  <c r="F17" i="8"/>
  <c r="I21" i="7"/>
  <c r="H21" i="7" s="1"/>
  <c r="I22" i="7"/>
  <c r="I18" i="7"/>
  <c r="I23" i="7"/>
  <c r="H23" i="7" s="1"/>
  <c r="I19" i="7"/>
  <c r="H19" i="7" s="1"/>
  <c r="I24" i="7"/>
  <c r="I20" i="7"/>
  <c r="H20" i="7" s="1"/>
  <c r="I42" i="6"/>
  <c r="K40" i="6"/>
  <c r="J40" i="6"/>
  <c r="J43" i="6"/>
  <c r="I38" i="6"/>
  <c r="I45" i="6" s="1"/>
  <c r="I43" i="6"/>
  <c r="K41" i="6"/>
  <c r="J41" i="6"/>
  <c r="K39" i="6"/>
  <c r="I41" i="6"/>
  <c r="K44" i="6"/>
  <c r="J39" i="6"/>
  <c r="I44" i="6"/>
  <c r="K42" i="6"/>
  <c r="J42" i="6"/>
  <c r="F13" i="5"/>
  <c r="F28" i="5"/>
  <c r="K6" i="6"/>
  <c r="D10" i="6"/>
  <c r="J14" i="6"/>
  <c r="K18" i="6"/>
  <c r="D22" i="6"/>
  <c r="J38" i="6"/>
  <c r="I7" i="8"/>
  <c r="F7" i="8"/>
  <c r="I14" i="8"/>
  <c r="F14" i="8"/>
  <c r="J8" i="7"/>
  <c r="J9" i="7"/>
  <c r="J5" i="7"/>
  <c r="J10" i="7"/>
  <c r="J6" i="7"/>
  <c r="L11" i="7"/>
  <c r="L7" i="7"/>
  <c r="K7" i="7" s="1"/>
  <c r="L5" i="7"/>
  <c r="L9" i="7"/>
  <c r="K9" i="7" s="1"/>
  <c r="M25" i="7"/>
  <c r="I13" i="8"/>
  <c r="F13" i="8"/>
  <c r="F32" i="5"/>
  <c r="F6" i="9"/>
  <c r="F8" i="5"/>
  <c r="I24" i="8"/>
  <c r="F24" i="8"/>
  <c r="E6" i="3"/>
  <c r="J28" i="6"/>
  <c r="I23" i="6"/>
  <c r="K21" i="6"/>
  <c r="J16" i="6"/>
  <c r="I11" i="6"/>
  <c r="K9" i="6"/>
  <c r="I28" i="6"/>
  <c r="J21" i="6"/>
  <c r="I16" i="6"/>
  <c r="K14" i="6"/>
  <c r="J9" i="6"/>
  <c r="J48" i="6"/>
  <c r="I31" i="6"/>
  <c r="K29" i="6"/>
  <c r="J24" i="6"/>
  <c r="I19" i="6"/>
  <c r="K17" i="6"/>
  <c r="J12" i="6"/>
  <c r="I7" i="6"/>
  <c r="K5" i="6"/>
  <c r="I48" i="6"/>
  <c r="J29" i="6"/>
  <c r="I24" i="6"/>
  <c r="K22" i="6"/>
  <c r="J17" i="6"/>
  <c r="I12" i="6"/>
  <c r="K10" i="6"/>
  <c r="J5" i="6"/>
  <c r="I29" i="6"/>
  <c r="I17" i="6"/>
  <c r="J10" i="6"/>
  <c r="I5" i="6"/>
  <c r="K27" i="6"/>
  <c r="J22" i="6"/>
  <c r="K15" i="6"/>
  <c r="I10" i="6"/>
  <c r="K32" i="6"/>
  <c r="J27" i="6"/>
  <c r="K20" i="6"/>
  <c r="J15" i="6"/>
  <c r="K8" i="6"/>
  <c r="J32" i="6"/>
  <c r="I27" i="6"/>
  <c r="K25" i="6"/>
  <c r="J20" i="6"/>
  <c r="I15" i="6"/>
  <c r="K13" i="6"/>
  <c r="J8" i="6"/>
  <c r="J30" i="6"/>
  <c r="I30" i="6"/>
  <c r="K28" i="6"/>
  <c r="J23" i="6"/>
  <c r="I18" i="6"/>
  <c r="K16" i="6"/>
  <c r="J11" i="6"/>
  <c r="I6" i="6"/>
  <c r="K26" i="6"/>
  <c r="J24" i="7"/>
  <c r="J20" i="7"/>
  <c r="J22" i="7"/>
  <c r="J18" i="7"/>
  <c r="J25" i="7" s="1"/>
  <c r="I22" i="6"/>
  <c r="J26" i="6"/>
  <c r="J31" i="6"/>
  <c r="K38" i="6"/>
  <c r="K43" i="6"/>
  <c r="F6" i="7"/>
  <c r="E6" i="7" s="1"/>
  <c r="L10" i="7"/>
  <c r="I28" i="8"/>
  <c r="F28" i="8"/>
  <c r="K7" i="6"/>
  <c r="D11" i="6"/>
  <c r="E15" i="6"/>
  <c r="K19" i="6"/>
  <c r="C23" i="6"/>
  <c r="E27" i="6"/>
  <c r="I39" i="6"/>
  <c r="J44" i="6"/>
  <c r="L6" i="7"/>
  <c r="J11" i="7"/>
  <c r="E7" i="5"/>
  <c r="E10" i="5"/>
  <c r="E13" i="5"/>
  <c r="E16" i="5"/>
  <c r="E22" i="5"/>
  <c r="E25" i="5"/>
  <c r="E28" i="5"/>
  <c r="E31" i="5"/>
  <c r="E37" i="5"/>
  <c r="G8" i="7"/>
  <c r="F27" i="8"/>
  <c r="M19" i="7"/>
  <c r="M23" i="7"/>
  <c r="G7" i="7"/>
  <c r="G12" i="7" s="1"/>
  <c r="E5" i="5"/>
  <c r="E8" i="5"/>
  <c r="E11" i="5"/>
  <c r="E17" i="5"/>
  <c r="E20" i="5"/>
  <c r="E23" i="5"/>
  <c r="E26" i="5"/>
  <c r="E32" i="5"/>
  <c r="E35" i="5"/>
  <c r="E38" i="5"/>
  <c r="E6" i="5"/>
  <c r="E12" i="5"/>
  <c r="E15" i="5"/>
  <c r="E18" i="5"/>
  <c r="E21" i="5"/>
  <c r="E27" i="5"/>
  <c r="E30" i="5"/>
  <c r="E33" i="5"/>
  <c r="G19" i="7"/>
  <c r="G25" i="7" s="1"/>
  <c r="F41" i="5" l="1"/>
  <c r="F43" i="5" s="1"/>
  <c r="K45" i="6"/>
  <c r="H43" i="5"/>
  <c r="F12" i="7"/>
  <c r="E5" i="7"/>
  <c r="J33" i="6"/>
  <c r="K6" i="7"/>
  <c r="M12" i="7"/>
  <c r="K5" i="7"/>
  <c r="K12" i="7" s="1"/>
  <c r="L12" i="7"/>
  <c r="H24" i="7"/>
  <c r="E19" i="7"/>
  <c r="J45" i="6"/>
  <c r="I10" i="7"/>
  <c r="H10" i="7" s="1"/>
  <c r="I6" i="7"/>
  <c r="H6" i="7" s="1"/>
  <c r="I8" i="7"/>
  <c r="H8" i="7" s="1"/>
  <c r="I5" i="7"/>
  <c r="I9" i="7"/>
  <c r="H9" i="7" s="1"/>
  <c r="I7" i="7"/>
  <c r="H7" i="7" s="1"/>
  <c r="I11" i="7"/>
  <c r="H11" i="7" s="1"/>
  <c r="K19" i="7"/>
  <c r="E41" i="5"/>
  <c r="K11" i="7"/>
  <c r="D33" i="6"/>
  <c r="E33" i="6"/>
  <c r="K23" i="7"/>
  <c r="C45" i="6"/>
  <c r="F25" i="7"/>
  <c r="E18" i="7"/>
  <c r="E25" i="7" s="1"/>
  <c r="H18" i="7"/>
  <c r="H25" i="7" s="1"/>
  <c r="I25" i="7"/>
  <c r="C33" i="6"/>
  <c r="K18" i="7"/>
  <c r="K25" i="7" s="1"/>
  <c r="L25" i="7"/>
  <c r="D45" i="6"/>
  <c r="H22" i="7"/>
  <c r="E8" i="7"/>
  <c r="K10" i="7"/>
  <c r="I33" i="6"/>
  <c r="K33" i="6"/>
  <c r="J12" i="7"/>
  <c r="E45" i="6"/>
  <c r="C41" i="5"/>
  <c r="E7" i="7"/>
  <c r="I12" i="7" l="1"/>
  <c r="H5" i="7"/>
  <c r="H12" i="7" s="1"/>
  <c r="E12" i="7"/>
  <c r="E43" i="5"/>
  <c r="C43" i="5"/>
</calcChain>
</file>

<file path=xl/sharedStrings.xml><?xml version="1.0" encoding="utf-8"?>
<sst xmlns="http://schemas.openxmlformats.org/spreadsheetml/2006/main" count="3259" uniqueCount="1241">
  <si>
    <t>MEM model-ready workbook v2.8 — six physical scenarios finalized</t>
  </si>
  <si>
    <t>Successor to v2.7. Fixed user-supplied 2025 zonal demand shares, formula-driven Slow/Base/High cases, project-level network delays, and evidence-bounded dispatchable controls.</t>
  </si>
  <si>
    <t>Item</t>
  </si>
  <si>
    <t>v2.8 controlling rule</t>
  </si>
  <si>
    <t>Evidence / boundary</t>
  </si>
  <si>
    <t>Headline scenarios</t>
  </si>
  <si>
    <t>Exactly IT2040_SLOW, IT2040_BASE, IT2040_HIGH, IT2050_SLOW, IT2050_BASE, IT2050_HIGH</t>
  </si>
  <si>
    <t>GA-IT, PNIEC Slow, no-nuclear, CO2, nuclear-availability and weather cases remain secondary overlays.</t>
  </si>
  <si>
    <t>Base cases</t>
  </si>
  <si>
    <t>2040 DE-IT; 2050 PNIEC with 8 GW nuclear</t>
  </si>
  <si>
    <t>v2.7 analytical baseline retained.</t>
  </si>
  <si>
    <t>Demand geography</t>
  </si>
  <si>
    <t>Fixed shares from MEM_2025_ZONAL_DEMAND_FROZEN.csv for total, rigid and P2X</t>
  </si>
  <si>
    <t>CNORD source label maps to CNOR model zone. No PyPSA-Eur/population reconstruction.</t>
  </si>
  <si>
    <t>Slow</t>
  </si>
  <si>
    <t>Base demand; FER and BESS power/energy x0.80; unchanged duration/efficiency; all network projects delayed two years</t>
  </si>
  <si>
    <t>2050 Slow network equals recomputed 2040 Slow network.</t>
  </si>
  <si>
    <t>High</t>
  </si>
  <si>
    <t>Demand, FER and BESS power/energy x1.10; unchanged duration/efficiency; Base network exactly</t>
  </si>
  <si>
    <t>No accelerated/new Terna HV project. Distribution flexibility is implicit and outside the HV-zonal model boundary.</t>
  </si>
  <si>
    <t>Dispatchable 2040</t>
  </si>
  <si>
    <t>55 GW national thermoelectric envelope in all three headline cases</t>
  </si>
  <si>
    <t>No published CCGT/OCGT or zonal split; plant/cohort geography is a model allocation.</t>
  </si>
  <si>
    <t>Programmable 2050</t>
  </si>
  <si>
    <t>&gt;=30 GW approximate all-programmable adequacy floor in all three headline cases</t>
  </si>
  <si>
    <t>Not an exact gas total. PNIEC non-nuclear programmable generation is 22.7 TWh; installed technology MW are absent.</t>
  </si>
  <si>
    <t>Nuclear</t>
  </si>
  <si>
    <t>8 GW (5 NORD, 3 CSUD) in every 2050 headline case</t>
  </si>
  <si>
    <t>Availability variants remain overlays; nuclear is not multiplied with FER.</t>
  </si>
  <si>
    <t>Network change in Slow</t>
  </si>
  <si>
    <t>Only 546-P, 563-P and 732-P fall outside 2040 after delay</t>
  </si>
  <si>
    <t>Every directional delta traces to MEM_v2.8_NETWORK_DELAY_REGISTER.csv.</t>
  </si>
  <si>
    <t>Reports</t>
  </si>
  <si>
    <t>No DOCX or PDF edited in this sprint</t>
  </si>
  <si>
    <t>Final narrative files remain baselines only.</t>
  </si>
  <si>
    <t>Read 02_SCENARIOS first. Derived scenario values are formulas; external CSV registers provide project/evidence audit trails.</t>
  </si>
  <si>
    <t>Registro delle fonti</t>
  </si>
  <si>
    <t>Fonti ufficiali e benchmark utilizzati nella costruzione degli input. Gli URL sono mantenuti in chiaro.</t>
  </si>
  <si>
    <t>Source ID</t>
  </si>
  <si>
    <t>Documento</t>
  </si>
  <si>
    <t>Autore</t>
  </si>
  <si>
    <t>Anno</t>
  </si>
  <si>
    <t>Tipo</t>
  </si>
  <si>
    <t>Versione/data</t>
  </si>
  <si>
    <t>Ruolo principale</t>
  </si>
  <si>
    <t>Scenari</t>
  </si>
  <si>
    <t>Anni coperti</t>
  </si>
  <si>
    <t>Geografia</t>
  </si>
  <si>
    <t>Tecnologie</t>
  </si>
  <si>
    <t>Contenuto quantitativo</t>
  </si>
  <si>
    <t>Stato revisione</t>
  </si>
  <si>
    <t>Uso finale</t>
  </si>
  <si>
    <t>File / URL</t>
  </si>
  <si>
    <t>Note</t>
  </si>
  <si>
    <t>S01</t>
  </si>
  <si>
    <t>Stato del sistema elettrico e scenari energetici</t>
  </si>
  <si>
    <t>Terna S.p.A.</t>
  </si>
  <si>
    <t>Piano di Sviluppo Terna - fascicolo tecnico</t>
  </si>
  <si>
    <t>Marzo 2025 (PDF modificato 13 marzo 2025)</t>
  </si>
  <si>
    <t>Baseline storica 2023-2024; struttura del mercato; scenari elettrici 2030-2040; bilanci, capacità e carico residuo.</t>
  </si>
  <si>
    <t>Storico 2023-2024; PNIEC Policy 2030; PNIEC Slow 2030/2035/2040; DE-IT 2035/2040; richiamo GA-IT/DDS24.</t>
  </si>
  <si>
    <t>Storico fino al 2024; scenari 2030, 2035, 2040.</t>
  </si>
  <si>
    <t>Nazionale; zone di mercato; alcune mappe regionali/territoriali; frontiere estere.</t>
  </si>
  <si>
    <t>Solare, eolico, idroelettrico, bioenergie/altre FER, gas, carbone/olio, accumuli elettrochimici, pompaggi, elettrolizzatori.</t>
  </si>
  <si>
    <t>Molto elevato: tabelle, mappe, grafici e bilanci.</t>
  </si>
  <si>
    <t>REVIEWED</t>
  </si>
  <si>
    <t>CORE</t>
  </si>
  <si>
    <t>Terna_Piano_Sviluppo_2025_Stato_sistema_elettrico_scenari_energetici_8dd62ec4bbb9f75.pdf</t>
  </si>
  <si>
    <t>PDF testuale; tabelle parzialmente estraibili; mappe e grafici richiedono verifica visuale/digitalizzazione.</t>
  </si>
  <si>
    <t>S02</t>
  </si>
  <si>
    <t>Piano di Sviluppo 2025 - Overview</t>
  </si>
  <si>
    <t>Piano di Sviluppo Terna - overview</t>
  </si>
  <si>
    <t>Mappa sintetica del PdS 2025; cross-check di scenari, mercato, investimenti e cronologia rete 2030-2040.</t>
  </si>
  <si>
    <t>PNIEC/DDS24; orizzonti 2030, 2034 e 2040.</t>
  </si>
  <si>
    <t>Contesto storico recente; 2030, 2034, 2040.</t>
  </si>
  <si>
    <t>Nazionale, zonale e interconnessioni estere.</t>
  </si>
  <si>
    <t>FER, accumuli, generazione termica, data center; infrastrutture AC/HVDC.</t>
  </si>
  <si>
    <t>Medio-alto: indicatori sintetici, mappe e timeline.</t>
  </si>
  <si>
    <t>SUPPORTING</t>
  </si>
  <si>
    <t>Terna_Piano_Sviluppo_2025_Overview_8dd62ebfc87edf6.pdf</t>
  </si>
  <si>
    <t>PDF testuale; molti grafici sintetici e mappe da verificare visualmente.</t>
  </si>
  <si>
    <t>S03</t>
  </si>
  <si>
    <t>Benefici di sistema e analisi robustezza rete</t>
  </si>
  <si>
    <t>Capacità di trasporto, effetti con/senza interventi, congestioni, adeguatezza, FER, riserva, emissioni e perdite.</t>
  </si>
  <si>
    <t>PNIEC 2030; DE-IT 2035/2040; analisi con e senza sviluppi di rete.</t>
  </si>
  <si>
    <t>2030, 2035, 2040; confronti con rete di riferimento.</t>
  </si>
  <si>
    <t>Frontiere estere; zone di mercato italiane; corridoi e aree di rete.</t>
  </si>
  <si>
    <t>FER, termoelettrico, accumuli; interventi AC/HVDC; risorse inverter-based.</t>
  </si>
  <si>
    <t>Elevato: capacità, benefici, indicatori di adeguatezza e mappe.</t>
  </si>
  <si>
    <t>Terna_Piano_Sviluppo_2025_Benefici_sistema_analisi_robustezza_rete_8dd62ecc98b2bc9.pdf</t>
  </si>
  <si>
    <t>PDF testuale; tabelle discrete; mappe/capacità richiedono controllo visuale.</t>
  </si>
  <si>
    <t>S04</t>
  </si>
  <si>
    <t>Programmazione territoriale efficiente e interventi di connessione</t>
  </si>
  <si>
    <t>Pipeline territoriale di connessione; distribuzione regionale/locale; microzone; grandi carichi e opere di connessione.</t>
  </si>
  <si>
    <t>Richieste 2023-2024; confronto PNIEC Policy 2030; approccio microzonale prospettico.</t>
  </si>
  <si>
    <t>Storico richieste fino a dicembre 2024; target 2030; progetti in corso.</t>
  </si>
  <si>
    <t>Nazionale, regionale, provinciale/comunale e microzonale.</t>
  </si>
  <si>
    <t>Solare, eolico on/offshore, BESS, pompaggi, termoelettrico; data center, RFI, cold ironing, cabine primarie.</t>
  </si>
  <si>
    <t>Molto elevato: mappe regionali, tabelle pipeline e appendici progetto.</t>
  </si>
  <si>
    <t>Terna_Piano_Sviluppo_2025_Programmazione_territoriale_efficiente_interventi_connessione_8dd62ec86ec25d1.pdf</t>
  </si>
  <si>
    <t>PDF testuale ma con numerose mappe/infografiche; appendici tabellari estraibili con revisione.</t>
  </si>
  <si>
    <t>S05</t>
  </si>
  <si>
    <t>Esigenze di sviluppo: i nuovi progetti</t>
  </si>
  <si>
    <t>Piano di Sviluppo Terna - fascicolo progetti</t>
  </si>
  <si>
    <t>Architettura futura della RTN, capacità interzonali/estere, Hypergrid, cronologia e stato dei progetti.</t>
  </si>
  <si>
    <t>Target capacity e architetture 2030, 2034, 2040.</t>
  </si>
  <si>
    <t>2025-2034; orizzonte architetturale 2040.</t>
  </si>
  <si>
    <t>Aree Nord-Ovest, Nord-Est, Centro-Sud; zone e frontiere estere; singoli corridoi/progetti.</t>
  </si>
  <si>
    <t>Linee AC, HVDC/VSC, reconductoring, DTR, stazioni e interconnector.</t>
  </si>
  <si>
    <t>Elevato: mappe, schede e tabelle di progetto.</t>
  </si>
  <si>
    <t>Terna_Piano_Sviluppo_2025_Esigenze_sviluppo_nuovi_progetti_8dd62eca67348ba.pdf</t>
  </si>
  <si>
    <t>PDF testuale; schede progetto e mappe richiedono estrazione strutturata e controllo visuale.</t>
  </si>
  <si>
    <t>S06</t>
  </si>
  <si>
    <t>Pianificazione della rete elettrica</t>
  </si>
  <si>
    <t>Piano di Sviluppo Terna - fascicolo metodologico</t>
  </si>
  <si>
    <t>Quadro metodologico, normativo e istituzionale; coordinamento TSO-DSO, TYNDP, storage e nuovi carichi.</t>
  </si>
  <si>
    <t>Pianificazione decennale; TYNDP e cooperazione europea/mediterranea.</t>
  </si>
  <si>
    <t>2025-2034; programmi UE 2021-2027; riferimenti prospettici.</t>
  </si>
  <si>
    <t>Italia, Europa, Mediterraneo; casi nazionali.</t>
  </si>
  <si>
    <t>Storage, data center, cold ironing, e-mobility; digitalizzazione rete.</t>
  </si>
  <si>
    <t>Basso-medio: prevalenza descrittiva, alcune figure/tabelle.</t>
  </si>
  <si>
    <t>Terna_Piano_Sviluppo_2025_Pianificazione_Rete_Elettrica_8dd62ec2378ac53.pdf</t>
  </si>
  <si>
    <t>PDF testuale; dati numerici limitati.</t>
  </si>
  <si>
    <t>S07</t>
  </si>
  <si>
    <t>Prospettive di Sviluppo del Sistema Energetico 2050 - Copertura della domanda elettrica</t>
  </si>
  <si>
    <t>Nota tecnica Terna ex Delibera ARERA 392/2024</t>
  </si>
  <si>
    <t>2025 (PDF creato/modificato 27 ottobre 2025)</t>
  </si>
  <si>
    <t>Fonte primaria 2050: domanda, mix, accumuli, costi tecnologici, adeguatezza e flessibilità.</t>
  </si>
  <si>
    <t>DDS24 2030-2040; scenari PNIEC 2050 con e senza nucleare; analisi di sensitività.</t>
  </si>
  <si>
    <t>Storico 2019-2025; 2030, 2040, 2050.</t>
  </si>
  <si>
    <t>Prevalentemente nazionale; profili temporali nazionali.</t>
  </si>
  <si>
    <t>Solare, eolico on/offshore, batterie, idroelettrico, gas, nucleare, CCUS/CCS, tecnologie emergenti.</t>
  </si>
  <si>
    <t>Molto elevato: costi, capacità, bilanci, domanda e flessibilità.</t>
  </si>
  <si>
    <t>Terna Prospettive Sviluppo Sistema Energetico 2050.pdf</t>
  </si>
  <si>
    <t>PDF testuale; tabelle estraibili; numerosi grafici richiedono verifica/digitalizzazione.</t>
  </si>
  <si>
    <t>S08</t>
  </si>
  <si>
    <t>Piano Nazionale Integrato per l'Energia e il Clima</t>
  </si>
  <si>
    <t>MASE</t>
  </si>
  <si>
    <t>Piano nazionale energia e clima</t>
  </si>
  <si>
    <t>Giugno 2024</t>
  </si>
  <si>
    <t>Target ufficiali, traiettorie di policy, domanda/consumi settoriali, interconnessioni, prezzi e base analitica.</t>
  </si>
  <si>
    <t>Scenario di riferimento/WEM; scenario con politiche aggiuntive/PNIEC; proiezioni fino al 2040; ipotesi nucleare 2035-2050.</t>
  </si>
  <si>
    <t>Storico fino al 2022/2023; obiettivi 2030; proiezioni 2040; alcune ipotesi 2050.</t>
  </si>
  <si>
    <t>Prevalentemente nazionale; alcuni dati regionali/settoriali; interconnessioni transfrontaliere.</t>
  </si>
  <si>
    <t>FER elettriche/termiche/trasporti, termoelettrico, nucleare, idrogeno, CCS, reti e accumuli.</t>
  </si>
  <si>
    <t>Molto elevato ma disperso in 491 pagine.</t>
  </si>
  <si>
    <t>PNIEC 2024.pdf</t>
  </si>
  <si>
    <t>PDF testuale; molte tabelle estraibili, alcune complesse; figure e note richiedono controllo.</t>
  </si>
  <si>
    <t>S09</t>
  </si>
  <si>
    <t>Documento di Descrizione degli Scenari 2024</t>
  </si>
  <si>
    <t>Terna e Snam</t>
  </si>
  <si>
    <t>Documento congiunto di scenario tecnico</t>
  </si>
  <si>
    <t>2024</t>
  </si>
  <si>
    <t>Fonte primaria 2030-2040 per domanda, capacità FER, bilanci, commodity e risultati di simulazione.</t>
  </si>
  <si>
    <t>PNIEC Policy; PNIEC Slow; DE-IT; GA-IT</t>
  </si>
  <si>
    <t>2023; 2030; 2035; 2040</t>
  </si>
  <si>
    <t>Nazionale e sette zone per solare, eolico, accumuli ed elettrolizzatori.</t>
  </si>
  <si>
    <t>Domanda; FER; storage; H2; termoelettrico aggregato; commodity; bilanci; flussi.</t>
  </si>
  <si>
    <t>Molto elevato: tabelle e figure direttamente utilizzabili.</t>
  </si>
  <si>
    <t>Documento_Descrizione_Scenari_2024_8dce2430d44d101.pdf</t>
  </si>
  <si>
    <t>PDF testuale; tabelle estraibili e pagine quantitative verificate visivamente.</t>
  </si>
  <si>
    <t>S10</t>
  </si>
  <si>
    <t>Allegato A.24 al Codice di Rete - Individuazione zone della rete rilevante</t>
  </si>
  <si>
    <t>Terna</t>
  </si>
  <si>
    <t>Codice di Rete / zonizzazione</t>
  </si>
  <si>
    <t>Rev. 05 - gennaio 2021</t>
  </si>
  <si>
    <t>Definizione ufficiale delle zone NORD e CENTRO SUD</t>
  </si>
  <si>
    <t>Tutti</t>
  </si>
  <si>
    <t>Dal 2021</t>
  </si>
  <si>
    <t>Italia</t>
  </si>
  <si>
    <t>Rete / zone di mercato</t>
  </si>
  <si>
    <t>Composizione regionale delle zone di mercato</t>
  </si>
  <si>
    <t>https://download.terna.it/terna/Allegato%20A.24%20-%20Individuazione%20zone%20della%20rete%20rilevante_8d8bc86c78365d0.pdf</t>
  </si>
  <si>
    <t>Veneto e Piemonte appartengono alla zona NORD; Lazio alla zona CENTRO SUD.</t>
  </si>
  <si>
    <t>S11</t>
  </si>
  <si>
    <t>Dichiarazione ambientale della Centrale nucleare di Trino</t>
  </si>
  <si>
    <t>Sogin</t>
  </si>
  <si>
    <t>Dichiarazione ambientale</t>
  </si>
  <si>
    <t>Aggiornamento 2016</t>
  </si>
  <si>
    <t>Ubicazione ufficiale del sito di Trino</t>
  </si>
  <si>
    <t>2050 nucleare</t>
  </si>
  <si>
    <t>Storico / sito</t>
  </si>
  <si>
    <t>Trino, Piemonte</t>
  </si>
  <si>
    <t>Nucleare</t>
  </si>
  <si>
    <t>Coordinate UTM-WGS84 e indirizzo del sito</t>
  </si>
  <si>
    <t>https://www.sogin.it/SiteAssets/uploads/2016/documenti/Dichiarazione_Ambientale_Trino_Aggiornamento_2016.pdf</t>
  </si>
  <si>
    <t>Coordinate convertite in WGS84: 45.184093 N, 8.277556 E.</t>
  </si>
  <si>
    <t>S12</t>
  </si>
  <si>
    <t>Istruttoria VIA - area Sogin di Borgo Sabotino</t>
  </si>
  <si>
    <t>Regione Lazio</t>
  </si>
  <si>
    <t>Istruttoria tecnico-amministrativa VIA</t>
  </si>
  <si>
    <t>25 agosto 2023</t>
  </si>
  <si>
    <t>Ubicazione ufficiale dell'area Sogin di Latina</t>
  </si>
  <si>
    <t>2023</t>
  </si>
  <si>
    <t>Latina, Lazio</t>
  </si>
  <si>
    <t>Nucleare / area industriale</t>
  </si>
  <si>
    <t>Coordinate UTM del centroide dell'area</t>
  </si>
  <si>
    <t>https://regione.lazio.it/sites/default/files/documentazione/AMB-DD-G11375-25-08-2023-Allegato-1.pdf</t>
  </si>
  <si>
    <t>Coordinate convertite in WGS84: 41.418493 N, 12.809786 E.</t>
  </si>
  <si>
    <t>S13</t>
  </si>
  <si>
    <t>Piano di Sviluppo 2025 - Programmazione territoriale e connessioni</t>
  </si>
  <si>
    <t>Piano di Sviluppo</t>
  </si>
  <si>
    <t>2025</t>
  </si>
  <si>
    <t>Evidenza della SE RTN 380/132 kV Porto Tolle</t>
  </si>
  <si>
    <t>2023-2024 / 2025</t>
  </si>
  <si>
    <t>Porto Tolle, Veneto</t>
  </si>
  <si>
    <t>Rete / connessione</t>
  </si>
  <si>
    <t>Nuovo stallo 132 kV completato nella SE RTN Porto Tolle</t>
  </si>
  <si>
    <t>https://download.terna.it/terna/Terna_Piano_Sviluppo_2025_Programmazione_territoriale_efficiente_interventi_connessione_8dd62ec86ec25d1.pdf</t>
  </si>
  <si>
    <t>Conferma l'esistenza di un nodo RTN 380/132 kV nell'area del sito.</t>
  </si>
  <si>
    <t>S14</t>
  </si>
  <si>
    <t>Piano di Sviluppo 2009 - Elettrodotto 380 kV Trino-Lacchiarella</t>
  </si>
  <si>
    <t>2009</t>
  </si>
  <si>
    <t>Evidenza della stazione 380 kV di Trino</t>
  </si>
  <si>
    <t>Stazioni 380 kV di Trino e Lacchiarella</t>
  </si>
  <si>
    <t>https://download.terna.it/terna/0000/0109/87.pdf</t>
  </si>
  <si>
    <t>Usato come evidenza infrastrutturale, non come prova della capacità di connessione di 1 GW.</t>
  </si>
  <si>
    <t>S15</t>
  </si>
  <si>
    <t>Piano di Sviluppo 2011 - Stazione 380 kV di Latina</t>
  </si>
  <si>
    <t>2011</t>
  </si>
  <si>
    <t>Evidenza della stazione 380 kV di Latina</t>
  </si>
  <si>
    <t>2010-2011</t>
  </si>
  <si>
    <t>Adeguamento della sezione 150 kV presso la SE 380 kV di Latina</t>
  </si>
  <si>
    <t>https://download.terna.it/terna/0000/0109/82.pdf</t>
  </si>
  <si>
    <t>Usato come evidenza infrastrutturale; la fattibilità di una nuova connessione nucleare non è dimostrata.</t>
  </si>
  <si>
    <t>S16</t>
  </si>
  <si>
    <t>Rapporto Adeguatezza Italia 2022</t>
  </si>
  <si>
    <t>Rapporto adeguatezza</t>
  </si>
  <si>
    <t>Pubblicato 2023; dati al 31/12/2021</t>
  </si>
  <si>
    <t>Capacità termica installata, strutturalmente utilizzabile e ulteriori cause di indisponibilità</t>
  </si>
  <si>
    <t>Storico / tutti</t>
  </si>
  <si>
    <t>2021</t>
  </si>
  <si>
    <t>Termoelettrico</t>
  </si>
  <si>
    <t>60,6 GW installati; 54,8 GW massimi disponibili; manutenzione, guasti, derating e ATS separati</t>
  </si>
  <si>
    <t>https://download.terna.it/terna/Terna_Rapporto_Adeguatezza_Italia_2022_8db050a8496bbb3.pdf</t>
  </si>
  <si>
    <t>La massima capacità disponibile non è un profilo orario e viene usata come QA strutturale.</t>
  </si>
  <si>
    <t>S17</t>
  </si>
  <si>
    <t>Rapporto Adeguatezza Italia 2023</t>
  </si>
  <si>
    <t>Dati al 31/12/2022</t>
  </si>
  <si>
    <t>Capacità termica disponibile e definizione di manutenzione, guasti, derating e ATS</t>
  </si>
  <si>
    <t>2022</t>
  </si>
  <si>
    <t>61,2 GW installati; 55,6 GW massimi disponibili; 2,4 GW strutturali e 3,2 GW di altre limitazioni</t>
  </si>
  <si>
    <t>https://download.terna.it/terna/Terna_Rapporto_Adeguatezza_Italia_2023_8dbfa5c158f8c91.pdf</t>
  </si>
  <si>
    <t>Conferma che la capacità massima deve essere ulteriormente ridotta per manutenzioni e guasti.</t>
  </si>
  <si>
    <t>S18</t>
  </si>
  <si>
    <t>Rapporto Adeguatezza Italia 2024</t>
  </si>
  <si>
    <t>Dati al 31/12/2023</t>
  </si>
  <si>
    <t>Aggiornamento della capacità termica massima disponibile</t>
  </si>
  <si>
    <t>62,1 GW installati; 57,6 GW massimi disponibili; 2,0 GW strutturali e 2,5 GW di altre limitazioni</t>
  </si>
  <si>
    <t>https://download.terna.it/terna/Terna_Rapporto_Adeguatezza_Italia_2024_8dd57f5cd7c797a.pdf</t>
  </si>
  <si>
    <t>Usato nella serie storica strutturale 2021-2024.</t>
  </si>
  <si>
    <t>S19</t>
  </si>
  <si>
    <t>Rapporto Adeguatezza Italia 2025</t>
  </si>
  <si>
    <t>Dati 2024 / pubblicazione 2025</t>
  </si>
  <si>
    <t>Capacità termica disponibile e metodologia probabilistica più recente</t>
  </si>
  <si>
    <t>2024-2025</t>
  </si>
  <si>
    <t>61,1 GW installati; 57,7 GW disponibili; profili orari di guasto e manutenzioni ottimizzate</t>
  </si>
  <si>
    <t>https://download.terna.it/terna/Rapporto_Adeguatezza_Italia_2025_8de802607202dd6.pdf</t>
  </si>
  <si>
    <t>Fonte metodologica principale per separare p_nom, manutenzione programmata e guasti accidentali.</t>
  </si>
  <si>
    <t>S20</t>
  </si>
  <si>
    <t>Mercato della capacità - Appendice DTF2, anno di consegna 2027</t>
  </si>
  <si>
    <t>Appendice tecnica Capacity Market</t>
  </si>
  <si>
    <t>Anno di consegna 2027</t>
  </si>
  <si>
    <t>Tassi medi di derating termico per area e standard efficienti di indisponibilità programmata</t>
  </si>
  <si>
    <t>2040-2050 proxy ufficiale</t>
  </si>
  <si>
    <t>2021-2027</t>
  </si>
  <si>
    <t>Italia / zone di mercato</t>
  </si>
  <si>
    <t>Derating termico rilevante: 17%-31% per zona; 23% Italia; nuovi termici 10%, CCGT solo acqua 20%</t>
  </si>
  <si>
    <t>https://download.terna.it/terna/Allegato_3_alla_DTF2_Anno_di_consegna_2027_8dd20da26b4b11d.pdf</t>
  </si>
  <si>
    <t>Fonte numerica principale per p_max_pu e sensitivity ambientale.</t>
  </si>
  <si>
    <t>S21</t>
  </si>
  <si>
    <t>Allegato 4 - Livelli standard efficienti di indisponibilità</t>
  </si>
  <si>
    <t>Metodologia Capacity Market</t>
  </si>
  <si>
    <t>9 maggio 2024</t>
  </si>
  <si>
    <t>Metodo per determinare la manutenzione programmata efficiente da dati storici triennali</t>
  </si>
  <si>
    <t>Ultimi tre anni disponibili</t>
  </si>
  <si>
    <t>Definisce l'indisponibilità programmata annuale per tecnologia e il percentile nazionale</t>
  </si>
  <si>
    <t>https://download.terna.it/terna/Allegato_4_Livelli_standard_efficienti_di_indisponibilita_8dd1e946812efe5.pdf</t>
  </si>
  <si>
    <t>Chiarisce che i valori in ore equivalenti riguardano manutenzioni programmate, non guasti.</t>
  </si>
  <si>
    <t>S22</t>
  </si>
  <si>
    <t>Delibera ARG/elt 187/08</t>
  </si>
  <si>
    <t>ARERA</t>
  </si>
  <si>
    <t>Delibera regolatoria</t>
  </si>
  <si>
    <t>18 dicembre 2008</t>
  </si>
  <si>
    <t>Definizione e pubblicazione della capacità produttiva disponibile attesa e consuntiva</t>
  </si>
  <si>
    <t>Storico / trasparenza</t>
  </si>
  <si>
    <t>Orario</t>
  </si>
  <si>
    <t>Italia / macroaree</t>
  </si>
  <si>
    <t>CCGT, turbogas, termico tradizionale</t>
  </si>
  <si>
    <t>Richiede dati orari aggregati per macroarea e tecnologia, includendo manutenzioni e indisponibilità</t>
  </si>
  <si>
    <t>https://www.arera.it/atti-e-provvedimenti/dettaglio/08/187-08arg</t>
  </si>
  <si>
    <t>Conferma il corretto concetto empirico di capacità disponibile; non fornisce nel provvedimento i valori futuri.</t>
  </si>
  <si>
    <t>S23</t>
  </si>
  <si>
    <t>Relazione Annuale 2022</t>
  </si>
  <si>
    <t>GME</t>
  </si>
  <si>
    <t>Relazione annuale dei mercati</t>
  </si>
  <si>
    <t>Controllo di mercato dell'effetto delle indisponibilità termiche durante la crisi 2022</t>
  </si>
  <si>
    <t>Storico</t>
  </si>
  <si>
    <t>Italia / NORD</t>
  </si>
  <si>
    <t>CCGT</t>
  </si>
  <si>
    <t>Documenta la scarsità di offerta e la centralità dei CCGT nel mercato 2022</t>
  </si>
  <si>
    <t>https://www.mercatoelettrico.org/Portals/0/Documents/it-IT/Gme_RelazioneAnnualeWeb_2022.pdf</t>
  </si>
  <si>
    <t>Usato come evidenza qualitativa di stress; non per stimare un tasso numerico autonomo.</t>
  </si>
  <si>
    <t>S24</t>
  </si>
  <si>
    <t>Table 4.08.B - Capacity Factors for Utility Scale Generators Primarily Using Non-Fossil Fuels</t>
  </si>
  <si>
    <t>U.S. Energy Information Administration</t>
  </si>
  <si>
    <t>Official statistical table</t>
  </si>
  <si>
    <t>Annual data through 2024</t>
  </si>
  <si>
    <t>Historical U.S. nuclear fleet capacity factors</t>
  </si>
  <si>
    <t>2050 nuclear</t>
  </si>
  <si>
    <t>2015-2024</t>
  </si>
  <si>
    <t>United States</t>
  </si>
  <si>
    <t>Annual capacity factor</t>
  </si>
  <si>
    <t>https://www.eia.gov/electricity/annual/html/epa_04_08_b.html</t>
  </si>
  <si>
    <t>Central 2015-2024 mean and median: 92.45%.</t>
  </si>
  <si>
    <t>S25</t>
  </si>
  <si>
    <t>Capacity outages at U.S. nuclear power plants averaged 3.1 GW this summer</t>
  </si>
  <si>
    <t>Official analysis based on NRC data</t>
  </si>
  <si>
    <t>1 October 2021</t>
  </si>
  <si>
    <t>Refuelling cycle and outage duration</t>
  </si>
  <si>
    <t>18-24 month cycle; 32-day average outage</t>
  </si>
  <si>
    <t>https://www.eia.gov/todayinenergy/detail.php?id=49796</t>
  </si>
  <si>
    <t>Central evidence.</t>
  </si>
  <si>
    <t>S26</t>
  </si>
  <si>
    <t>U.S. summer nuclear outages rose in 2023</t>
  </si>
  <si>
    <t>17 October 2023</t>
  </si>
  <si>
    <t>Recent outage durations</t>
  </si>
  <si>
    <t>2022-2023</t>
  </si>
  <si>
    <t>35 days in 2023; 38 days in 2022</t>
  </si>
  <si>
    <t>https://www.eia.gov/todayinenergy/detail.php?id=60682</t>
  </si>
  <si>
    <t>Used in central/low calibration.</t>
  </si>
  <si>
    <t>S27</t>
  </si>
  <si>
    <t>Despite closures, U.S. nuclear electricity generation in 2018 surpassed its previous peak</t>
  </si>
  <si>
    <t>21 March 2019</t>
  </si>
  <si>
    <t>High-performance outage benchmark</t>
  </si>
  <si>
    <t>2018</t>
  </si>
  <si>
    <t>25-day average outage; 18-24 month cycle</t>
  </si>
  <si>
    <t>https://www.eia.gov/todayinenergy/detail.php?id=38792</t>
  </si>
  <si>
    <t>High sensitivity.</t>
  </si>
  <si>
    <t>S28</t>
  </si>
  <si>
    <t>Power Reactor Status Reports</t>
  </si>
  <si>
    <t>U.S. Nuclear Regulatory Commission</t>
  </si>
  <si>
    <t>Official daily operational dataset</t>
  </si>
  <si>
    <t>Archive through 2026</t>
  </si>
  <si>
    <t>Unit-level reactor status</t>
  </si>
  <si>
    <t>2000-2026</t>
  </si>
  <si>
    <t>Daily power and outage comments</t>
  </si>
  <si>
    <t>https://www.nrc.gov/reading-rm/doc-collections/event-status/reactor-status/index</t>
  </si>
  <si>
    <t>Primary refresh source.</t>
  </si>
  <si>
    <t>S29</t>
  </si>
  <si>
    <t>Generic Letter 91-04 - 24-Month Fuel Cycle</t>
  </si>
  <si>
    <t>Official regulatory guidance</t>
  </si>
  <si>
    <t>2 April 1991</t>
  </si>
  <si>
    <t>24-month cycle evidence</t>
  </si>
  <si>
    <t>Long-run</t>
  </si>
  <si>
    <t>18-to-24-month surveillance/refuelling transition</t>
  </si>
  <si>
    <t>https://www.nrc.gov/reading-rm/doc-collections/gen-comm/gen-letters/1991/gl91004</t>
  </si>
  <si>
    <t>Supports central cycle choice.</t>
  </si>
  <si>
    <t>S30</t>
  </si>
  <si>
    <t>2024 annual results</t>
  </si>
  <si>
    <t>EDF</t>
  </si>
  <si>
    <t>Official annual results</t>
  </si>
  <si>
    <t>21 February 2025</t>
  </si>
  <si>
    <t>Post-recovery operational context</t>
  </si>
  <si>
    <t>France</t>
  </si>
  <si>
    <t>361.7 TWh; improved availability and outage optimisation</t>
  </si>
  <si>
    <t>https://www.edf.fr/sites/groupe/files/epresspack/9680/PR-results-FY-2024-V21.02.2025.pdf</t>
  </si>
  <si>
    <t>Context only.</t>
  </si>
  <si>
    <t>S31</t>
  </si>
  <si>
    <t>2025 annual results</t>
  </si>
  <si>
    <t>20 February 2026</t>
  </si>
  <si>
    <t>Outage management and modulation</t>
  </si>
  <si>
    <t>373 TWh; 33 TWh modulation</t>
  </si>
  <si>
    <t>https://www.edf.fr/en/2025-annual-results</t>
  </si>
  <si>
    <t>Separates availability from generation.</t>
  </si>
  <si>
    <t>S32</t>
  </si>
  <si>
    <t>France 2022 Electricity Review</t>
  </si>
  <si>
    <t>RTE</t>
  </si>
  <si>
    <t>Official system review</t>
  </si>
  <si>
    <t>2022 review</t>
  </si>
  <si>
    <t>Common-mode stress year</t>
  </si>
  <si>
    <t>2050 stress</t>
  </si>
  <si>
    <t>279 TWh; lowest since 1988; SCC disruption</t>
  </si>
  <si>
    <t>STRESS ONLY</t>
  </si>
  <si>
    <t>https://assets.rte-france.com/analyse-et-donnees/2023-08/Bilan%20%C3%A9lectrique%202022%20synth%C3%A8se%20GB_version_finale%20%281%29.pdf</t>
  </si>
  <si>
    <t>Excluded from base.</t>
  </si>
  <si>
    <t>S33</t>
  </si>
  <si>
    <t>TYNDP 2024 Scenarios Methodology Report / Scenario Building input parameters</t>
  </si>
  <si>
    <t>ENTSO-E and ENTSOG</t>
  </si>
  <si>
    <t>European infrastructure-planning scenario methodology</t>
  </si>
  <si>
    <t>TYNDP 2024 final methodology</t>
  </si>
  <si>
    <t>Low 2050 carbon-price anchor</t>
  </si>
  <si>
    <t>2050 market</t>
  </si>
  <si>
    <t>2030-2050</t>
  </si>
  <si>
    <t>Europe</t>
  </si>
  <si>
    <t>EU power and gas systems</t>
  </si>
  <si>
    <t>CO2 prices: 113.4 €/t in 2030, 147 €/t in 2040 and 168 €/t in 2050; IEA APS basis</t>
  </si>
  <si>
    <t>https://2024.entsos-tyndp-scenarios.eu/wp-content/uploads/2025/01/TYNDP_2024_Scenarios_Methodology_Report_Final_Version_250128.pdf</t>
  </si>
  <si>
    <t>Published anchor retained separately from the rounded EUR2025 modelling value.</t>
  </si>
  <si>
    <t>S34</t>
  </si>
  <si>
    <t>Global Energy and Climate Model - Macro drivers</t>
  </si>
  <si>
    <t>International Energy Agency</t>
  </si>
  <si>
    <t>Official global scenario methodology</t>
  </si>
  <si>
    <t>2025 modelling cycle</t>
  </si>
  <si>
    <t>External net-zero benchmark</t>
  </si>
  <si>
    <t>2050</t>
  </si>
  <si>
    <t>Advanced economies</t>
  </si>
  <si>
    <t>Energy system</t>
  </si>
  <si>
    <t>NZE carbon price averages USD 250/tCO2 in advanced economies in 2050</t>
  </si>
  <si>
    <t>BENCHMARK</t>
  </si>
  <si>
    <t>https://www.iea.org/reports/global-energy-and-climate-model/macro-drivers</t>
  </si>
  <si>
    <t>Not EU ETS-specific; used as an external consistency benchmark only.</t>
  </si>
  <si>
    <t>S35</t>
  </si>
  <si>
    <t>VIIEW on EU ETS 2050: Exploring synergies</t>
  </si>
  <si>
    <t>CAKE/KOBiZE - Institute of Environmental Protection, National Research Institute</t>
  </si>
  <si>
    <t>Integrated EU ETS scenario study</t>
  </si>
  <si>
    <t>Published 2024</t>
  </si>
  <si>
    <t>Direct EU ETS 2050 scenario anchors</t>
  </si>
  <si>
    <t>2040-2050</t>
  </si>
  <si>
    <t>EU+UK+EFTA</t>
  </si>
  <si>
    <t>EU ETS and carbon removals</t>
  </si>
  <si>
    <t>2050 EU ETS prices: 380 €/t with full removals support; about 550 €/t with 50% support; 1000 €/t with no/weak support</t>
  </si>
  <si>
    <t>https://climatecake.ios.edu.pl/wp-content/uploads/2024/04/LIFE_VIIEW_EUETS_Exploring-synergies.pdf</t>
  </si>
  <si>
    <t>Primary source for the base, high and extreme EU ETS cases.</t>
  </si>
  <si>
    <t>S36</t>
  </si>
  <si>
    <t>2040 climate target and European Climate Law</t>
  </si>
  <si>
    <t>European Commission - DG Climate Action</t>
  </si>
  <si>
    <t>Official EU climate-policy framework</t>
  </si>
  <si>
    <t>Current framework</t>
  </si>
  <si>
    <t>Policy boundary for the 2050 carbon-price scenarios</t>
  </si>
  <si>
    <t>European Union</t>
  </si>
  <si>
    <t>Climate policy</t>
  </si>
  <si>
    <t>Legally binding 90% net reduction target for 2040 and climate neutrality objective for 2050</t>
  </si>
  <si>
    <t>POLICY CONTEXT</t>
  </si>
  <si>
    <t>https://climate.ec.europa.eu/eu-action/climate-strategies-targets/2040-climate-target_en</t>
  </si>
  <si>
    <t>Confirms that the selected price must be treated as a policy-consistent scenario rather than a spot-price forecast.</t>
  </si>
  <si>
    <t>S37</t>
  </si>
  <si>
    <t>2024 and 2025 Carbon Market Reports</t>
  </si>
  <si>
    <t>Official EU ETS market reports</t>
  </si>
  <si>
    <t>2024-2025 reports</t>
  </si>
  <si>
    <t>Historical market-price context</t>
  </si>
  <si>
    <t>Historical</t>
  </si>
  <si>
    <t>2023-2024</t>
  </si>
  <si>
    <t>EU ETS</t>
  </si>
  <si>
    <t>Average auction price: 83.60 €/t in 2023 and 64.74 €/t in 2024</t>
  </si>
  <si>
    <t>CONTEXT</t>
  </si>
  <si>
    <t>https://climate.ec.europa.eu/document/download/ddc1b1de-652b-49ed-8f15-d9fa8badd39f_en?filename=com_2025_735_en.pdf</t>
  </si>
  <si>
    <t>Historical values are not extrapolated mechanically to 2050.</t>
  </si>
  <si>
    <t>U01</t>
  </si>
  <si>
    <t>MEM 2025 zonal demand frozen allocation</t>
  </si>
  <si>
    <t>User-supplied authoritative project input</t>
  </si>
  <si>
    <t>Frozen CSV</t>
  </si>
  <si>
    <t>Supplied 2026-08-30</t>
  </si>
  <si>
    <t>Seven accepted zonal TWh values and shares</t>
  </si>
  <si>
    <t>All headline scenarios</t>
  </si>
  <si>
    <t>2025/2040/2050</t>
  </si>
  <si>
    <t>Seven Italian model zones</t>
  </si>
  <si>
    <t>Demand</t>
  </si>
  <si>
    <t>318.0 TWh; shares sum to 100%</t>
  </si>
  <si>
    <t>VERIFIED</t>
  </si>
  <si>
    <t>CORE / USER AUTHORITY</t>
  </si>
  <si>
    <t>00_HANDOFF/MEM_2025_ZONAL_DEMAND_FROZEN.csv</t>
  </si>
  <si>
    <t>Applied unchanged to total, rigid and P2X; CNORD maps to CNOR.</t>
  </si>
  <si>
    <t>V28-D</t>
  </si>
  <si>
    <t>MEM v2.8 dispatchable-capacity evidence register</t>
  </si>
  <si>
    <t>Project evidence synthesis</t>
  </si>
  <si>
    <t>CSV</t>
  </si>
  <si>
    <t>2026-08-30</t>
  </si>
  <si>
    <t>Installed capacity/generation evidence and absences</t>
  </si>
  <si>
    <t>2040/2050 headline scenarios</t>
  </si>
  <si>
    <t>2040/2050</t>
  </si>
  <si>
    <t>National plus zonal-status field</t>
  </si>
  <si>
    <t>Dispatchable generation</t>
  </si>
  <si>
    <t>55 GW 2040 envelope; &gt;=30 GW 2050 programmable floor</t>
  </si>
  <si>
    <t>MEM_v2.8_DISPATCHABLE_CAPACITY_EVIDENCE.csv</t>
  </si>
  <si>
    <t>Technology/zonal MW absences remain explicit.</t>
  </si>
  <si>
    <t>V28-N</t>
  </si>
  <si>
    <t>MEM v2.8 network delay register</t>
  </si>
  <si>
    <t>Project-by-project delay calculation</t>
  </si>
  <si>
    <t>Original and delayed COD plus directional contributions</t>
  </si>
  <si>
    <t>Slow network</t>
  </si>
  <si>
    <t>Internal corridors and foreign borders</t>
  </si>
  <si>
    <t>Transmission</t>
  </si>
  <si>
    <t>Only 546-P, 563-P, 732-P cross cutoff</t>
  </si>
  <si>
    <t>MEM_v2.8_NETWORK_DELAY_REGISTER.csv</t>
  </si>
  <si>
    <t>Slow 2050 equals Slow 2040.</t>
  </si>
  <si>
    <t>V28-P</t>
  </si>
  <si>
    <t>MEM v2.8 implementation plan</t>
  </si>
  <si>
    <t>Stage A checkpoint</t>
  </si>
  <si>
    <t>Markdown</t>
  </si>
  <si>
    <t>Rules, ranges, QA and limitations</t>
  </si>
  <si>
    <t>Workbook-wide</t>
  </si>
  <si>
    <t>Governance</t>
  </si>
  <si>
    <t>No material blocker</t>
  </si>
  <si>
    <t>MEM_v2.8_IMPLEMENTATION_PLAN.md</t>
  </si>
  <si>
    <t>Created before Excel modification.</t>
  </si>
  <si>
    <t>Controlling scenario matrix — exactly six headline physical scenarios</t>
  </si>
  <si>
    <t>Scenario multipliers are visible inputs. Slow demand equals Base; High does not accelerate or add RTN projects.</t>
  </si>
  <si>
    <t>Scenario ID</t>
  </si>
  <si>
    <t>Horizon</t>
  </si>
  <si>
    <t>Role</t>
  </si>
  <si>
    <t>National total TWh</t>
  </si>
  <si>
    <t>Rigid TWh</t>
  </si>
  <si>
    <t>P2X TWh</t>
  </si>
  <si>
    <t>Demand mult.</t>
  </si>
  <si>
    <t>FER mult.</t>
  </si>
  <si>
    <t>Storage mult.</t>
  </si>
  <si>
    <t>Internal network</t>
  </si>
  <si>
    <t>Foreign network</t>
  </si>
  <si>
    <t>Dispatchable treatment</t>
  </si>
  <si>
    <t>Nuclear GW</t>
  </si>
  <si>
    <t>CO2 default EUR2025/t</t>
  </si>
  <si>
    <t>Class</t>
  </si>
  <si>
    <t>Key narrative / model boundary</t>
  </si>
  <si>
    <t>IT2040_SLOW</t>
  </si>
  <si>
    <t>SLOW</t>
  </si>
  <si>
    <t>+2y project delay; delayed COD &lt;=2040</t>
  </si>
  <si>
    <t>Approved 2030 directional floor; project delay register; no added overlay MW</t>
  </si>
  <si>
    <t>55 GW national thermal envelope; no backfill</t>
  </si>
  <si>
    <t>Derived scenario</t>
  </si>
  <si>
    <t>Base demand. FER and BESS power/energy -20%. Slow network removes only delayed project effects crossing 2040.</t>
  </si>
  <si>
    <t>IT2040_BASE</t>
  </si>
  <si>
    <t>BASE</t>
  </si>
  <si>
    <t>Approved PdS 2040 directional values</t>
  </si>
  <si>
    <t>Approved 2030 directional floor / endogenous PyPSA-Eur</t>
  </si>
  <si>
    <t>55 GW national thermal envelope</t>
  </si>
  <si>
    <t>Direct + reconciled</t>
  </si>
  <si>
    <t>DE-IT 2040 base case.</t>
  </si>
  <si>
    <t>IT2040_HIGH</t>
  </si>
  <si>
    <t>HIGH</t>
  </si>
  <si>
    <t>Exactly Base; no acceleration</t>
  </si>
  <si>
    <t>55 GW national thermal envelope; no automatic capacity uplift</t>
  </si>
  <si>
    <t>10% higher load is accommodated by 10% more FER/storage plus implicit DSO smart-grid, aggregated demand flexibility and local flexibility outside the explicit HV-zonal boundary.</t>
  </si>
  <si>
    <t>IT2050_SLOW</t>
  </si>
  <si>
    <t>Exactly recomputed IT2040_SLOW network</t>
  </si>
  <si>
    <t>Approved 2030 directional floor; same as 2040 Slow</t>
  </si>
  <si>
    <t>&gt;=30 GW approximate all-programmable adequacy floor; no backfill</t>
  </si>
  <si>
    <t>Base demand. FER and BESS power/energy -20%. 8 GW nuclear retained; no-nuclear remains an overlay.</t>
  </si>
  <si>
    <t>IT2050_BASE</t>
  </si>
  <si>
    <t>Approved PdS 2040 floor</t>
  </si>
  <si>
    <t>&gt;=30 GW approximate all-programmable adequacy floor</t>
  </si>
  <si>
    <t>Direct + bridge</t>
  </si>
  <si>
    <t>PNIEC 2050 with 8 GW nuclear base case.</t>
  </si>
  <si>
    <t>IT2050_HIGH</t>
  </si>
  <si>
    <t>&gt;=30 GW approximate all-programmable adequacy floor; no automatic capacity uplift</t>
  </si>
  <si>
    <t>10% higher load is not supported by new/accelerated Terna HV build. Extra accommodation is FER/storage plus implicit distribution and aggregated flexibility outside the explicit model boundary.</t>
  </si>
  <si>
    <t>Visible scenario parameters</t>
  </si>
  <si>
    <t>Secondary benchmarks and overlays — not headline scenarios</t>
  </si>
  <si>
    <t>Parameter</t>
  </si>
  <si>
    <t>Value</t>
  </si>
  <si>
    <t>Use / evidence</t>
  </si>
  <si>
    <t>Overlay / benchmark</t>
  </si>
  <si>
    <t>Status</t>
  </si>
  <si>
    <t>Use</t>
  </si>
  <si>
    <t>Slow multiplier</t>
  </si>
  <si>
    <t>FER and BESS power/energy</t>
  </si>
  <si>
    <t>GA-IT 2040</t>
  </si>
  <si>
    <t>Benchmark</t>
  </si>
  <si>
    <t>Alternative H2/gas/CCS pathway; not High</t>
  </si>
  <si>
    <t>Base multiplier</t>
  </si>
  <si>
    <t>Base and Slow demand</t>
  </si>
  <si>
    <t>PNIEC Slow 2040</t>
  </si>
  <si>
    <t>Evidence reference; not the formula-defined headline Slow</t>
  </si>
  <si>
    <t>High multiplier</t>
  </si>
  <si>
    <t>Demand, FER and BESS power/energy</t>
  </si>
  <si>
    <t>No-nuclear 2050</t>
  </si>
  <si>
    <t>Overlay</t>
  </si>
  <si>
    <t>Counterfactual only</t>
  </si>
  <si>
    <t>2040 national total TWh</t>
  </si>
  <si>
    <t>DDS DE-IT direct</t>
  </si>
  <si>
    <t>CO2 175/400/550/1000</t>
  </si>
  <si>
    <t>Independent market sensitivity</t>
  </si>
  <si>
    <t>2040 P2X TWh</t>
  </si>
  <si>
    <t>DDS direct</t>
  </si>
  <si>
    <t>Nuclear availability 90.8/92.45/93.4%</t>
  </si>
  <si>
    <t>Independent operating sensitivity</t>
  </si>
  <si>
    <t>2040 rigid TWh — reconciled</t>
  </si>
  <si>
    <t>Total minus P2X; exact arithmetic</t>
  </si>
  <si>
    <t>Weather / dunkelflaute</t>
  </si>
  <si>
    <t>Independent weather sensitivity</t>
  </si>
  <si>
    <t>2040 rigid TWh — legacy rounded</t>
  </si>
  <si>
    <t>Reference only; not used in formulas</t>
  </si>
  <si>
    <t>2050 national total TWh</t>
  </si>
  <si>
    <t>PNIEC/Terna direct</t>
  </si>
  <si>
    <t>2050 P2X TWh</t>
  </si>
  <si>
    <t>2050 rigid TWh</t>
  </si>
  <si>
    <t>Total minus P2X</t>
  </si>
  <si>
    <t>2040 thermal envelope GW</t>
  </si>
  <si>
    <t>DDS direct approximate</t>
  </si>
  <si>
    <t>2050 programmable floor GW</t>
  </si>
  <si>
    <t>Terna derived approximate minimum</t>
  </si>
  <si>
    <t>2050 nuclear GW</t>
  </si>
  <si>
    <t>PNIEC direct</t>
  </si>
  <si>
    <t>2040 CO2 default</t>
  </si>
  <si>
    <t>Existing v2.7 base</t>
  </si>
  <si>
    <t>2050 CO2 default</t>
  </si>
  <si>
    <t>Crosswalk geografico</t>
  </si>
  <si>
    <t>Regioni e aree assegnate alle zone di mercato e ai bus canonici PyPSA.</t>
  </si>
  <si>
    <t>Record ID</t>
  </si>
  <si>
    <t>Tipo record</t>
  </si>
  <si>
    <t>Regione/area</t>
  </si>
  <si>
    <t>Tipo unità</t>
  </si>
  <si>
    <t>Codice zona</t>
  </si>
  <si>
    <t>Zona</t>
  </si>
  <si>
    <t>Bus PyPSA</t>
  </si>
  <si>
    <t>Validità</t>
  </si>
  <si>
    <t>Affidabilità</t>
  </si>
  <si>
    <t>Regola assegnazione</t>
  </si>
  <si>
    <t>Fonte</t>
  </si>
  <si>
    <t>URL fonte</t>
  </si>
  <si>
    <t>GEO-001</t>
  </si>
  <si>
    <t>Region-to-market-zone</t>
  </si>
  <si>
    <t>Valle d'Aosta</t>
  </si>
  <si>
    <t>Region</t>
  </si>
  <si>
    <t>NORD</t>
  </si>
  <si>
    <t>Nord</t>
  </si>
  <si>
    <t>IT_NORD</t>
  </si>
  <si>
    <t>2021-01-01</t>
  </si>
  <si>
    <t>Current official association</t>
  </si>
  <si>
    <t>A — Official Terna A.24</t>
  </si>
  <si>
    <t>Direct region association; plant/load coordinates and official zone code override any coarse aggregation</t>
  </si>
  <si>
    <t>A24</t>
  </si>
  <si>
    <t>Spot-market geographic zone; not Capacity Market sub-area.</t>
  </si>
  <si>
    <t>GEO-002</t>
  </si>
  <si>
    <t>Piemonte</t>
  </si>
  <si>
    <t>GEO-003</t>
  </si>
  <si>
    <t>Liguria</t>
  </si>
  <si>
    <t>GEO-004</t>
  </si>
  <si>
    <t>Lombardia</t>
  </si>
  <si>
    <t>GEO-005</t>
  </si>
  <si>
    <t>Trentino-Alto Adige</t>
  </si>
  <si>
    <t>GEO-006</t>
  </si>
  <si>
    <t>Veneto</t>
  </si>
  <si>
    <t>GEO-007</t>
  </si>
  <si>
    <t>Friuli-Venezia Giulia</t>
  </si>
  <si>
    <t>GEO-008</t>
  </si>
  <si>
    <t>Emilia-Romagna</t>
  </si>
  <si>
    <t>GEO-009</t>
  </si>
  <si>
    <t>Toscana</t>
  </si>
  <si>
    <t>CNOR</t>
  </si>
  <si>
    <t>Centro Nord</t>
  </si>
  <si>
    <t>IT_CNOR</t>
  </si>
  <si>
    <t>GEO-010</t>
  </si>
  <si>
    <t>Marche</t>
  </si>
  <si>
    <t>GEO-011</t>
  </si>
  <si>
    <t>Umbria</t>
  </si>
  <si>
    <t>CSUD</t>
  </si>
  <si>
    <t>Centro Sud</t>
  </si>
  <si>
    <t>IT_CSUD</t>
  </si>
  <si>
    <t>GEO-012</t>
  </si>
  <si>
    <t>Lazio</t>
  </si>
  <si>
    <t>GEO-013</t>
  </si>
  <si>
    <t>Abruzzo</t>
  </si>
  <si>
    <t>GEO-014</t>
  </si>
  <si>
    <t>Campania</t>
  </si>
  <si>
    <t>GEO-015</t>
  </si>
  <si>
    <t>Molise</t>
  </si>
  <si>
    <t>SUD</t>
  </si>
  <si>
    <t>Sud</t>
  </si>
  <si>
    <t>IT_SUD</t>
  </si>
  <si>
    <t>GEO-016</t>
  </si>
  <si>
    <t>Puglia</t>
  </si>
  <si>
    <t>GEO-017</t>
  </si>
  <si>
    <t>Basilicata</t>
  </si>
  <si>
    <t>GEO-018</t>
  </si>
  <si>
    <t>Calabria</t>
  </si>
  <si>
    <t>CALA</t>
  </si>
  <si>
    <t>IT_CALA</t>
  </si>
  <si>
    <t>GEO-019</t>
  </si>
  <si>
    <t>Sicilia</t>
  </si>
  <si>
    <t>SICI</t>
  </si>
  <si>
    <t>IT_SICI</t>
  </si>
  <si>
    <t>GEO-020</t>
  </si>
  <si>
    <t>Sardegna</t>
  </si>
  <si>
    <t>SARD</t>
  </si>
  <si>
    <t>IT_SARD</t>
  </si>
  <si>
    <t>GEO-021</t>
  </si>
  <si>
    <t>Virtual foreign zone</t>
  </si>
  <si>
    <t>FR-Corsica</t>
  </si>
  <si>
    <t>Country / virtual zone</t>
  </si>
  <si>
    <t>CORS</t>
  </si>
  <si>
    <t>Corsica</t>
  </si>
  <si>
    <t>IT_CORS</t>
  </si>
  <si>
    <t>Current / project-specific</t>
  </si>
  <si>
    <t>External/virtual modelling node</t>
  </si>
  <si>
    <t>A/B</t>
  </si>
  <si>
    <t>Use endogenous PyPSA-Eur bus where represented; otherwise collapsed external bus with explicit price/import assumption</t>
  </si>
  <si>
    <t>S01 / S09</t>
  </si>
  <si>
    <t>https://download.terna.it/terna/Terna_Piano_Sviluppo_2025_Stato_sistema_elettrico_scenari_energetici_8dd62ec4bbb9f75.pdf</t>
  </si>
  <si>
    <t>Not an Italian geographic bidding zone.</t>
  </si>
  <si>
    <t>GEO-022</t>
  </si>
  <si>
    <t>COAC</t>
  </si>
  <si>
    <t>Corsica AC</t>
  </si>
  <si>
    <t>IT_COAC</t>
  </si>
  <si>
    <t>GEO-023</t>
  </si>
  <si>
    <t>Malta</t>
  </si>
  <si>
    <t>MALT</t>
  </si>
  <si>
    <t>MT</t>
  </si>
  <si>
    <t>GEO-024</t>
  </si>
  <si>
    <t>Foreign bidding area</t>
  </si>
  <si>
    <t>FR</t>
  </si>
  <si>
    <t>GEO-025</t>
  </si>
  <si>
    <t>Switzerland</t>
  </si>
  <si>
    <t>CH</t>
  </si>
  <si>
    <t>GEO-026</t>
  </si>
  <si>
    <t>Austria</t>
  </si>
  <si>
    <t>AT</t>
  </si>
  <si>
    <t>GEO-027</t>
  </si>
  <si>
    <t>Slovenia</t>
  </si>
  <si>
    <t>SI</t>
  </si>
  <si>
    <t>GEO-028</t>
  </si>
  <si>
    <t>Montenegro</t>
  </si>
  <si>
    <t>ME</t>
  </si>
  <si>
    <t>GEO-029</t>
  </si>
  <si>
    <t>Greece</t>
  </si>
  <si>
    <t>GR</t>
  </si>
  <si>
    <t>GEO-030</t>
  </si>
  <si>
    <t>Tunisia</t>
  </si>
  <si>
    <t>TN</t>
  </si>
  <si>
    <t>Tunisia — future</t>
  </si>
  <si>
    <t>Generation capacity by zone — Slow / Base / High</t>
  </si>
  <si>
    <t>FER is formula-driven at 0.80 / 1.00 / 1.10. Nuclear remains 0 GW in 2040 and 8 GW in all 2050 headline cases. Dispatchable national controls are separated from absent zonal allocations.</t>
  </si>
  <si>
    <t>Zone</t>
  </si>
  <si>
    <t>Technology</t>
  </si>
  <si>
    <t>2040 Slow GW</t>
  </si>
  <si>
    <t>2040 Base GW</t>
  </si>
  <si>
    <t>2040 High GW</t>
  </si>
  <si>
    <t>2050 Slow GW</t>
  </si>
  <si>
    <t>2050 Base GW</t>
  </si>
  <si>
    <t>2050 High GW</t>
  </si>
  <si>
    <t>Evidence</t>
  </si>
  <si>
    <t>Zonal allocation flag</t>
  </si>
  <si>
    <t>Solar rooftop / distributed</t>
  </si>
  <si>
    <t>v2.7 Base; DDS/PNIEC national controls</t>
  </si>
  <si>
    <t>Direct national / inherited zonal proxy</t>
  </si>
  <si>
    <t>USER DECISION: v2.7 zonal allocation retained</t>
  </si>
  <si>
    <t>Solar utility</t>
  </si>
  <si>
    <t>Wind onshore</t>
  </si>
  <si>
    <t>Wind offshore</t>
  </si>
  <si>
    <t>PNIEC 8 GW; approved 5 NORD / 3 CSUD</t>
  </si>
  <si>
    <t>Direct national + approved project allocation</t>
  </si>
  <si>
    <t>APPROVED</t>
  </si>
  <si>
    <t>NATIONAL</t>
  </si>
  <si>
    <t>FRNP listed total</t>
  </si>
  <si>
    <t>Solar + onshore + offshore</t>
  </si>
  <si>
    <t>Formula</t>
  </si>
  <si>
    <t>QA</t>
  </si>
  <si>
    <t>Nuclear total</t>
  </si>
  <si>
    <t>8 GW 2050</t>
  </si>
  <si>
    <t>Listed total</t>
  </si>
  <si>
    <t>FRNP + nuclear</t>
  </si>
  <si>
    <t>Zonal dispatchable / programmable capacity — evidence status</t>
  </si>
  <si>
    <t>National dispatchable evidence controls</t>
  </si>
  <si>
    <t>Metric</t>
  </si>
  <si>
    <t>Unit</t>
  </si>
  <si>
    <t>2040 Slow</t>
  </si>
  <si>
    <t>2040 Base</t>
  </si>
  <si>
    <t>2040 High</t>
  </si>
  <si>
    <t>2050 Slow</t>
  </si>
  <si>
    <t>2050 Base</t>
  </si>
  <si>
    <t>2050 High</t>
  </si>
  <si>
    <t>Evidence class</t>
  </si>
  <si>
    <t>Source</t>
  </si>
  <si>
    <t>Treatment</t>
  </si>
  <si>
    <t>Aggregate thermoelectric envelope</t>
  </si>
  <si>
    <t>GW</t>
  </si>
  <si>
    <t>Direct approximate</t>
  </si>
  <si>
    <t>DDS 2024 / v2.6</t>
  </si>
  <si>
    <t>Constant across 2040; plant/cohort p_nom reconciliation; no thermal backfill</t>
  </si>
  <si>
    <t>All-programmable adequacy floor</t>
  </si>
  <si>
    <t>Derived approximate minimum</t>
  </si>
  <si>
    <t>Terna 2050 p.66</t>
  </si>
  <si>
    <t>Constant &gt;=30 GW across 2050; not a gas or non-nuclear exact total</t>
  </si>
  <si>
    <t>Non-nuclear programmable generation QA</t>
  </si>
  <si>
    <t>TWh</t>
  </si>
  <si>
    <t>Derived generation</t>
  </si>
  <si>
    <t>Terna 2050 p.52 Table 3</t>
  </si>
  <si>
    <t>Base annual-output control only; capacity absent</t>
  </si>
  <si>
    <t>Natural-gas generation QA</t>
  </si>
  <si>
    <t>Direct generation</t>
  </si>
  <si>
    <t>DDS 2024 p.66 Table 18</t>
  </si>
  <si>
    <t>Base annual-output control only; CCGT/OCGT MW split absent</t>
  </si>
  <si>
    <t>Hydrogen-fired turbine installed capacity</t>
  </si>
  <si>
    <t>Absent</t>
  </si>
  <si>
    <t>Sources reviewed</t>
  </si>
  <si>
    <t>Do not infer MW from hydrogen demand or P2G2P narrative</t>
  </si>
  <si>
    <t>Battery storage by zone — power, energy, duration and efficiency</t>
  </si>
  <si>
    <t>Slow and High multiply both charging power, discharging power and energy by 0.80 / 1.10. Duration and one-way/round-trip efficiencies remain unchanged. MACSE is a subset and is not summed twice.</t>
  </si>
  <si>
    <t>2040 battery portfolio</t>
  </si>
  <si>
    <t>Storage class</t>
  </si>
  <si>
    <t>Slow charge GW</t>
  </si>
  <si>
    <t>Slow discharge GW</t>
  </si>
  <si>
    <t>Slow energy GWh</t>
  </si>
  <si>
    <t>Base charge GW</t>
  </si>
  <si>
    <t>Base discharge GW</t>
  </si>
  <si>
    <t>Base energy GWh</t>
  </si>
  <si>
    <t>High charge GW</t>
  </si>
  <si>
    <t>High discharge GW</t>
  </si>
  <si>
    <t>High energy GWh</t>
  </si>
  <si>
    <t>Duration h</t>
  </si>
  <si>
    <t>Eta charge</t>
  </si>
  <si>
    <t>Eta discharge</t>
  </si>
  <si>
    <t>Round-trip</t>
  </si>
  <si>
    <t>Accounting / source</t>
  </si>
  <si>
    <t>Small-scale 2h</t>
  </si>
  <si>
    <t>Primary input; v2.7/v2.6</t>
  </si>
  <si>
    <t>Small-scale 4h</t>
  </si>
  <si>
    <t>Capacity Market 4h</t>
  </si>
  <si>
    <t>Utility-scale 8h</t>
  </si>
  <si>
    <t>Primary input; includes MACSE subset where allocated</t>
  </si>
  <si>
    <t>TOTAL 2040</t>
  </si>
  <si>
    <t>Formula; MACSE not added separately</t>
  </si>
  <si>
    <t>2050 battery portfolio</t>
  </si>
  <si>
    <t>BESS portfolio</t>
  </si>
  <si>
    <t>v2.7 2050 bridge; national 237.667 GWh</t>
  </si>
  <si>
    <t>TOTAL 2050</t>
  </si>
  <si>
    <t>MACSE subset — DO NOT SUM</t>
  </si>
  <si>
    <t>Subset within 2040 utility-scale portfolio</t>
  </si>
  <si>
    <t>Demand by zone — authoritative frozen 2025 shares</t>
  </si>
  <si>
    <t>The same accepted 2025 share is applied to total, rigid and Power-to-X in both horizons and all six headline scenarios. Slow equals Base; High equals Base x1.10.</t>
  </si>
  <si>
    <t>2040</t>
  </si>
  <si>
    <t>Source label</t>
  </si>
  <si>
    <t>Model zone</t>
  </si>
  <si>
    <t>2025 TWh</t>
  </si>
  <si>
    <t>Frozen share</t>
  </si>
  <si>
    <t>Slow total TWh</t>
  </si>
  <si>
    <t>Slow rigid TWh</t>
  </si>
  <si>
    <t>Slow P2X TWh</t>
  </si>
  <si>
    <t>Base total TWh</t>
  </si>
  <si>
    <t>Base rigid TWh</t>
  </si>
  <si>
    <t>Base P2X TWh</t>
  </si>
  <si>
    <t>High total TWh</t>
  </si>
  <si>
    <t>High rigid TWh</t>
  </si>
  <si>
    <t>High P2X TWh</t>
  </si>
  <si>
    <t>Share provenance</t>
  </si>
  <si>
    <t>User-supplied MEM_2025_ZONAL_DEMAND_FROZEN.csv</t>
  </si>
  <si>
    <t>CNORD</t>
  </si>
  <si>
    <t>TOTAL</t>
  </si>
  <si>
    <t>ITALY</t>
  </si>
  <si>
    <t>2040 rigid load is calculated as 439.0 - 27.5 = 411.5 TWh so every zonal rigid + P2X value reconciles exactly to the 439.0 TWh direct total. The legacy 412 TWh value is retained only as a rounded reference in 02_SCENARIOS.</t>
  </si>
  <si>
    <t>Internal directional network — Slow / Base / High</t>
  </si>
  <si>
    <t>Base is the approved PdS 2040 directional matrix; High equals Base. Slow subtracts only project effects whose original 2040 COD shifts to 2042. Slow 2050 equals Slow 2040.</t>
  </si>
  <si>
    <t>From</t>
  </si>
  <si>
    <t>To</t>
  </si>
  <si>
    <t>Slow 2040 MW</t>
  </si>
  <si>
    <t>Base 2040 MW</t>
  </si>
  <si>
    <t>High 2040 MW</t>
  </si>
  <si>
    <t>Slow 2050 MW</t>
  </si>
  <si>
    <t>Base 2050 MW</t>
  </si>
  <si>
    <t>High 2050 MW</t>
  </si>
  <si>
    <t>Slow delta MW</t>
  </si>
  <si>
    <t>Excluded delayed project(s)</t>
  </si>
  <si>
    <t>Evidence / class</t>
  </si>
  <si>
    <t>Model treatment</t>
  </si>
  <si>
    <t>—</t>
  </si>
  <si>
    <t>S03 Figure 3 + delay register; direct Base / derived Slow</t>
  </si>
  <si>
    <t>Explicit directional PyPSA Link p_nom</t>
  </si>
  <si>
    <t>546-P; 563-P</t>
  </si>
  <si>
    <t>563-P</t>
  </si>
  <si>
    <t>732-P</t>
  </si>
  <si>
    <t>Project-effect trace used by Slow formulas</t>
  </si>
  <si>
    <t>Project ID</t>
  </si>
  <si>
    <t>Project</t>
  </si>
  <si>
    <t>Direction key</t>
  </si>
  <si>
    <t>Increment MW</t>
  </si>
  <si>
    <t>Original COD</t>
  </si>
  <si>
    <t>Slow COD</t>
  </si>
  <si>
    <t>In Base (1/0)</t>
  </si>
  <si>
    <t>In Slow (1/0)</t>
  </si>
  <si>
    <t>Excluded MW</t>
  </si>
  <si>
    <t>302-P</t>
  </si>
  <si>
    <t>Colunga-Calenzano</t>
  </si>
  <si>
    <t>NORD-&gt;CNOR</t>
  </si>
  <si>
    <t>2026</t>
  </si>
  <si>
    <t>2028</t>
  </si>
  <si>
    <t>S03/S05</t>
  </si>
  <si>
    <t>CNOR-&gt;NORD</t>
  </si>
  <si>
    <t>436-P</t>
  </si>
  <si>
    <t>Adriatic Link</t>
  </si>
  <si>
    <t>2029</t>
  </si>
  <si>
    <t>2031</t>
  </si>
  <si>
    <t>447-P</t>
  </si>
  <si>
    <t>Dorsale Adriatica</t>
  </si>
  <si>
    <t>2033/2034</t>
  </si>
  <si>
    <t>2035/2036</t>
  </si>
  <si>
    <t>NORD-&gt;SUD</t>
  </si>
  <si>
    <t>SUD-&gt;NORD</t>
  </si>
  <si>
    <t>432-P</t>
  </si>
  <si>
    <t>Remove CSUD-CNOR limits</t>
  </si>
  <si>
    <t>CNOR-&gt;CSUD</t>
  </si>
  <si>
    <t>CSUD-&gt;CNOR</t>
  </si>
  <si>
    <t>355-P</t>
  </si>
  <si>
    <t>Milano-Montalto</t>
  </si>
  <si>
    <t>356-P</t>
  </si>
  <si>
    <t>Central Link</t>
  </si>
  <si>
    <t>2033</t>
  </si>
  <si>
    <t>361-N</t>
  </si>
  <si>
    <t>West Firenze limitation removal</t>
  </si>
  <si>
    <t>2036</t>
  </si>
  <si>
    <t>2038</t>
  </si>
  <si>
    <t>Still included</t>
  </si>
  <si>
    <t>363-N</t>
  </si>
  <si>
    <t>Lazio-Toscana maximization</t>
  </si>
  <si>
    <t>2027</t>
  </si>
  <si>
    <t>402-P</t>
  </si>
  <si>
    <t>Foggia-Villanova</t>
  </si>
  <si>
    <t>SUD-&gt;CSUD</t>
  </si>
  <si>
    <t>CSUD-&gt;SUD</t>
  </si>
  <si>
    <t>506-P</t>
  </si>
  <si>
    <t>Montecorvino-Benevento</t>
  </si>
  <si>
    <t>2032</t>
  </si>
  <si>
    <t>2034</t>
  </si>
  <si>
    <t>546-P</t>
  </si>
  <si>
    <t>Aliano-Montecorvino</t>
  </si>
  <si>
    <t>2042</t>
  </si>
  <si>
    <t>Crosses cutoff</t>
  </si>
  <si>
    <t>553-P</t>
  </si>
  <si>
    <t>North Benevento</t>
  </si>
  <si>
    <t>2035</t>
  </si>
  <si>
    <t>2037</t>
  </si>
  <si>
    <t>Dorsale Ionica-Tirrenica</t>
  </si>
  <si>
    <t>723/E-P</t>
  </si>
  <si>
    <t>Tyrrhenian East</t>
  </si>
  <si>
    <t>CSUD-&gt;SICI</t>
  </si>
  <si>
    <t>2030</t>
  </si>
  <si>
    <t>SICI-&gt;CSUD</t>
  </si>
  <si>
    <t>509-P</t>
  </si>
  <si>
    <t>North Calabria reconfiguration</t>
  </si>
  <si>
    <t>SUD-&gt;CALA</t>
  </si>
  <si>
    <t>2030 effect; 2028/2036</t>
  </si>
  <si>
    <t>2032 effect; 2030/2038</t>
  </si>
  <si>
    <t>CALA-&gt;SUD</t>
  </si>
  <si>
    <t>Directional</t>
  </si>
  <si>
    <t>555-P</t>
  </si>
  <si>
    <t>Bolano-Annunziata</t>
  </si>
  <si>
    <t>SICI-&gt;CALA</t>
  </si>
  <si>
    <t>Asymmetric</t>
  </si>
  <si>
    <t>CALA-&gt;SICI</t>
  </si>
  <si>
    <t>301-P</t>
  </si>
  <si>
    <t>SA.CO.I.3</t>
  </si>
  <si>
    <t>CNOR-&gt;SARD</t>
  </si>
  <si>
    <t>Embedded through CORS topology</t>
  </si>
  <si>
    <t>SARD-&gt;CNOR</t>
  </si>
  <si>
    <t>Dorsale Sarda</t>
  </si>
  <si>
    <t>SARD-&gt;CSUD</t>
  </si>
  <si>
    <t>CSUD-&gt;SARD</t>
  </si>
  <si>
    <t>723/W-P</t>
  </si>
  <si>
    <t>Tyrrhenian West</t>
  </si>
  <si>
    <t>SARD-&gt;SICI</t>
  </si>
  <si>
    <t>SICI-&gt;SARD</t>
  </si>
  <si>
    <t>NORD-&gt;CSUD</t>
  </si>
  <si>
    <t>CSUD-&gt;NORD</t>
  </si>
  <si>
    <t>Foreign directional exchange capacity — Slow / Base / High</t>
  </si>
  <si>
    <t>The approved DDS 2030 directional exchange totals are the headline floor and remain unchanged. Planned increments are kept separate from endogenous PyPSA-Eur borders and optional manual NTC sensitivities; no double counting.</t>
  </si>
  <si>
    <t>Counterparty</t>
  </si>
  <si>
    <t>Direction</t>
  </si>
  <si>
    <t>FR-&gt;NORD</t>
  </si>
  <si>
    <t>ENDOGENOUS PYPSA-EUR / QA; optional manual NTC only</t>
  </si>
  <si>
    <t>DDS 2024 p.34 Figure 11</t>
  </si>
  <si>
    <t>NORD-&gt;FR</t>
  </si>
  <si>
    <t>CH-&gt;NORD</t>
  </si>
  <si>
    <t>NORD-&gt;CH</t>
  </si>
  <si>
    <t>AT-&gt;NORD</t>
  </si>
  <si>
    <t>NORD-&gt;AT</t>
  </si>
  <si>
    <t>SI-&gt;NORD</t>
  </si>
  <si>
    <t>NORD-&gt;SI</t>
  </si>
  <si>
    <t>ME-&gt;CSUD</t>
  </si>
  <si>
    <t>CSUD-&gt;ME</t>
  </si>
  <si>
    <t>GR-&gt;SUD</t>
  </si>
  <si>
    <t>SUD-&gt;GR</t>
  </si>
  <si>
    <t>TN-&gt;SICI</t>
  </si>
  <si>
    <t>SICI-&gt;TN</t>
  </si>
  <si>
    <t>MT-&gt;SICI</t>
  </si>
  <si>
    <t>SICI-&gt;MT</t>
  </si>
  <si>
    <t>Project increments and embedding / timing treatment</t>
  </si>
  <si>
    <t>Border</t>
  </si>
  <si>
    <t>Base inclusion</t>
  </si>
  <si>
    <t>Slow inclusion</t>
  </si>
  <si>
    <t>Base contribution</t>
  </si>
  <si>
    <t>Slow contribution</t>
  </si>
  <si>
    <t>Embedded?</t>
  </si>
  <si>
    <t>Page</t>
  </si>
  <si>
    <t>Uncertainty</t>
  </si>
  <si>
    <t>167-P</t>
  </si>
  <si>
    <t>Valchiavenna</t>
  </si>
  <si>
    <t>not specified</t>
  </si>
  <si>
    <t>post-2034</t>
  </si>
  <si>
    <t>post-2036</t>
  </si>
  <si>
    <t>No overlay</t>
  </si>
  <si>
    <t>Undetermined</t>
  </si>
  <si>
    <t>No</t>
  </si>
  <si>
    <t>p.17</t>
  </si>
  <si>
    <t>Planning</t>
  </si>
  <si>
    <t>Vague timing/direction</t>
  </si>
  <si>
    <t>Not added</t>
  </si>
  <si>
    <t>208-P</t>
  </si>
  <si>
    <t>Prati di Vizze-Steinach</t>
  </si>
  <si>
    <t>Planned</t>
  </si>
  <si>
    <t>252-P</t>
  </si>
  <si>
    <t>Dobbiaco-Austria</t>
  </si>
  <si>
    <t>204-P</t>
  </si>
  <si>
    <t>Italy-Austria 220 kV</t>
  </si>
  <si>
    <t>200-I</t>
  </si>
  <si>
    <t>Slovenia Phase 1</t>
  </si>
  <si>
    <t>Authorization</t>
  </si>
  <si>
    <t>554-P</t>
  </si>
  <si>
    <t>GRITA 2</t>
  </si>
  <si>
    <t>2033/2035 first; full post-2034</t>
  </si>
  <si>
    <t>2035/2037 first; full post-2036</t>
  </si>
  <si>
    <t>Full timing/direction unresolved</t>
  </si>
  <si>
    <t>601-I</t>
  </si>
  <si>
    <t>ELMED</t>
  </si>
  <si>
    <t>Embedded</t>
  </si>
  <si>
    <t>Yes</t>
  </si>
  <si>
    <t>S03/S05 + DDS</t>
  </si>
  <si>
    <t>p.17 / p.34</t>
  </si>
  <si>
    <t>Authorized</t>
  </si>
  <si>
    <t>Single increment direction absent</t>
  </si>
  <si>
    <t>Do not add again</t>
  </si>
  <si>
    <t>401-S</t>
  </si>
  <si>
    <t>Montenegro second pole</t>
  </si>
  <si>
    <t>No conditional overlay</t>
  </si>
  <si>
    <t>Conditional</t>
  </si>
  <si>
    <t>No COD</t>
  </si>
  <si>
    <t>3-P</t>
  </si>
  <si>
    <t>Piemonte-Savoia</t>
  </si>
  <si>
    <t>2023 commissioned</t>
  </si>
  <si>
    <t>unchanged</t>
  </si>
  <si>
    <t>p.55</t>
  </si>
  <si>
    <t>In service</t>
  </si>
  <si>
    <t>None</t>
  </si>
  <si>
    <t>Foreign Slow/Base/High matrices are therefore identical. This is deliberate: exact 2030 exchange totals are the approved floor, ELMED and Piemonte-Savoia are already embedded, and the remaining increments lack the combination of non-embedded status, directional NTC and cutoff-resolving timing needed for a separate headline addition.</t>
  </si>
  <si>
    <t>Parametri tecnici, costi marginali e availability termoelettrica</t>
  </si>
  <si>
    <t>Unifica parametri tecnologici, fuel/CO₂ e availability che prima erano distribuiti su più fogli.</t>
  </si>
  <si>
    <t>Parametri tecnologici principali</t>
  </si>
  <si>
    <t>Source / note</t>
  </si>
  <si>
    <t>CCGT efficiency</t>
  </si>
  <si>
    <t>p.u.</t>
  </si>
  <si>
    <t>technology-data candidate / CLI pin prevails</t>
  </si>
  <si>
    <t>CCGT VOM</t>
  </si>
  <si>
    <t>EUR/MWh_e</t>
  </si>
  <si>
    <t>technology-data candidate</t>
  </si>
  <si>
    <t>OCGT efficiency</t>
  </si>
  <si>
    <t>OCGT VOM</t>
  </si>
  <si>
    <t>Gas CO₂ intensity</t>
  </si>
  <si>
    <t>tCO₂/MWh_th</t>
  </si>
  <si>
    <t>technology-data</t>
  </si>
  <si>
    <t>Battery one-way efficiency</t>
  </si>
  <si>
    <t>round-trip 90%</t>
  </si>
  <si>
    <t>PHS one-way efficiency</t>
  </si>
  <si>
    <t>round-trip 75%</t>
  </si>
  <si>
    <t>Nuclear efficiency</t>
  </si>
  <si>
    <t>2050 nuclear branch</t>
  </si>
  <si>
    <t>Nuclear VOM</t>
  </si>
  <si>
    <t>Nuclear fuel</t>
  </si>
  <si>
    <t>EUR/MWh_th</t>
  </si>
  <si>
    <t>Fuel + CO₂ + marginal cost</t>
  </si>
  <si>
    <t>Year</t>
  </si>
  <si>
    <t>Gas EUR2025/MWh_th</t>
  </si>
  <si>
    <t>CO₂ EUR2025/t</t>
  </si>
  <si>
    <t>Efficiency</t>
  </si>
  <si>
    <t>VOM</t>
  </si>
  <si>
    <t>Fuel component</t>
  </si>
  <si>
    <t>CO₂ component</t>
  </si>
  <si>
    <t>Final marginal cost</t>
  </si>
  <si>
    <t>S01 / S09 | S01 / S09 | EXT-TD</t>
  </si>
  <si>
    <t>OCGT</t>
  </si>
  <si>
    <t>S33 / S35 / D5-005</t>
  </si>
  <si>
    <t>CO₂ 2050 — overlay di sensitivity</t>
  </si>
  <si>
    <t>Case</t>
  </si>
  <si>
    <t>EUR2025/tCO₂</t>
  </si>
  <si>
    <t>Anchor</t>
  </si>
  <si>
    <t>LOW</t>
  </si>
  <si>
    <t>TYNDP / APS</t>
  </si>
  <si>
    <t>Sensitivity</t>
  </si>
  <si>
    <t>VIIEW EU ETS</t>
  </si>
  <si>
    <t>Base 2050</t>
  </si>
  <si>
    <t>VIIEW partial removals</t>
  </si>
  <si>
    <t>EXTREME</t>
  </si>
  <si>
    <t>VIIEW weak/no removals</t>
  </si>
  <si>
    <t>Stress only</t>
  </si>
  <si>
    <t>Availability termoelettrica per zona</t>
  </si>
  <si>
    <t>Operational derating</t>
  </si>
  <si>
    <t>p_max_pu outside maintenance</t>
  </si>
  <si>
    <t>CCGT planned maintenance</t>
  </si>
  <si>
    <t>OCGT planned maintenance</t>
  </si>
  <si>
    <t>Traditional thermal</t>
  </si>
  <si>
    <t>Rule</t>
  </si>
  <si>
    <t>CCGT 1.353 h</t>
  </si>
  <si>
    <t>OCGT 857 h</t>
  </si>
  <si>
    <t>Traditional 1.344 h</t>
  </si>
  <si>
    <t>No extra forced-outage multiplier</t>
  </si>
  <si>
    <t>Model boundary: filter long-duration unavailable units from p_nom; represent scheduled maintenance separately; apply zonal operational/environmental derating outside maintenance. For an aggregated zonal network, the annual-equivalent factor is a fallback. Do not add a second forced-outage multiplier.</t>
  </si>
  <si>
    <t>Nuclear assumptions — headline cases and secondary availability overlays</t>
  </si>
  <si>
    <t>All three 2050 headline physical scenarios retain the PNIEC 8 GW branch. Nuclear capacity is not multiplied with FER and High does not raise nuclear availability; availability sensitivities remain overlays.</t>
  </si>
  <si>
    <t>NORD GW</t>
  </si>
  <si>
    <t>CSUD GW</t>
  </si>
  <si>
    <t>Availability</t>
  </si>
  <si>
    <t>Annual ceiling TWh</t>
  </si>
  <si>
    <t>PNIEC generation QA TWh</t>
  </si>
  <si>
    <t>Not applicable</t>
  </si>
  <si>
    <t>No nuclear</t>
  </si>
  <si>
    <t>Direct national + approved allocation</t>
  </si>
  <si>
    <t>Fixed 8 GW headline branch</t>
  </si>
  <si>
    <t>Availability overlays — independent of headline physical scenario</t>
  </si>
  <si>
    <t>8 GW ceiling TWh</t>
  </si>
  <si>
    <t>LOW-NORMAL</t>
  </si>
  <si>
    <t>Headline default</t>
  </si>
  <si>
    <t>The PNIEC 64.2 TWh value is a Base annual-generation control. It is not imposed on Slow or High; dispatch is endogenous. The 5 GW NORD / 3 GW CSUD siting is an approved project allocation, not a source-published zonal split.</t>
  </si>
  <si>
    <t>PyPSA-Eur implementation map — v2.8</t>
  </si>
  <si>
    <t>Workbook formulas define scenario inputs; the high-voltage model does not receive invented distribution-flexibility or transmission MW.</t>
  </si>
  <si>
    <t>Component</t>
  </si>
  <si>
    <t>Workbook source</t>
  </si>
  <si>
    <t>PyPSA object</t>
  </si>
  <si>
    <t>Field</t>
  </si>
  <si>
    <t>Base</t>
  </si>
  <si>
    <t>Formula / method</t>
  </si>
  <si>
    <t>User-decision flag</t>
  </si>
  <si>
    <t>Boundary / note</t>
  </si>
  <si>
    <t>Scenario IDs</t>
  </si>
  <si>
    <t>02_SCENARIOS A5:A10</t>
  </si>
  <si>
    <t>Run config</t>
  </si>
  <si>
    <t>scenario</t>
  </si>
  <si>
    <t>Exact IDs</t>
  </si>
  <si>
    <t>Read six rows only</t>
  </si>
  <si>
    <t>Project governance</t>
  </si>
  <si>
    <t>Count=6</t>
  </si>
  <si>
    <t>Benchmarks/overlays loaded separately</t>
  </si>
  <si>
    <t>Annual total demand</t>
  </si>
  <si>
    <t>06_DEMAND_BY_ZONE</t>
  </si>
  <si>
    <t>Load</t>
  </si>
  <si>
    <t>p_set annual target</t>
  </si>
  <si>
    <t>Base x1.10</t>
  </si>
  <si>
    <t>Sum hourly profile then scale to zonal annual target</t>
  </si>
  <si>
    <t>Direct national / fixed user share</t>
  </si>
  <si>
    <t>Zone sum=national</t>
  </si>
  <si>
    <t>Source total includes losses; do not add a second loss load</t>
  </si>
  <si>
    <t>Rigid demand</t>
  </si>
  <si>
    <t>p_set</t>
  </si>
  <si>
    <t>Same frozen share in every zone</t>
  </si>
  <si>
    <t>Reconciled/direct</t>
  </si>
  <si>
    <t>Rigid+P2X=total</t>
  </si>
  <si>
    <t>2040 411.5 is total less direct 27.5 P2X</t>
  </si>
  <si>
    <t>Power-to-X</t>
  </si>
  <si>
    <t>Link/Load</t>
  </si>
  <si>
    <t>p_set / flexible bounds</t>
  </si>
  <si>
    <t>Same frozen share; no separate P2X geography</t>
  </si>
  <si>
    <t>Operational flexibility remains modelled separately from annual allocation</t>
  </si>
  <si>
    <t>Solar rooftop</t>
  </si>
  <si>
    <t>04_GENERATION_BY_ZONE</t>
  </si>
  <si>
    <t>Generator</t>
  </si>
  <si>
    <t>p_nom</t>
  </si>
  <si>
    <t>Base x0.80</t>
  </si>
  <si>
    <t>Formula by zone</t>
  </si>
  <si>
    <t>National reconciliation</t>
  </si>
  <si>
    <t>Distributed proxy retained from v2.7</t>
  </si>
  <si>
    <t>Onshore wind</t>
  </si>
  <si>
    <t>Offshore wind</t>
  </si>
  <si>
    <t>10_NUCLEAR</t>
  </si>
  <si>
    <t>0/8 GW</t>
  </si>
  <si>
    <t>Same</t>
  </si>
  <si>
    <t>5 GW NORD + 3 GW CSUD in 2050</t>
  </si>
  <si>
    <t>Approved</t>
  </si>
  <si>
    <t>2050 sum=8</t>
  </si>
  <si>
    <t>Availability overlays separate</t>
  </si>
  <si>
    <t>Thermal 2040</t>
  </si>
  <si>
    <t>04_GENERATION_BY_ZONE / evidence CSV</t>
  </si>
  <si>
    <t>Generator portfolio</t>
  </si>
  <si>
    <t>sum p_nom</t>
  </si>
  <si>
    <t>55 GW</t>
  </si>
  <si>
    <t>Filter/map eligible plant/cohort records and reconcile to envelope</t>
  </si>
  <si>
    <t>Direct approximate national</t>
  </si>
  <si>
    <t>Project plant mapping</t>
  </si>
  <si>
    <t>sum p_nom=55</t>
  </si>
  <si>
    <t>No published CCGT/OCGT or zonal target split</t>
  </si>
  <si>
    <t>adequacy control</t>
  </si>
  <si>
    <t>&gt;=30 GW</t>
  </si>
  <si>
    <t>Use as approximate all-programmable floor; do not interpret as gas</t>
  </si>
  <si>
    <t>Derived approximate</t>
  </si>
  <si>
    <t>control only</t>
  </si>
  <si>
    <t>22.7 TWh is Base non-nuclear generation QA, not MW</t>
  </si>
  <si>
    <t>Hydrogen turbines</t>
  </si>
  <si>
    <t>Evidence CSV</t>
  </si>
  <si>
    <t>Create only from explicit project/plant data</t>
  </si>
  <si>
    <t>Yes if later added</t>
  </si>
  <si>
    <t>No inferred MW</t>
  </si>
  <si>
    <t>Hydrogen demand/P2G2P narrative is insufficient</t>
  </si>
  <si>
    <t>Battery power</t>
  </si>
  <si>
    <t>05_STORAGE_BY_ZONE</t>
  </si>
  <si>
    <t>StorageUnit/Store+Links</t>
  </si>
  <si>
    <t>p_nom charge/discharge</t>
  </si>
  <si>
    <t>Symmetric charge/discharge in this workbook</t>
  </si>
  <si>
    <t>Direct/derived portfolio</t>
  </si>
  <si>
    <t>Battery energy</t>
  </si>
  <si>
    <t>Store</t>
  </si>
  <si>
    <t>e_nom</t>
  </si>
  <si>
    <t>Formula by class/zone</t>
  </si>
  <si>
    <t>duration unchanged</t>
  </si>
  <si>
    <t>MACSE subset not summed</t>
  </si>
  <si>
    <t>Internal links</t>
  </si>
  <si>
    <t>07_INTERZONAL_BY_ZONE</t>
  </si>
  <si>
    <t>Link</t>
  </si>
  <si>
    <t>p_nom direction</t>
  </si>
  <si>
    <t>PdS 2040</t>
  </si>
  <si>
    <t>Base less delayed late projects</t>
  </si>
  <si>
    <t>Exactly Base</t>
  </si>
  <si>
    <t>Explicit directional links</t>
  </si>
  <si>
    <t>Direct Base / derived Slow</t>
  </si>
  <si>
    <t>High=Base; Slow2050=Slow2040</t>
  </si>
  <si>
    <t>Preserve asymmetry</t>
  </si>
  <si>
    <t>Foreign borders</t>
  </si>
  <si>
    <t>08_FOREIGN_BY_ZONE</t>
  </si>
  <si>
    <t>External PyPSA system / optional Link</t>
  </si>
  <si>
    <t>endogenous or manual NTC</t>
  </si>
  <si>
    <t>2030 floor</t>
  </si>
  <si>
    <t>Do not add planned increment already embedded</t>
  </si>
  <si>
    <t>Direct QA totals</t>
  </si>
  <si>
    <t>Yes for manual NTC</t>
  </si>
  <si>
    <t>All headline matrices equal</t>
  </si>
  <si>
    <t>Endogenous PyPSA-Eur is default</t>
  </si>
  <si>
    <t>High distribution flexibility</t>
  </si>
  <si>
    <t>02_SCENARIOS</t>
  </si>
  <si>
    <t>Outside explicit HV model</t>
  </si>
  <si>
    <t>n/a</t>
  </si>
  <si>
    <t>Implicit</t>
  </si>
  <si>
    <t>Narrative assumption only</t>
  </si>
  <si>
    <t>Assumption / limitation</t>
  </si>
  <si>
    <t>No HV encoding</t>
  </si>
  <si>
    <t>No added link MW</t>
  </si>
  <si>
    <t>TIDE/UVAN/UVAZ, EDGE, RomeFlex, MiNDFlex and local DSO flexibility are contextual support</t>
  </si>
  <si>
    <t>Implementation order: load fixed zonal demand shares -&gt; select scenario row -&gt; apply FER/BESS formulas -&gt; load the scenario-specific directional network -&gt; map plant/cohort dispatchable assets to national controls -&gt; run dispatch and annual QA. Distribution-level High flexibility remains an implicit limitation, not a hidden HV parameter.</t>
  </si>
  <si>
    <t>Availability overlays — independent of headline physical scenario (same as other theraml technologies, availability does not change across scnearios)</t>
  </si>
  <si>
    <t>Italy</t>
  </si>
  <si>
    <t>CCGT non-CHP</t>
  </si>
  <si>
    <t>CCGT CHP</t>
  </si>
  <si>
    <t>Gas turbine non-CHP</t>
  </si>
  <si>
    <t>Gas turbine CHP</t>
  </si>
  <si>
    <r>
      <t>Other thermoelectric conversion techs</t>
    </r>
    <r>
      <rPr>
        <sz val="11"/>
        <rFont val="Carlito"/>
      </rPr>
      <t>*</t>
    </r>
  </si>
  <si>
    <t>Geothermal</t>
  </si>
  <si>
    <r>
      <t>Hydro total</t>
    </r>
    <r>
      <rPr>
        <sz val="11"/>
        <rFont val="Carlito"/>
      </rPr>
      <t xml:space="preserve"> **</t>
    </r>
  </si>
  <si>
    <t>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</si>
</sst>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"/>
    <numFmt numFmtId="167" formatCode="0.000000"/>
    <numFmt numFmtId="168" formatCode="0.0\x"/>
    <numFmt numFmtId="169" formatCode="0.000%"/>
    <numFmt numFmtId="170" formatCode="0.000000%"/>
  </numFmts>
  <fonts count="15">
    <font>
      <sz val="11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i/>
      <sz val="10"/>
      <color rgb="FF17324D"/>
      <name val="Aptos"/>
      <family val="2"/>
    </font>
    <font>
      <b/>
      <sz val="10"/>
      <color rgb="FFFFFFFF"/>
      <name val="Aptos"/>
      <family val="2"/>
    </font>
    <font>
      <sz val="9"/>
      <color rgb="FF1F2933"/>
      <name val="Aptos"/>
      <family val="2"/>
    </font>
    <font>
      <b/>
      <sz val="11"/>
      <color rgb="FF17324D"/>
      <name val="Aptos"/>
      <family val="2"/>
    </font>
    <font>
      <b/>
      <sz val="18"/>
      <color rgb="FFFFFFFF"/>
      <name val="Aptos"/>
      <family val="2"/>
    </font>
    <font>
      <i/>
      <sz val="10"/>
      <color rgb="FF24313A"/>
      <name val="Aptos"/>
      <family val="2"/>
    </font>
    <font>
      <b/>
      <sz val="9"/>
      <color rgb="FFFFFFFF"/>
      <name val="Aptos"/>
      <family val="2"/>
    </font>
    <font>
      <sz val="9"/>
      <color rgb="FF24313A"/>
      <name val="Aptos"/>
      <family val="2"/>
    </font>
    <font>
      <b/>
      <sz val="9"/>
      <color rgb="FF0F5C5E"/>
      <name val="Aptos"/>
      <family val="2"/>
    </font>
    <font>
      <b/>
      <sz val="11"/>
      <color rgb="FFFFFFFF"/>
      <name val="Aptos"/>
      <family val="2"/>
    </font>
    <font>
      <sz val="8"/>
      <color rgb="FF1F2933"/>
      <name val="Aptos"/>
      <family val="2"/>
    </font>
    <font>
      <b/>
      <sz val="11"/>
      <color rgb="FF163A5F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CEEF8"/>
      </patternFill>
    </fill>
    <fill>
      <patternFill patternType="solid">
        <fgColor rgb="FF1F6FA8"/>
      </patternFill>
    </fill>
    <fill>
      <patternFill patternType="solid">
        <fgColor rgb="FFFFF0CC"/>
      </patternFill>
    </fill>
    <fill>
      <patternFill patternType="solid">
        <fgColor rgb="FFEEF6FB"/>
      </patternFill>
    </fill>
    <fill>
      <patternFill patternType="solid">
        <fgColor rgb="FF17324D"/>
      </patternFill>
    </fill>
    <fill>
      <patternFill patternType="solid">
        <fgColor rgb="FFDDEEEE"/>
      </patternFill>
    </fill>
    <fill>
      <patternFill patternType="solid">
        <fgColor rgb="FF0F5C5E"/>
      </patternFill>
    </fill>
    <fill>
      <patternFill patternType="solid">
        <fgColor rgb="FFFFF1D6"/>
      </patternFill>
    </fill>
    <fill>
      <patternFill patternType="solid">
        <fgColor rgb="FFE7EFF8"/>
      </patternFill>
    </fill>
    <fill>
      <patternFill patternType="solid">
        <fgColor rgb="FFE6F3E7"/>
      </patternFill>
    </fill>
    <fill>
      <patternFill patternType="solid">
        <fgColor rgb="FFD97706"/>
      </patternFill>
    </fill>
    <fill>
      <patternFill patternType="solid">
        <fgColor rgb="FFEEF1F4"/>
      </patternFill>
    </fill>
  </fills>
  <borders count="3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  <border>
      <left/>
      <right/>
      <top/>
      <bottom style="thin">
        <color rgb="FFC9D2DA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2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2" fontId="5" fillId="10" borderId="1" xfId="0" applyNumberFormat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2" fontId="5" fillId="11" borderId="1" xfId="0" applyNumberFormat="1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2" fontId="5" fillId="12" borderId="1" xfId="0" applyNumberFormat="1" applyFont="1" applyFill="1" applyBorder="1" applyAlignment="1">
      <alignment vertical="top" wrapText="1"/>
    </xf>
    <xf numFmtId="168" fontId="5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2" fillId="0" borderId="0" xfId="0" applyNumberFormat="1" applyFont="1"/>
    <xf numFmtId="0" fontId="5" fillId="14" borderId="1" xfId="0" applyFont="1" applyFill="1" applyBorder="1" applyAlignment="1">
      <alignment vertical="top" wrapText="1"/>
    </xf>
    <xf numFmtId="164" fontId="5" fillId="14" borderId="1" xfId="0" applyNumberFormat="1" applyFont="1" applyFill="1" applyBorder="1" applyAlignment="1">
      <alignment vertical="top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vertical="top" wrapText="1"/>
    </xf>
    <xf numFmtId="169" fontId="5" fillId="14" borderId="1" xfId="0" applyNumberFormat="1" applyFont="1" applyFill="1" applyBorder="1" applyAlignment="1">
      <alignment vertical="top" wrapText="1"/>
    </xf>
    <xf numFmtId="169" fontId="2" fillId="0" borderId="0" xfId="0" applyNumberFormat="1" applyFont="1"/>
    <xf numFmtId="169" fontId="4" fillId="9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vertical="top" wrapText="1"/>
    </xf>
    <xf numFmtId="169" fontId="5" fillId="10" borderId="1" xfId="0" applyNumberFormat="1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70" fontId="5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165" fontId="5" fillId="14" borderId="1" xfId="0" applyNumberFormat="1" applyFont="1" applyFill="1" applyBorder="1" applyAlignment="1">
      <alignment vertical="top" wrapText="1"/>
    </xf>
    <xf numFmtId="170" fontId="5" fillId="14" borderId="1" xfId="0" applyNumberFormat="1" applyFont="1" applyFill="1" applyBorder="1" applyAlignment="1">
      <alignment vertical="top" wrapText="1"/>
    </xf>
    <xf numFmtId="167" fontId="5" fillId="14" borderId="1" xfId="0" applyNumberFormat="1" applyFont="1" applyFill="1" applyBorder="1" applyAlignment="1">
      <alignment vertical="top" wrapText="1"/>
    </xf>
    <xf numFmtId="165" fontId="2" fillId="0" borderId="0" xfId="0" applyNumberFormat="1" applyFont="1"/>
    <xf numFmtId="170" fontId="2" fillId="0" borderId="0" xfId="0" applyNumberFormat="1" applyFont="1"/>
    <xf numFmtId="167" fontId="2" fillId="0" borderId="0" xfId="0" applyNumberFormat="1" applyFont="1"/>
    <xf numFmtId="165" fontId="4" fillId="9" borderId="1" xfId="0" applyNumberFormat="1" applyFont="1" applyFill="1" applyBorder="1" applyAlignment="1">
      <alignment horizontal="center" vertical="center" wrapText="1"/>
    </xf>
    <xf numFmtId="170" fontId="4" fillId="9" borderId="1" xfId="0" applyNumberFormat="1" applyFont="1" applyFill="1" applyBorder="1" applyAlignment="1">
      <alignment horizontal="center" vertical="center" wrapText="1"/>
    </xf>
    <xf numFmtId="167" fontId="4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vertical="top" wrapText="1"/>
    </xf>
    <xf numFmtId="1" fontId="2" fillId="0" borderId="0" xfId="0" applyNumberFormat="1" applyFont="1"/>
    <xf numFmtId="1" fontId="4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" fontId="13" fillId="0" borderId="1" xfId="0" applyNumberFormat="1" applyFont="1" applyBorder="1" applyAlignment="1">
      <alignment vertical="top" wrapText="1"/>
    </xf>
    <xf numFmtId="0" fontId="14" fillId="6" borderId="0" xfId="0" applyFont="1" applyFill="1" applyAlignment="1">
      <alignment vertical="center"/>
    </xf>
    <xf numFmtId="166" fontId="10" fillId="0" borderId="0" xfId="0" applyNumberFormat="1" applyFont="1" applyAlignment="1">
      <alignment vertical="top" wrapText="1"/>
    </xf>
    <xf numFmtId="164" fontId="10" fillId="0" borderId="0" xfId="0" applyNumberFormat="1" applyFont="1" applyAlignment="1">
      <alignment vertical="top" wrapText="1"/>
    </xf>
    <xf numFmtId="2" fontId="10" fillId="0" borderId="0" xfId="0" applyNumberFormat="1" applyFont="1" applyAlignment="1">
      <alignment vertical="top" wrapText="1"/>
    </xf>
    <xf numFmtId="1" fontId="10" fillId="0" borderId="0" xfId="0" applyNumberFormat="1" applyFont="1" applyAlignment="1">
      <alignment vertical="top" wrapText="1"/>
    </xf>
    <xf numFmtId="10" fontId="10" fillId="0" borderId="0" xfId="0" applyNumberFormat="1" applyFont="1" applyAlignment="1">
      <alignment vertical="top" wrapText="1"/>
    </xf>
    <xf numFmtId="0" fontId="10" fillId="5" borderId="0" xfId="0" applyFont="1" applyFill="1" applyAlignment="1">
      <alignment vertical="center" wrapText="1"/>
    </xf>
    <xf numFmtId="10" fontId="5" fillId="0" borderId="1" xfId="0" applyNumberFormat="1" applyFont="1" applyBorder="1" applyAlignment="1">
      <alignment vertical="top" wrapText="1"/>
    </xf>
    <xf numFmtId="10" fontId="2" fillId="0" borderId="0" xfId="0" applyNumberFormat="1" applyFont="1"/>
    <xf numFmtId="0" fontId="1" fillId="7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12" fillId="13" borderId="0" xfId="0" applyFont="1" applyFill="1" applyAlignment="1">
      <alignment vertical="center"/>
    </xf>
    <xf numFmtId="164" fontId="12" fillId="13" borderId="0" xfId="0" applyNumberFormat="1" applyFont="1" applyFill="1" applyAlignment="1">
      <alignment vertical="center"/>
    </xf>
    <xf numFmtId="169" fontId="12" fillId="13" borderId="0" xfId="0" applyNumberFormat="1" applyFont="1" applyFill="1" applyAlignment="1">
      <alignment vertical="center"/>
    </xf>
    <xf numFmtId="165" fontId="12" fillId="13" borderId="0" xfId="0" applyNumberFormat="1" applyFont="1" applyFill="1" applyAlignment="1">
      <alignment vertical="center"/>
    </xf>
    <xf numFmtId="170" fontId="12" fillId="13" borderId="0" xfId="0" applyNumberFormat="1" applyFont="1" applyFill="1" applyAlignment="1">
      <alignment vertical="center"/>
    </xf>
    <xf numFmtId="167" fontId="12" fillId="13" borderId="0" xfId="0" applyNumberFormat="1" applyFont="1" applyFill="1" applyAlignment="1">
      <alignment vertical="center"/>
    </xf>
    <xf numFmtId="1" fontId="12" fillId="13" borderId="0" xfId="0" applyNumberFormat="1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0" fillId="5" borderId="0" xfId="0" applyFont="1" applyFill="1" applyAlignment="1">
      <alignment vertical="center" wrapText="1"/>
    </xf>
    <xf numFmtId="10" fontId="12" fillId="13" borderId="0" xfId="0" applyNumberFormat="1" applyFont="1" applyFill="1" applyAlignment="1">
      <alignment vertical="center"/>
    </xf>
    <xf numFmtId="0" fontId="12" fillId="13" borderId="2" xfId="0" applyFont="1" applyFill="1" applyBorder="1" applyAlignment="1">
      <alignment vertical="center"/>
    </xf>
  </cellXfs>
  <cellStyles count="1">
    <cellStyle name="Normal" xfId="0" builtinId="0"/>
  </cellStyles>
  <dxfs count="69">
    <dxf>
      <font>
        <b/>
        <color rgb="FFB42318"/>
      </font>
      <fill>
        <patternFill patternType="solid">
          <bgColor rgb="FFFDE7E5"/>
        </patternFill>
      </fill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V27" displayName="TblSourcesV27" ref="A4:P41" totalsRowShown="0" headerRowDxfId="68" dataDxfId="67">
  <tableColumns count="16">
    <tableColumn id="1" xr3:uid="{00000000-0010-0000-0000-000001000000}" name="Source ID" dataDxfId="66"/>
    <tableColumn id="2" xr3:uid="{00000000-0010-0000-0000-000002000000}" name="Documento" dataDxfId="65"/>
    <tableColumn id="3" xr3:uid="{00000000-0010-0000-0000-000003000000}" name="Autore" dataDxfId="64"/>
    <tableColumn id="4" xr3:uid="{00000000-0010-0000-0000-000004000000}" name="Anno" dataDxfId="63"/>
    <tableColumn id="5" xr3:uid="{00000000-0010-0000-0000-000005000000}" name="Tipo" dataDxfId="62"/>
    <tableColumn id="6" xr3:uid="{00000000-0010-0000-0000-000006000000}" name="Versione/data" dataDxfId="61"/>
    <tableColumn id="7" xr3:uid="{00000000-0010-0000-0000-000007000000}" name="Ruolo principale" dataDxfId="60"/>
    <tableColumn id="8" xr3:uid="{00000000-0010-0000-0000-000008000000}" name="Scenari" dataDxfId="59"/>
    <tableColumn id="9" xr3:uid="{00000000-0010-0000-0000-000009000000}" name="Anni coperti" dataDxfId="58"/>
    <tableColumn id="10" xr3:uid="{00000000-0010-0000-0000-00000A000000}" name="Geografia" dataDxfId="57"/>
    <tableColumn id="11" xr3:uid="{00000000-0010-0000-0000-00000B000000}" name="Tecnologie" dataDxfId="56"/>
    <tableColumn id="12" xr3:uid="{00000000-0010-0000-0000-00000C000000}" name="Contenuto quantitativo" dataDxfId="55"/>
    <tableColumn id="13" xr3:uid="{00000000-0010-0000-0000-00000D000000}" name="Stato revisione" dataDxfId="54"/>
    <tableColumn id="14" xr3:uid="{00000000-0010-0000-0000-00000E000000}" name="Uso finale" dataDxfId="53"/>
    <tableColumn id="15" xr3:uid="{00000000-0010-0000-0000-00000F000000}" name="File / URL" dataDxfId="52"/>
    <tableColumn id="16" xr3:uid="{00000000-0010-0000-0000-000010000000}" name="Note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ZoneMapV27" displayName="TblZoneMapV27" ref="A4:N34" totalsRowShown="0" headerRowDxfId="50" dataDxfId="49">
  <tableColumns count="14">
    <tableColumn id="1" xr3:uid="{00000000-0010-0000-0100-000001000000}" name="Record ID" dataDxfId="48"/>
    <tableColumn id="2" xr3:uid="{00000000-0010-0000-0100-000002000000}" name="Tipo record" dataDxfId="47"/>
    <tableColumn id="3" xr3:uid="{00000000-0010-0000-0100-000003000000}" name="Regione/area" dataDxfId="46"/>
    <tableColumn id="4" xr3:uid="{00000000-0010-0000-0100-000004000000}" name="Tipo unità" dataDxfId="45"/>
    <tableColumn id="5" xr3:uid="{00000000-0010-0000-0100-000005000000}" name="Codice zona" dataDxfId="44"/>
    <tableColumn id="6" xr3:uid="{00000000-0010-0000-0100-000006000000}" name="Zona" dataDxfId="43"/>
    <tableColumn id="7" xr3:uid="{00000000-0010-0000-0100-000007000000}" name="Bus PyPSA" dataDxfId="42"/>
    <tableColumn id="8" xr3:uid="{00000000-0010-0000-0100-000008000000}" name="Validità" dataDxfId="41"/>
    <tableColumn id="9" xr3:uid="{00000000-0010-0000-0100-000009000000}" name="Status" dataDxfId="40"/>
    <tableColumn id="10" xr3:uid="{00000000-0010-0000-0100-00000A000000}" name="Affidabilità" dataDxfId="39"/>
    <tableColumn id="11" xr3:uid="{00000000-0010-0000-0100-00000B000000}" name="Regola assegnazione" dataDxfId="38"/>
    <tableColumn id="12" xr3:uid="{00000000-0010-0000-0100-00000C000000}" name="Fonte" dataDxfId="37"/>
    <tableColumn id="13" xr3:uid="{00000000-0010-0000-0100-00000D000000}" name="URL fonte" dataDxfId="36"/>
    <tableColumn id="14" xr3:uid="{00000000-0010-0000-0100-00000E000000}" name="Note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TechCoreV27" displayName="TblTechCoreV27" ref="A5:E15" totalsRowShown="0" headerRowDxfId="34" dataDxfId="33">
  <tableColumns count="5">
    <tableColumn id="1" xr3:uid="{00000000-0010-0000-0200-000001000000}" name="Parameter" dataDxfId="32"/>
    <tableColumn id="2" xr3:uid="{00000000-0010-0000-0200-000002000000}" name="2040 Base" dataDxfId="31"/>
    <tableColumn id="3" xr3:uid="{00000000-0010-0000-0200-000003000000}" name="2050 Base" dataDxfId="30"/>
    <tableColumn id="4" xr3:uid="{00000000-0010-0000-0200-000004000000}" name="Unit" dataDxfId="29"/>
    <tableColumn id="5" xr3:uid="{00000000-0010-0000-0200-000005000000}" name="Source / note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FuelCostsV27" displayName="TblFuelCostsV27" ref="A19:J23" totalsRowShown="0" headerRowDxfId="27" dataDxfId="26">
  <tableColumns count="10">
    <tableColumn id="1" xr3:uid="{00000000-0010-0000-0300-000001000000}" name="Year" dataDxfId="25"/>
    <tableColumn id="2" xr3:uid="{00000000-0010-0000-0300-000002000000}" name="Technology" dataDxfId="24"/>
    <tableColumn id="3" xr3:uid="{00000000-0010-0000-0300-000003000000}" name="Gas EUR2025/MWh_th" dataDxfId="23"/>
    <tableColumn id="4" xr3:uid="{00000000-0010-0000-0300-000004000000}" name="CO₂ EUR2025/t" dataDxfId="22"/>
    <tableColumn id="5" xr3:uid="{00000000-0010-0000-0300-000005000000}" name="Efficiency" dataDxfId="21"/>
    <tableColumn id="6" xr3:uid="{00000000-0010-0000-0300-000006000000}" name="VOM" dataDxfId="20"/>
    <tableColumn id="7" xr3:uid="{00000000-0010-0000-0300-000007000000}" name="Fuel component" dataDxfId="19"/>
    <tableColumn id="8" xr3:uid="{00000000-0010-0000-0300-000008000000}" name="CO₂ component" dataDxfId="18"/>
    <tableColumn id="9" xr3:uid="{00000000-0010-0000-0300-000009000000}" name="Final marginal cost" dataDxfId="17"/>
    <tableColumn id="10" xr3:uid="{00000000-0010-0000-0300-00000A000000}" name="Sourc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blCO2CasesV27" displayName="TblCO2CasesV27" ref="A28:D32" totalsRowShown="0" headerRowDxfId="15" dataDxfId="14">
  <tableColumns count="4">
    <tableColumn id="1" xr3:uid="{00000000-0010-0000-0400-000001000000}" name="Case" dataDxfId="13"/>
    <tableColumn id="2" xr3:uid="{00000000-0010-0000-0400-000002000000}" name="EUR2025/tCO₂" dataDxfId="12"/>
    <tableColumn id="3" xr3:uid="{00000000-0010-0000-0400-000003000000}" name="Anchor" dataDxfId="11"/>
    <tableColumn id="4" xr3:uid="{00000000-0010-0000-0400-000004000000}" name="Use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blThermalAvailV27" displayName="TblThermalAvailV27" ref="A36:G43" totalsRowShown="0" headerRowDxfId="9" dataDxfId="8">
  <tableColumns count="7">
    <tableColumn id="1" xr3:uid="{00000000-0010-0000-0500-000001000000}" name="Zone" dataDxfId="7"/>
    <tableColumn id="2" xr3:uid="{00000000-0010-0000-0500-000002000000}" name="Operational derating" dataDxfId="6"/>
    <tableColumn id="3" xr3:uid="{00000000-0010-0000-0500-000003000000}" name="p_max_pu outside maintenance" dataDxfId="5"/>
    <tableColumn id="4" xr3:uid="{00000000-0010-0000-0500-000004000000}" name="CCGT planned maintenance" dataDxfId="4"/>
    <tableColumn id="5" xr3:uid="{00000000-0010-0000-0500-000005000000}" name="OCGT planned maintenance" dataDxfId="3"/>
    <tableColumn id="6" xr3:uid="{00000000-0010-0000-0500-000006000000}" name="Traditional thermal" dataDxfId="2"/>
    <tableColumn id="7" xr3:uid="{00000000-0010-0000-0500-000007000000}" name="Ru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sqref="A1:XFD1048576"/>
    </sheetView>
  </sheetViews>
  <sheetFormatPr defaultRowHeight="14.4"/>
  <cols>
    <col min="1" max="1" width="23" style="1" customWidth="1"/>
    <col min="2" max="2" width="62" style="1" customWidth="1"/>
    <col min="3" max="3" width="64" style="1" customWidth="1"/>
    <col min="4" max="10" width="4" style="1" customWidth="1"/>
    <col min="11" max="16384" width="8.796875" style="1"/>
  </cols>
  <sheetData>
    <row r="1" spans="1:10" ht="19.2" customHeight="1">
      <c r="A1" s="54" t="s">
        <v>0</v>
      </c>
      <c r="B1" s="54" t="s">
        <v>0</v>
      </c>
      <c r="C1" s="54" t="s">
        <v>0</v>
      </c>
      <c r="D1" s="54" t="s">
        <v>0</v>
      </c>
      <c r="E1" s="54" t="s">
        <v>0</v>
      </c>
      <c r="F1" s="54" t="s">
        <v>0</v>
      </c>
      <c r="G1" s="54" t="s">
        <v>0</v>
      </c>
      <c r="H1" s="54" t="s">
        <v>0</v>
      </c>
      <c r="I1" s="54" t="s">
        <v>0</v>
      </c>
      <c r="J1" s="54" t="s">
        <v>0</v>
      </c>
    </row>
    <row r="2" spans="1:10" ht="15" customHeight="1">
      <c r="A2" s="55" t="s">
        <v>1</v>
      </c>
      <c r="B2" s="55" t="s">
        <v>1</v>
      </c>
      <c r="C2" s="55" t="s">
        <v>1</v>
      </c>
      <c r="D2" s="55" t="s">
        <v>1</v>
      </c>
      <c r="E2" s="55" t="s">
        <v>1</v>
      </c>
      <c r="F2" s="55" t="s">
        <v>1</v>
      </c>
      <c r="G2" s="55" t="s">
        <v>1</v>
      </c>
      <c r="H2" s="55" t="s">
        <v>1</v>
      </c>
      <c r="I2" s="55" t="s">
        <v>1</v>
      </c>
      <c r="J2" s="55" t="s">
        <v>1</v>
      </c>
    </row>
    <row r="4" spans="1:10" ht="15" customHeight="1">
      <c r="A4" s="2" t="s">
        <v>2</v>
      </c>
      <c r="B4" s="2" t="s">
        <v>3</v>
      </c>
      <c r="C4" s="2" t="s">
        <v>4</v>
      </c>
    </row>
    <row r="5" spans="1:10" ht="15" customHeight="1">
      <c r="A5" s="3" t="s">
        <v>5</v>
      </c>
      <c r="B5" s="3" t="s">
        <v>6</v>
      </c>
      <c r="C5" s="3" t="s">
        <v>7</v>
      </c>
    </row>
    <row r="6" spans="1:10" ht="15" customHeight="1">
      <c r="A6" s="3" t="s">
        <v>8</v>
      </c>
      <c r="B6" s="3" t="s">
        <v>9</v>
      </c>
      <c r="C6" s="3" t="s">
        <v>10</v>
      </c>
    </row>
    <row r="7" spans="1:10" ht="15" customHeight="1">
      <c r="A7" s="3" t="s">
        <v>11</v>
      </c>
      <c r="B7" s="3" t="s">
        <v>12</v>
      </c>
      <c r="C7" s="3" t="s">
        <v>13</v>
      </c>
    </row>
    <row r="8" spans="1:10" ht="21.6" customHeight="1">
      <c r="A8" s="3" t="s">
        <v>14</v>
      </c>
      <c r="B8" s="3" t="s">
        <v>15</v>
      </c>
      <c r="C8" s="3" t="s">
        <v>16</v>
      </c>
    </row>
    <row r="9" spans="1:10" ht="21.6" customHeight="1">
      <c r="A9" s="3" t="s">
        <v>17</v>
      </c>
      <c r="B9" s="3" t="s">
        <v>18</v>
      </c>
      <c r="C9" s="3" t="s">
        <v>19</v>
      </c>
    </row>
    <row r="10" spans="1:10" ht="15" customHeight="1">
      <c r="A10" s="3" t="s">
        <v>20</v>
      </c>
      <c r="B10" s="3" t="s">
        <v>21</v>
      </c>
      <c r="C10" s="3" t="s">
        <v>22</v>
      </c>
    </row>
    <row r="11" spans="1:10" ht="21.6" customHeight="1">
      <c r="A11" s="3" t="s">
        <v>23</v>
      </c>
      <c r="B11" s="3" t="s">
        <v>24</v>
      </c>
      <c r="C11" s="3" t="s">
        <v>25</v>
      </c>
    </row>
    <row r="12" spans="1:10" ht="15" customHeight="1">
      <c r="A12" s="3" t="s">
        <v>26</v>
      </c>
      <c r="B12" s="3" t="s">
        <v>27</v>
      </c>
      <c r="C12" s="3" t="s">
        <v>28</v>
      </c>
    </row>
    <row r="13" spans="1:10" ht="15" customHeight="1">
      <c r="A13" s="3" t="s">
        <v>29</v>
      </c>
      <c r="B13" s="3" t="s">
        <v>30</v>
      </c>
      <c r="C13" s="3" t="s">
        <v>31</v>
      </c>
    </row>
    <row r="14" spans="1:10" ht="15" customHeight="1">
      <c r="A14" s="3" t="s">
        <v>32</v>
      </c>
      <c r="B14" s="3" t="s">
        <v>33</v>
      </c>
      <c r="C14" s="3" t="s">
        <v>34</v>
      </c>
    </row>
    <row r="15" spans="1:10" ht="15" customHeight="1"/>
    <row r="16" spans="1:10" ht="15" customHeight="1">
      <c r="A16" s="56" t="s">
        <v>35</v>
      </c>
      <c r="B16" s="56" t="s">
        <v>35</v>
      </c>
      <c r="C16" s="56" t="s">
        <v>35</v>
      </c>
      <c r="D16" s="56" t="s">
        <v>35</v>
      </c>
      <c r="E16" s="56" t="s">
        <v>35</v>
      </c>
      <c r="F16" s="56" t="s">
        <v>35</v>
      </c>
      <c r="G16" s="56" t="s">
        <v>35</v>
      </c>
      <c r="H16" s="56" t="s">
        <v>35</v>
      </c>
      <c r="I16" s="56" t="s">
        <v>35</v>
      </c>
      <c r="J16" s="56" t="s">
        <v>35</v>
      </c>
    </row>
    <row r="17" ht="15" customHeight="1"/>
    <row r="18" ht="15" customHeight="1"/>
    <row r="19" ht="15" customHeight="1"/>
  </sheetData>
  <mergeCells count="3">
    <mergeCell ref="A1:J1"/>
    <mergeCell ref="A2:J2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workbookViewId="0">
      <selection sqref="A1:XFD1048576"/>
    </sheetView>
  </sheetViews>
  <sheetFormatPr defaultRowHeight="14.4"/>
  <cols>
    <col min="1" max="1" width="10" style="1" customWidth="1"/>
    <col min="2" max="2" width="30" style="1" customWidth="1"/>
    <col min="3" max="3" width="24" style="1" customWidth="1"/>
    <col min="4" max="4" width="10" style="1" customWidth="1"/>
    <col min="5" max="5" width="22" style="1" customWidth="1"/>
    <col min="6" max="6" width="20" style="1" customWidth="1"/>
    <col min="7" max="7" width="32" style="1" customWidth="1"/>
    <col min="8" max="8" width="18" style="1" customWidth="1"/>
    <col min="9" max="9" width="16" style="1" customWidth="1"/>
    <col min="10" max="11" width="18" style="1" customWidth="1"/>
    <col min="12" max="12" width="34" style="1" customWidth="1"/>
    <col min="13" max="14" width="14" style="1" customWidth="1"/>
    <col min="15" max="15" width="58" style="1" customWidth="1"/>
    <col min="16" max="16" width="42" style="1" customWidth="1"/>
    <col min="17" max="16384" width="8.796875" style="1"/>
  </cols>
  <sheetData>
    <row r="1" spans="1:16" ht="17.25" customHeight="1">
      <c r="A1" s="57" t="s">
        <v>36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2" customHeight="1">
      <c r="A2" s="58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4" spans="1:16" ht="12" customHeight="1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53</v>
      </c>
    </row>
    <row r="5" spans="1:16" ht="43.2" customHeight="1">
      <c r="A5" s="7" t="s">
        <v>54</v>
      </c>
      <c r="B5" s="7" t="s">
        <v>55</v>
      </c>
      <c r="C5" s="7" t="s">
        <v>56</v>
      </c>
      <c r="D5" s="7">
        <v>2025</v>
      </c>
      <c r="E5" s="7" t="s">
        <v>57</v>
      </c>
      <c r="F5" s="7" t="s">
        <v>58</v>
      </c>
      <c r="G5" s="7" t="s">
        <v>59</v>
      </c>
      <c r="H5" s="7" t="s">
        <v>60</v>
      </c>
      <c r="I5" s="7" t="s">
        <v>61</v>
      </c>
      <c r="J5" s="7" t="s">
        <v>62</v>
      </c>
      <c r="K5" s="7" t="s">
        <v>63</v>
      </c>
      <c r="L5" s="7" t="s">
        <v>64</v>
      </c>
      <c r="M5" s="7" t="s">
        <v>65</v>
      </c>
      <c r="N5" s="7" t="s">
        <v>66</v>
      </c>
      <c r="O5" s="7" t="s">
        <v>67</v>
      </c>
      <c r="P5" s="7" t="s">
        <v>68</v>
      </c>
    </row>
    <row r="6" spans="1:16" ht="25.95" customHeight="1">
      <c r="A6" s="7" t="s">
        <v>69</v>
      </c>
      <c r="B6" s="7" t="s">
        <v>70</v>
      </c>
      <c r="C6" s="7" t="s">
        <v>56</v>
      </c>
      <c r="D6" s="7">
        <v>2025</v>
      </c>
      <c r="E6" s="7" t="s">
        <v>71</v>
      </c>
      <c r="F6" s="7" t="s">
        <v>58</v>
      </c>
      <c r="G6" s="7" t="s">
        <v>72</v>
      </c>
      <c r="H6" s="7" t="s">
        <v>73</v>
      </c>
      <c r="I6" s="7" t="s">
        <v>74</v>
      </c>
      <c r="J6" s="7" t="s">
        <v>75</v>
      </c>
      <c r="K6" s="7" t="s">
        <v>76</v>
      </c>
      <c r="L6" s="7" t="s">
        <v>77</v>
      </c>
      <c r="M6" s="7" t="s">
        <v>65</v>
      </c>
      <c r="N6" s="7" t="s">
        <v>78</v>
      </c>
      <c r="O6" s="7" t="s">
        <v>79</v>
      </c>
      <c r="P6" s="7" t="s">
        <v>80</v>
      </c>
    </row>
    <row r="7" spans="1:16" ht="34.5" customHeight="1">
      <c r="A7" s="7" t="s">
        <v>81</v>
      </c>
      <c r="B7" s="7" t="s">
        <v>82</v>
      </c>
      <c r="C7" s="7" t="s">
        <v>56</v>
      </c>
      <c r="D7" s="7">
        <v>2025</v>
      </c>
      <c r="E7" s="7" t="s">
        <v>57</v>
      </c>
      <c r="F7" s="7" t="s">
        <v>58</v>
      </c>
      <c r="G7" s="7" t="s">
        <v>83</v>
      </c>
      <c r="H7" s="7" t="s">
        <v>84</v>
      </c>
      <c r="I7" s="7" t="s">
        <v>85</v>
      </c>
      <c r="J7" s="7" t="s">
        <v>86</v>
      </c>
      <c r="K7" s="7" t="s">
        <v>87</v>
      </c>
      <c r="L7" s="7" t="s">
        <v>88</v>
      </c>
      <c r="M7" s="7" t="s">
        <v>65</v>
      </c>
      <c r="N7" s="7" t="s">
        <v>66</v>
      </c>
      <c r="O7" s="7" t="s">
        <v>89</v>
      </c>
      <c r="P7" s="7" t="s">
        <v>90</v>
      </c>
    </row>
    <row r="8" spans="1:16" ht="43.2" customHeight="1">
      <c r="A8" s="7" t="s">
        <v>91</v>
      </c>
      <c r="B8" s="7" t="s">
        <v>92</v>
      </c>
      <c r="C8" s="7" t="s">
        <v>56</v>
      </c>
      <c r="D8" s="7">
        <v>2025</v>
      </c>
      <c r="E8" s="7" t="s">
        <v>57</v>
      </c>
      <c r="F8" s="7" t="s">
        <v>58</v>
      </c>
      <c r="G8" s="7" t="s">
        <v>93</v>
      </c>
      <c r="H8" s="7" t="s">
        <v>94</v>
      </c>
      <c r="I8" s="7" t="s">
        <v>95</v>
      </c>
      <c r="J8" s="7" t="s">
        <v>96</v>
      </c>
      <c r="K8" s="7" t="s">
        <v>97</v>
      </c>
      <c r="L8" s="7" t="s">
        <v>98</v>
      </c>
      <c r="M8" s="7" t="s">
        <v>65</v>
      </c>
      <c r="N8" s="7" t="s">
        <v>78</v>
      </c>
      <c r="O8" s="7" t="s">
        <v>99</v>
      </c>
      <c r="P8" s="7" t="s">
        <v>100</v>
      </c>
    </row>
    <row r="9" spans="1:16" ht="34.5" customHeight="1">
      <c r="A9" s="7" t="s">
        <v>101</v>
      </c>
      <c r="B9" s="7" t="s">
        <v>102</v>
      </c>
      <c r="C9" s="7" t="s">
        <v>56</v>
      </c>
      <c r="D9" s="7">
        <v>2025</v>
      </c>
      <c r="E9" s="7" t="s">
        <v>103</v>
      </c>
      <c r="F9" s="7" t="s">
        <v>58</v>
      </c>
      <c r="G9" s="7" t="s">
        <v>104</v>
      </c>
      <c r="H9" s="7" t="s">
        <v>105</v>
      </c>
      <c r="I9" s="7" t="s">
        <v>106</v>
      </c>
      <c r="J9" s="7" t="s">
        <v>107</v>
      </c>
      <c r="K9" s="7" t="s">
        <v>108</v>
      </c>
      <c r="L9" s="7" t="s">
        <v>109</v>
      </c>
      <c r="M9" s="7" t="s">
        <v>65</v>
      </c>
      <c r="N9" s="7" t="s">
        <v>78</v>
      </c>
      <c r="O9" s="7" t="s">
        <v>110</v>
      </c>
      <c r="P9" s="7" t="s">
        <v>111</v>
      </c>
    </row>
    <row r="10" spans="1:16" ht="25.95" customHeight="1">
      <c r="A10" s="7" t="s">
        <v>112</v>
      </c>
      <c r="B10" s="7" t="s">
        <v>113</v>
      </c>
      <c r="C10" s="7" t="s">
        <v>56</v>
      </c>
      <c r="D10" s="7">
        <v>2025</v>
      </c>
      <c r="E10" s="7" t="s">
        <v>114</v>
      </c>
      <c r="F10" s="7" t="s">
        <v>58</v>
      </c>
      <c r="G10" s="7" t="s">
        <v>115</v>
      </c>
      <c r="H10" s="7" t="s">
        <v>116</v>
      </c>
      <c r="I10" s="7" t="s">
        <v>117</v>
      </c>
      <c r="J10" s="7" t="s">
        <v>118</v>
      </c>
      <c r="K10" s="7" t="s">
        <v>119</v>
      </c>
      <c r="L10" s="7" t="s">
        <v>120</v>
      </c>
      <c r="M10" s="7" t="s">
        <v>65</v>
      </c>
      <c r="N10" s="7" t="s">
        <v>78</v>
      </c>
      <c r="O10" s="7" t="s">
        <v>121</v>
      </c>
      <c r="P10" s="7" t="s">
        <v>122</v>
      </c>
    </row>
    <row r="11" spans="1:16" ht="34.5" customHeight="1">
      <c r="A11" s="7" t="s">
        <v>123</v>
      </c>
      <c r="B11" s="7" t="s">
        <v>124</v>
      </c>
      <c r="C11" s="7" t="s">
        <v>56</v>
      </c>
      <c r="D11" s="7">
        <v>2025</v>
      </c>
      <c r="E11" s="7" t="s">
        <v>125</v>
      </c>
      <c r="F11" s="7" t="s">
        <v>126</v>
      </c>
      <c r="G11" s="7" t="s">
        <v>127</v>
      </c>
      <c r="H11" s="7" t="s">
        <v>128</v>
      </c>
      <c r="I11" s="7" t="s">
        <v>129</v>
      </c>
      <c r="J11" s="7" t="s">
        <v>130</v>
      </c>
      <c r="K11" s="7" t="s">
        <v>131</v>
      </c>
      <c r="L11" s="7" t="s">
        <v>132</v>
      </c>
      <c r="M11" s="7" t="s">
        <v>65</v>
      </c>
      <c r="N11" s="7" t="s">
        <v>66</v>
      </c>
      <c r="O11" s="7" t="s">
        <v>133</v>
      </c>
      <c r="P11" s="7" t="s">
        <v>134</v>
      </c>
    </row>
    <row r="12" spans="1:16" ht="51.9" customHeight="1">
      <c r="A12" s="7" t="s">
        <v>135</v>
      </c>
      <c r="B12" s="7" t="s">
        <v>136</v>
      </c>
      <c r="C12" s="7" t="s">
        <v>137</v>
      </c>
      <c r="D12" s="7">
        <v>2024</v>
      </c>
      <c r="E12" s="7" t="s">
        <v>138</v>
      </c>
      <c r="F12" s="7" t="s">
        <v>139</v>
      </c>
      <c r="G12" s="7" t="s">
        <v>140</v>
      </c>
      <c r="H12" s="7" t="s">
        <v>141</v>
      </c>
      <c r="I12" s="7" t="s">
        <v>142</v>
      </c>
      <c r="J12" s="7" t="s">
        <v>143</v>
      </c>
      <c r="K12" s="7" t="s">
        <v>144</v>
      </c>
      <c r="L12" s="7" t="s">
        <v>145</v>
      </c>
      <c r="M12" s="7" t="s">
        <v>65</v>
      </c>
      <c r="N12" s="7" t="s">
        <v>66</v>
      </c>
      <c r="O12" s="7" t="s">
        <v>146</v>
      </c>
      <c r="P12" s="7" t="s">
        <v>147</v>
      </c>
    </row>
    <row r="13" spans="1:16" ht="25.95" customHeight="1">
      <c r="A13" s="7" t="s">
        <v>148</v>
      </c>
      <c r="B13" s="7" t="s">
        <v>149</v>
      </c>
      <c r="C13" s="7" t="s">
        <v>150</v>
      </c>
      <c r="D13" s="7">
        <v>2024</v>
      </c>
      <c r="E13" s="7" t="s">
        <v>151</v>
      </c>
      <c r="F13" s="7" t="s">
        <v>152</v>
      </c>
      <c r="G13" s="7" t="s">
        <v>153</v>
      </c>
      <c r="H13" s="7" t="s">
        <v>154</v>
      </c>
      <c r="I13" s="7" t="s">
        <v>155</v>
      </c>
      <c r="J13" s="7" t="s">
        <v>156</v>
      </c>
      <c r="K13" s="7" t="s">
        <v>157</v>
      </c>
      <c r="L13" s="7" t="s">
        <v>158</v>
      </c>
      <c r="M13" s="7" t="s">
        <v>65</v>
      </c>
      <c r="N13" s="7" t="s">
        <v>66</v>
      </c>
      <c r="O13" s="7" t="s">
        <v>159</v>
      </c>
      <c r="P13" s="7" t="s">
        <v>160</v>
      </c>
    </row>
    <row r="14" spans="1:16" ht="17.25" customHeight="1">
      <c r="A14" s="7" t="s">
        <v>161</v>
      </c>
      <c r="B14" s="7" t="s">
        <v>162</v>
      </c>
      <c r="C14" s="7" t="s">
        <v>163</v>
      </c>
      <c r="D14" s="7">
        <v>2021</v>
      </c>
      <c r="E14" s="7" t="s">
        <v>164</v>
      </c>
      <c r="F14" s="7" t="s">
        <v>165</v>
      </c>
      <c r="G14" s="7" t="s">
        <v>166</v>
      </c>
      <c r="H14" s="7" t="s">
        <v>167</v>
      </c>
      <c r="I14" s="7" t="s">
        <v>168</v>
      </c>
      <c r="J14" s="7" t="s">
        <v>169</v>
      </c>
      <c r="K14" s="7" t="s">
        <v>170</v>
      </c>
      <c r="L14" s="7" t="s">
        <v>171</v>
      </c>
      <c r="M14" s="7" t="s">
        <v>65</v>
      </c>
      <c r="N14" s="7" t="s">
        <v>66</v>
      </c>
      <c r="O14" s="7" t="s">
        <v>172</v>
      </c>
      <c r="P14" s="7" t="s">
        <v>173</v>
      </c>
    </row>
    <row r="15" spans="1:16" ht="17.25" customHeight="1">
      <c r="A15" s="7" t="s">
        <v>174</v>
      </c>
      <c r="B15" s="7" t="s">
        <v>175</v>
      </c>
      <c r="C15" s="7" t="s">
        <v>176</v>
      </c>
      <c r="D15" s="7">
        <v>2016</v>
      </c>
      <c r="E15" s="7" t="s">
        <v>177</v>
      </c>
      <c r="F15" s="7" t="s">
        <v>178</v>
      </c>
      <c r="G15" s="7" t="s">
        <v>179</v>
      </c>
      <c r="H15" s="7" t="s">
        <v>180</v>
      </c>
      <c r="I15" s="7" t="s">
        <v>181</v>
      </c>
      <c r="J15" s="7" t="s">
        <v>182</v>
      </c>
      <c r="K15" s="7" t="s">
        <v>183</v>
      </c>
      <c r="L15" s="7" t="s">
        <v>184</v>
      </c>
      <c r="M15" s="7" t="s">
        <v>65</v>
      </c>
      <c r="N15" s="7" t="s">
        <v>66</v>
      </c>
      <c r="O15" s="7" t="s">
        <v>185</v>
      </c>
      <c r="P15" s="7" t="s">
        <v>186</v>
      </c>
    </row>
    <row r="16" spans="1:16" ht="17.25" customHeight="1">
      <c r="A16" s="7" t="s">
        <v>187</v>
      </c>
      <c r="B16" s="7" t="s">
        <v>188</v>
      </c>
      <c r="C16" s="7" t="s">
        <v>189</v>
      </c>
      <c r="D16" s="7">
        <v>2023</v>
      </c>
      <c r="E16" s="7" t="s">
        <v>190</v>
      </c>
      <c r="F16" s="7" t="s">
        <v>191</v>
      </c>
      <c r="G16" s="7" t="s">
        <v>192</v>
      </c>
      <c r="H16" s="7" t="s">
        <v>180</v>
      </c>
      <c r="I16" s="7" t="s">
        <v>193</v>
      </c>
      <c r="J16" s="7" t="s">
        <v>194</v>
      </c>
      <c r="K16" s="7" t="s">
        <v>195</v>
      </c>
      <c r="L16" s="7" t="s">
        <v>196</v>
      </c>
      <c r="M16" s="7" t="s">
        <v>65</v>
      </c>
      <c r="N16" s="7" t="s">
        <v>66</v>
      </c>
      <c r="O16" s="7" t="s">
        <v>197</v>
      </c>
      <c r="P16" s="7" t="s">
        <v>198</v>
      </c>
    </row>
    <row r="17" spans="1:16" ht="17.25" customHeight="1">
      <c r="A17" s="7" t="s">
        <v>199</v>
      </c>
      <c r="B17" s="7" t="s">
        <v>200</v>
      </c>
      <c r="C17" s="7" t="s">
        <v>163</v>
      </c>
      <c r="D17" s="7">
        <v>2025</v>
      </c>
      <c r="E17" s="7" t="s">
        <v>201</v>
      </c>
      <c r="F17" s="7" t="s">
        <v>202</v>
      </c>
      <c r="G17" s="7" t="s">
        <v>203</v>
      </c>
      <c r="H17" s="7" t="s">
        <v>180</v>
      </c>
      <c r="I17" s="7" t="s">
        <v>204</v>
      </c>
      <c r="J17" s="7" t="s">
        <v>205</v>
      </c>
      <c r="K17" s="7" t="s">
        <v>206</v>
      </c>
      <c r="L17" s="7" t="s">
        <v>207</v>
      </c>
      <c r="M17" s="7" t="s">
        <v>65</v>
      </c>
      <c r="N17" s="7" t="s">
        <v>66</v>
      </c>
      <c r="O17" s="7" t="s">
        <v>208</v>
      </c>
      <c r="P17" s="7" t="s">
        <v>209</v>
      </c>
    </row>
    <row r="18" spans="1:16" ht="17.25" customHeight="1">
      <c r="A18" s="7" t="s">
        <v>210</v>
      </c>
      <c r="B18" s="7" t="s">
        <v>211</v>
      </c>
      <c r="C18" s="7" t="s">
        <v>163</v>
      </c>
      <c r="D18" s="7">
        <v>2009</v>
      </c>
      <c r="E18" s="7" t="s">
        <v>201</v>
      </c>
      <c r="F18" s="7" t="s">
        <v>212</v>
      </c>
      <c r="G18" s="7" t="s">
        <v>213</v>
      </c>
      <c r="H18" s="7" t="s">
        <v>180</v>
      </c>
      <c r="I18" s="7" t="s">
        <v>212</v>
      </c>
      <c r="J18" s="7" t="s">
        <v>182</v>
      </c>
      <c r="K18" s="7" t="s">
        <v>206</v>
      </c>
      <c r="L18" s="7" t="s">
        <v>214</v>
      </c>
      <c r="M18" s="7" t="s">
        <v>65</v>
      </c>
      <c r="N18" s="7" t="s">
        <v>78</v>
      </c>
      <c r="O18" s="7" t="s">
        <v>215</v>
      </c>
      <c r="P18" s="7" t="s">
        <v>216</v>
      </c>
    </row>
    <row r="19" spans="1:16" ht="17.25" customHeight="1">
      <c r="A19" s="7" t="s">
        <v>217</v>
      </c>
      <c r="B19" s="7" t="s">
        <v>218</v>
      </c>
      <c r="C19" s="7" t="s">
        <v>163</v>
      </c>
      <c r="D19" s="7">
        <v>2011</v>
      </c>
      <c r="E19" s="7" t="s">
        <v>201</v>
      </c>
      <c r="F19" s="7" t="s">
        <v>219</v>
      </c>
      <c r="G19" s="7" t="s">
        <v>220</v>
      </c>
      <c r="H19" s="7" t="s">
        <v>180</v>
      </c>
      <c r="I19" s="7" t="s">
        <v>221</v>
      </c>
      <c r="J19" s="7" t="s">
        <v>194</v>
      </c>
      <c r="K19" s="7" t="s">
        <v>206</v>
      </c>
      <c r="L19" s="7" t="s">
        <v>222</v>
      </c>
      <c r="M19" s="7" t="s">
        <v>65</v>
      </c>
      <c r="N19" s="7" t="s">
        <v>78</v>
      </c>
      <c r="O19" s="7" t="s">
        <v>223</v>
      </c>
      <c r="P19" s="7" t="s">
        <v>224</v>
      </c>
    </row>
    <row r="20" spans="1:16" ht="17.25" customHeight="1">
      <c r="A20" s="7" t="s">
        <v>225</v>
      </c>
      <c r="B20" s="7" t="s">
        <v>226</v>
      </c>
      <c r="C20" s="7" t="s">
        <v>163</v>
      </c>
      <c r="D20" s="7">
        <v>2022</v>
      </c>
      <c r="E20" s="7" t="s">
        <v>227</v>
      </c>
      <c r="F20" s="7" t="s">
        <v>228</v>
      </c>
      <c r="G20" s="7" t="s">
        <v>229</v>
      </c>
      <c r="H20" s="7" t="s">
        <v>230</v>
      </c>
      <c r="I20" s="7" t="s">
        <v>231</v>
      </c>
      <c r="J20" s="7" t="s">
        <v>169</v>
      </c>
      <c r="K20" s="7" t="s">
        <v>232</v>
      </c>
      <c r="L20" s="7" t="s">
        <v>233</v>
      </c>
      <c r="M20" s="7" t="s">
        <v>65</v>
      </c>
      <c r="N20" s="7" t="s">
        <v>66</v>
      </c>
      <c r="O20" s="7" t="s">
        <v>234</v>
      </c>
      <c r="P20" s="7" t="s">
        <v>235</v>
      </c>
    </row>
    <row r="21" spans="1:16" ht="17.25" customHeight="1">
      <c r="A21" s="7" t="s">
        <v>236</v>
      </c>
      <c r="B21" s="7" t="s">
        <v>237</v>
      </c>
      <c r="C21" s="7" t="s">
        <v>163</v>
      </c>
      <c r="D21" s="7">
        <v>2023</v>
      </c>
      <c r="E21" s="7" t="s">
        <v>227</v>
      </c>
      <c r="F21" s="7" t="s">
        <v>238</v>
      </c>
      <c r="G21" s="7" t="s">
        <v>239</v>
      </c>
      <c r="H21" s="7" t="s">
        <v>230</v>
      </c>
      <c r="I21" s="7" t="s">
        <v>240</v>
      </c>
      <c r="J21" s="7" t="s">
        <v>169</v>
      </c>
      <c r="K21" s="7" t="s">
        <v>232</v>
      </c>
      <c r="L21" s="7" t="s">
        <v>241</v>
      </c>
      <c r="M21" s="7" t="s">
        <v>65</v>
      </c>
      <c r="N21" s="7" t="s">
        <v>66</v>
      </c>
      <c r="O21" s="7" t="s">
        <v>242</v>
      </c>
      <c r="P21" s="7" t="s">
        <v>243</v>
      </c>
    </row>
    <row r="22" spans="1:16" ht="17.25" customHeight="1">
      <c r="A22" s="7" t="s">
        <v>244</v>
      </c>
      <c r="B22" s="7" t="s">
        <v>245</v>
      </c>
      <c r="C22" s="7" t="s">
        <v>163</v>
      </c>
      <c r="D22" s="7">
        <v>2024</v>
      </c>
      <c r="E22" s="7" t="s">
        <v>227</v>
      </c>
      <c r="F22" s="7" t="s">
        <v>246</v>
      </c>
      <c r="G22" s="7" t="s">
        <v>247</v>
      </c>
      <c r="H22" s="7" t="s">
        <v>230</v>
      </c>
      <c r="I22" s="7" t="s">
        <v>193</v>
      </c>
      <c r="J22" s="7" t="s">
        <v>169</v>
      </c>
      <c r="K22" s="7" t="s">
        <v>232</v>
      </c>
      <c r="L22" s="7" t="s">
        <v>248</v>
      </c>
      <c r="M22" s="7" t="s">
        <v>65</v>
      </c>
      <c r="N22" s="7" t="s">
        <v>66</v>
      </c>
      <c r="O22" s="7" t="s">
        <v>249</v>
      </c>
      <c r="P22" s="7" t="s">
        <v>250</v>
      </c>
    </row>
    <row r="23" spans="1:16" ht="17.25" customHeight="1">
      <c r="A23" s="7" t="s">
        <v>251</v>
      </c>
      <c r="B23" s="7" t="s">
        <v>252</v>
      </c>
      <c r="C23" s="7" t="s">
        <v>163</v>
      </c>
      <c r="D23" s="7">
        <v>2025</v>
      </c>
      <c r="E23" s="7" t="s">
        <v>227</v>
      </c>
      <c r="F23" s="7" t="s">
        <v>253</v>
      </c>
      <c r="G23" s="7" t="s">
        <v>254</v>
      </c>
      <c r="H23" s="7" t="s">
        <v>230</v>
      </c>
      <c r="I23" s="7" t="s">
        <v>255</v>
      </c>
      <c r="J23" s="7" t="s">
        <v>169</v>
      </c>
      <c r="K23" s="7" t="s">
        <v>232</v>
      </c>
      <c r="L23" s="7" t="s">
        <v>256</v>
      </c>
      <c r="M23" s="7" t="s">
        <v>65</v>
      </c>
      <c r="N23" s="7" t="s">
        <v>66</v>
      </c>
      <c r="O23" s="7" t="s">
        <v>257</v>
      </c>
      <c r="P23" s="7" t="s">
        <v>258</v>
      </c>
    </row>
    <row r="24" spans="1:16" ht="17.25" customHeight="1">
      <c r="A24" s="7" t="s">
        <v>259</v>
      </c>
      <c r="B24" s="7" t="s">
        <v>260</v>
      </c>
      <c r="C24" s="7" t="s">
        <v>163</v>
      </c>
      <c r="D24" s="7">
        <v>2024</v>
      </c>
      <c r="E24" s="7" t="s">
        <v>261</v>
      </c>
      <c r="F24" s="7" t="s">
        <v>262</v>
      </c>
      <c r="G24" s="7" t="s">
        <v>263</v>
      </c>
      <c r="H24" s="7" t="s">
        <v>264</v>
      </c>
      <c r="I24" s="7" t="s">
        <v>265</v>
      </c>
      <c r="J24" s="7" t="s">
        <v>266</v>
      </c>
      <c r="K24" s="7" t="s">
        <v>232</v>
      </c>
      <c r="L24" s="7" t="s">
        <v>267</v>
      </c>
      <c r="M24" s="7" t="s">
        <v>65</v>
      </c>
      <c r="N24" s="7" t="s">
        <v>66</v>
      </c>
      <c r="O24" s="7" t="s">
        <v>268</v>
      </c>
      <c r="P24" s="7" t="s">
        <v>269</v>
      </c>
    </row>
    <row r="25" spans="1:16" ht="17.25" customHeight="1">
      <c r="A25" s="7" t="s">
        <v>270</v>
      </c>
      <c r="B25" s="7" t="s">
        <v>271</v>
      </c>
      <c r="C25" s="7" t="s">
        <v>163</v>
      </c>
      <c r="D25" s="7">
        <v>2024</v>
      </c>
      <c r="E25" s="7" t="s">
        <v>272</v>
      </c>
      <c r="F25" s="7" t="s">
        <v>273</v>
      </c>
      <c r="G25" s="7" t="s">
        <v>274</v>
      </c>
      <c r="H25" s="7" t="s">
        <v>167</v>
      </c>
      <c r="I25" s="7" t="s">
        <v>275</v>
      </c>
      <c r="J25" s="7" t="s">
        <v>169</v>
      </c>
      <c r="K25" s="7" t="s">
        <v>232</v>
      </c>
      <c r="L25" s="7" t="s">
        <v>276</v>
      </c>
      <c r="M25" s="7" t="s">
        <v>65</v>
      </c>
      <c r="N25" s="7" t="s">
        <v>66</v>
      </c>
      <c r="O25" s="7" t="s">
        <v>277</v>
      </c>
      <c r="P25" s="7" t="s">
        <v>278</v>
      </c>
    </row>
    <row r="26" spans="1:16" ht="17.25" customHeight="1">
      <c r="A26" s="7" t="s">
        <v>279</v>
      </c>
      <c r="B26" s="7" t="s">
        <v>280</v>
      </c>
      <c r="C26" s="7" t="s">
        <v>281</v>
      </c>
      <c r="D26" s="7">
        <v>2008</v>
      </c>
      <c r="E26" s="7" t="s">
        <v>282</v>
      </c>
      <c r="F26" s="7" t="s">
        <v>283</v>
      </c>
      <c r="G26" s="7" t="s">
        <v>284</v>
      </c>
      <c r="H26" s="7" t="s">
        <v>285</v>
      </c>
      <c r="I26" s="7" t="s">
        <v>286</v>
      </c>
      <c r="J26" s="7" t="s">
        <v>287</v>
      </c>
      <c r="K26" s="7" t="s">
        <v>288</v>
      </c>
      <c r="L26" s="7" t="s">
        <v>289</v>
      </c>
      <c r="M26" s="7" t="s">
        <v>65</v>
      </c>
      <c r="N26" s="7" t="s">
        <v>78</v>
      </c>
      <c r="O26" s="7" t="s">
        <v>290</v>
      </c>
      <c r="P26" s="7" t="s">
        <v>291</v>
      </c>
    </row>
    <row r="27" spans="1:16" ht="17.25" customHeight="1">
      <c r="A27" s="7" t="s">
        <v>292</v>
      </c>
      <c r="B27" s="7" t="s">
        <v>293</v>
      </c>
      <c r="C27" s="7" t="s">
        <v>294</v>
      </c>
      <c r="D27" s="7">
        <v>2023</v>
      </c>
      <c r="E27" s="7" t="s">
        <v>295</v>
      </c>
      <c r="F27" s="7" t="s">
        <v>240</v>
      </c>
      <c r="G27" s="7" t="s">
        <v>296</v>
      </c>
      <c r="H27" s="7" t="s">
        <v>297</v>
      </c>
      <c r="I27" s="7" t="s">
        <v>240</v>
      </c>
      <c r="J27" s="7" t="s">
        <v>298</v>
      </c>
      <c r="K27" s="7" t="s">
        <v>299</v>
      </c>
      <c r="L27" s="7" t="s">
        <v>300</v>
      </c>
      <c r="M27" s="7" t="s">
        <v>65</v>
      </c>
      <c r="N27" s="7" t="s">
        <v>78</v>
      </c>
      <c r="O27" s="7" t="s">
        <v>301</v>
      </c>
      <c r="P27" s="7" t="s">
        <v>302</v>
      </c>
    </row>
    <row r="28" spans="1:16" ht="17.25" customHeight="1">
      <c r="A28" s="7" t="s">
        <v>303</v>
      </c>
      <c r="B28" s="7" t="s">
        <v>304</v>
      </c>
      <c r="C28" s="7" t="s">
        <v>305</v>
      </c>
      <c r="D28" s="7">
        <v>2025</v>
      </c>
      <c r="E28" s="7" t="s">
        <v>306</v>
      </c>
      <c r="F28" s="7" t="s">
        <v>307</v>
      </c>
      <c r="G28" s="7" t="s">
        <v>308</v>
      </c>
      <c r="H28" s="7" t="s">
        <v>309</v>
      </c>
      <c r="I28" s="7" t="s">
        <v>310</v>
      </c>
      <c r="J28" s="7" t="s">
        <v>311</v>
      </c>
      <c r="K28" s="7" t="s">
        <v>26</v>
      </c>
      <c r="L28" s="7" t="s">
        <v>312</v>
      </c>
      <c r="M28" s="7" t="s">
        <v>65</v>
      </c>
      <c r="N28" s="7" t="s">
        <v>66</v>
      </c>
      <c r="O28" s="7" t="s">
        <v>313</v>
      </c>
      <c r="P28" s="7" t="s">
        <v>314</v>
      </c>
    </row>
    <row r="29" spans="1:16" ht="17.25" customHeight="1">
      <c r="A29" s="7" t="s">
        <v>315</v>
      </c>
      <c r="B29" s="7" t="s">
        <v>316</v>
      </c>
      <c r="C29" s="7" t="s">
        <v>305</v>
      </c>
      <c r="D29" s="7">
        <v>2021</v>
      </c>
      <c r="E29" s="7" t="s">
        <v>317</v>
      </c>
      <c r="F29" s="7" t="s">
        <v>318</v>
      </c>
      <c r="G29" s="7" t="s">
        <v>319</v>
      </c>
      <c r="H29" s="7" t="s">
        <v>309</v>
      </c>
      <c r="I29" s="7" t="s">
        <v>231</v>
      </c>
      <c r="J29" s="7" t="s">
        <v>311</v>
      </c>
      <c r="K29" s="7" t="s">
        <v>26</v>
      </c>
      <c r="L29" s="7" t="s">
        <v>320</v>
      </c>
      <c r="M29" s="7" t="s">
        <v>65</v>
      </c>
      <c r="N29" s="7" t="s">
        <v>66</v>
      </c>
      <c r="O29" s="7" t="s">
        <v>321</v>
      </c>
      <c r="P29" s="7" t="s">
        <v>322</v>
      </c>
    </row>
    <row r="30" spans="1:16" ht="17.25" customHeight="1">
      <c r="A30" s="7" t="s">
        <v>323</v>
      </c>
      <c r="B30" s="7" t="s">
        <v>324</v>
      </c>
      <c r="C30" s="7" t="s">
        <v>305</v>
      </c>
      <c r="D30" s="7">
        <v>2023</v>
      </c>
      <c r="E30" s="7" t="s">
        <v>317</v>
      </c>
      <c r="F30" s="7" t="s">
        <v>325</v>
      </c>
      <c r="G30" s="7" t="s">
        <v>326</v>
      </c>
      <c r="H30" s="7" t="s">
        <v>309</v>
      </c>
      <c r="I30" s="7" t="s">
        <v>327</v>
      </c>
      <c r="J30" s="7" t="s">
        <v>311</v>
      </c>
      <c r="K30" s="7" t="s">
        <v>26</v>
      </c>
      <c r="L30" s="7" t="s">
        <v>328</v>
      </c>
      <c r="M30" s="7" t="s">
        <v>65</v>
      </c>
      <c r="N30" s="7" t="s">
        <v>66</v>
      </c>
      <c r="O30" s="7" t="s">
        <v>329</v>
      </c>
      <c r="P30" s="7" t="s">
        <v>330</v>
      </c>
    </row>
    <row r="31" spans="1:16" ht="17.25" customHeight="1">
      <c r="A31" s="7" t="s">
        <v>331</v>
      </c>
      <c r="B31" s="7" t="s">
        <v>332</v>
      </c>
      <c r="C31" s="7" t="s">
        <v>305</v>
      </c>
      <c r="D31" s="7">
        <v>2019</v>
      </c>
      <c r="E31" s="7" t="s">
        <v>317</v>
      </c>
      <c r="F31" s="7" t="s">
        <v>333</v>
      </c>
      <c r="G31" s="7" t="s">
        <v>334</v>
      </c>
      <c r="H31" s="7" t="s">
        <v>309</v>
      </c>
      <c r="I31" s="7" t="s">
        <v>335</v>
      </c>
      <c r="J31" s="7" t="s">
        <v>311</v>
      </c>
      <c r="K31" s="7" t="s">
        <v>26</v>
      </c>
      <c r="L31" s="7" t="s">
        <v>336</v>
      </c>
      <c r="M31" s="7" t="s">
        <v>65</v>
      </c>
      <c r="N31" s="7" t="s">
        <v>66</v>
      </c>
      <c r="O31" s="7" t="s">
        <v>337</v>
      </c>
      <c r="P31" s="7" t="s">
        <v>338</v>
      </c>
    </row>
    <row r="32" spans="1:16" ht="12" customHeight="1">
      <c r="A32" s="7" t="s">
        <v>339</v>
      </c>
      <c r="B32" s="7" t="s">
        <v>340</v>
      </c>
      <c r="C32" s="7" t="s">
        <v>341</v>
      </c>
      <c r="D32" s="7">
        <v>2026</v>
      </c>
      <c r="E32" s="7" t="s">
        <v>342</v>
      </c>
      <c r="F32" s="7" t="s">
        <v>343</v>
      </c>
      <c r="G32" s="7" t="s">
        <v>344</v>
      </c>
      <c r="H32" s="7" t="s">
        <v>309</v>
      </c>
      <c r="I32" s="7" t="s">
        <v>345</v>
      </c>
      <c r="J32" s="7" t="s">
        <v>311</v>
      </c>
      <c r="K32" s="7" t="s">
        <v>26</v>
      </c>
      <c r="L32" s="7" t="s">
        <v>346</v>
      </c>
      <c r="M32" s="7" t="s">
        <v>65</v>
      </c>
      <c r="N32" s="7" t="s">
        <v>66</v>
      </c>
      <c r="O32" s="7" t="s">
        <v>347</v>
      </c>
      <c r="P32" s="7" t="s">
        <v>348</v>
      </c>
    </row>
    <row r="33" spans="1:16" ht="12" customHeight="1">
      <c r="A33" s="7" t="s">
        <v>349</v>
      </c>
      <c r="B33" s="7" t="s">
        <v>350</v>
      </c>
      <c r="C33" s="7" t="s">
        <v>341</v>
      </c>
      <c r="D33" s="7">
        <v>1991</v>
      </c>
      <c r="E33" s="7" t="s">
        <v>351</v>
      </c>
      <c r="F33" s="7" t="s">
        <v>352</v>
      </c>
      <c r="G33" s="7" t="s">
        <v>353</v>
      </c>
      <c r="H33" s="7" t="s">
        <v>309</v>
      </c>
      <c r="I33" s="7" t="s">
        <v>354</v>
      </c>
      <c r="J33" s="7" t="s">
        <v>311</v>
      </c>
      <c r="K33" s="7" t="s">
        <v>26</v>
      </c>
      <c r="L33" s="7" t="s">
        <v>355</v>
      </c>
      <c r="M33" s="7" t="s">
        <v>65</v>
      </c>
      <c r="N33" s="7" t="s">
        <v>78</v>
      </c>
      <c r="O33" s="7" t="s">
        <v>356</v>
      </c>
      <c r="P33" s="7" t="s">
        <v>357</v>
      </c>
    </row>
    <row r="34" spans="1:16" ht="17.25" customHeight="1">
      <c r="A34" s="7" t="s">
        <v>358</v>
      </c>
      <c r="B34" s="7" t="s">
        <v>359</v>
      </c>
      <c r="C34" s="7" t="s">
        <v>360</v>
      </c>
      <c r="D34" s="7">
        <v>2025</v>
      </c>
      <c r="E34" s="7" t="s">
        <v>361</v>
      </c>
      <c r="F34" s="7" t="s">
        <v>362</v>
      </c>
      <c r="G34" s="7" t="s">
        <v>363</v>
      </c>
      <c r="H34" s="7" t="s">
        <v>309</v>
      </c>
      <c r="I34" s="7" t="s">
        <v>152</v>
      </c>
      <c r="J34" s="7" t="s">
        <v>364</v>
      </c>
      <c r="K34" s="7" t="s">
        <v>26</v>
      </c>
      <c r="L34" s="7" t="s">
        <v>365</v>
      </c>
      <c r="M34" s="7" t="s">
        <v>65</v>
      </c>
      <c r="N34" s="7" t="s">
        <v>78</v>
      </c>
      <c r="O34" s="7" t="s">
        <v>366</v>
      </c>
      <c r="P34" s="7" t="s">
        <v>367</v>
      </c>
    </row>
    <row r="35" spans="1:16" ht="12" customHeight="1">
      <c r="A35" s="7" t="s">
        <v>368</v>
      </c>
      <c r="B35" s="7" t="s">
        <v>369</v>
      </c>
      <c r="C35" s="7" t="s">
        <v>360</v>
      </c>
      <c r="D35" s="7">
        <v>2026</v>
      </c>
      <c r="E35" s="7" t="s">
        <v>361</v>
      </c>
      <c r="F35" s="7" t="s">
        <v>370</v>
      </c>
      <c r="G35" s="7" t="s">
        <v>371</v>
      </c>
      <c r="H35" s="7" t="s">
        <v>309</v>
      </c>
      <c r="I35" s="7" t="s">
        <v>202</v>
      </c>
      <c r="J35" s="7" t="s">
        <v>364</v>
      </c>
      <c r="K35" s="7" t="s">
        <v>26</v>
      </c>
      <c r="L35" s="7" t="s">
        <v>372</v>
      </c>
      <c r="M35" s="7" t="s">
        <v>65</v>
      </c>
      <c r="N35" s="7" t="s">
        <v>78</v>
      </c>
      <c r="O35" s="7" t="s">
        <v>373</v>
      </c>
      <c r="P35" s="7" t="s">
        <v>374</v>
      </c>
    </row>
    <row r="36" spans="1:16" ht="17.25" customHeight="1">
      <c r="A36" s="7" t="s">
        <v>375</v>
      </c>
      <c r="B36" s="7" t="s">
        <v>376</v>
      </c>
      <c r="C36" s="7" t="s">
        <v>377</v>
      </c>
      <c r="D36" s="7">
        <v>2023</v>
      </c>
      <c r="E36" s="7" t="s">
        <v>378</v>
      </c>
      <c r="F36" s="7" t="s">
        <v>379</v>
      </c>
      <c r="G36" s="7" t="s">
        <v>380</v>
      </c>
      <c r="H36" s="7" t="s">
        <v>381</v>
      </c>
      <c r="I36" s="7" t="s">
        <v>240</v>
      </c>
      <c r="J36" s="7" t="s">
        <v>364</v>
      </c>
      <c r="K36" s="7" t="s">
        <v>26</v>
      </c>
      <c r="L36" s="7" t="s">
        <v>382</v>
      </c>
      <c r="M36" s="7" t="s">
        <v>65</v>
      </c>
      <c r="N36" s="7" t="s">
        <v>383</v>
      </c>
      <c r="O36" s="7" t="s">
        <v>384</v>
      </c>
      <c r="P36" s="7" t="s">
        <v>385</v>
      </c>
    </row>
    <row r="37" spans="1:16" ht="17.25" customHeight="1">
      <c r="A37" s="7" t="s">
        <v>386</v>
      </c>
      <c r="B37" s="7" t="s">
        <v>387</v>
      </c>
      <c r="C37" s="7" t="s">
        <v>388</v>
      </c>
      <c r="D37" s="7">
        <v>2025</v>
      </c>
      <c r="E37" s="7" t="s">
        <v>389</v>
      </c>
      <c r="F37" s="7" t="s">
        <v>390</v>
      </c>
      <c r="G37" s="7" t="s">
        <v>391</v>
      </c>
      <c r="H37" s="7" t="s">
        <v>392</v>
      </c>
      <c r="I37" s="7" t="s">
        <v>393</v>
      </c>
      <c r="J37" s="7" t="s">
        <v>394</v>
      </c>
      <c r="K37" s="7" t="s">
        <v>395</v>
      </c>
      <c r="L37" s="7" t="s">
        <v>396</v>
      </c>
      <c r="M37" s="7" t="s">
        <v>65</v>
      </c>
      <c r="N37" s="7" t="s">
        <v>66</v>
      </c>
      <c r="O37" s="7" t="s">
        <v>397</v>
      </c>
      <c r="P37" s="7" t="s">
        <v>398</v>
      </c>
    </row>
    <row r="38" spans="1:16" ht="17.25" customHeight="1">
      <c r="A38" s="7" t="s">
        <v>399</v>
      </c>
      <c r="B38" s="7" t="s">
        <v>400</v>
      </c>
      <c r="C38" s="7" t="s">
        <v>401</v>
      </c>
      <c r="D38" s="7">
        <v>2025</v>
      </c>
      <c r="E38" s="7" t="s">
        <v>402</v>
      </c>
      <c r="F38" s="7" t="s">
        <v>403</v>
      </c>
      <c r="G38" s="7" t="s">
        <v>404</v>
      </c>
      <c r="H38" s="7" t="s">
        <v>392</v>
      </c>
      <c r="I38" s="7" t="s">
        <v>405</v>
      </c>
      <c r="J38" s="7" t="s">
        <v>406</v>
      </c>
      <c r="K38" s="7" t="s">
        <v>407</v>
      </c>
      <c r="L38" s="7" t="s">
        <v>408</v>
      </c>
      <c r="M38" s="7" t="s">
        <v>65</v>
      </c>
      <c r="N38" s="7" t="s">
        <v>409</v>
      </c>
      <c r="O38" s="7" t="s">
        <v>410</v>
      </c>
      <c r="P38" s="7" t="s">
        <v>411</v>
      </c>
    </row>
    <row r="39" spans="1:16" ht="25.95" customHeight="1">
      <c r="A39" s="7" t="s">
        <v>412</v>
      </c>
      <c r="B39" s="7" t="s">
        <v>413</v>
      </c>
      <c r="C39" s="7" t="s">
        <v>414</v>
      </c>
      <c r="D39" s="7">
        <v>2023</v>
      </c>
      <c r="E39" s="7" t="s">
        <v>415</v>
      </c>
      <c r="F39" s="7" t="s">
        <v>416</v>
      </c>
      <c r="G39" s="7" t="s">
        <v>417</v>
      </c>
      <c r="H39" s="7" t="s">
        <v>392</v>
      </c>
      <c r="I39" s="7" t="s">
        <v>418</v>
      </c>
      <c r="J39" s="7" t="s">
        <v>419</v>
      </c>
      <c r="K39" s="7" t="s">
        <v>420</v>
      </c>
      <c r="L39" s="7" t="s">
        <v>421</v>
      </c>
      <c r="M39" s="7" t="s">
        <v>65</v>
      </c>
      <c r="N39" s="7" t="s">
        <v>66</v>
      </c>
      <c r="O39" s="7" t="s">
        <v>422</v>
      </c>
      <c r="P39" s="7" t="s">
        <v>423</v>
      </c>
    </row>
    <row r="40" spans="1:16" ht="17.25" customHeight="1">
      <c r="A40" s="7" t="s">
        <v>424</v>
      </c>
      <c r="B40" s="7" t="s">
        <v>425</v>
      </c>
      <c r="C40" s="7" t="s">
        <v>426</v>
      </c>
      <c r="D40" s="7">
        <v>2026</v>
      </c>
      <c r="E40" s="7" t="s">
        <v>427</v>
      </c>
      <c r="F40" s="7" t="s">
        <v>428</v>
      </c>
      <c r="G40" s="7" t="s">
        <v>429</v>
      </c>
      <c r="H40" s="7" t="s">
        <v>392</v>
      </c>
      <c r="I40" s="7" t="s">
        <v>418</v>
      </c>
      <c r="J40" s="7" t="s">
        <v>430</v>
      </c>
      <c r="K40" s="7" t="s">
        <v>431</v>
      </c>
      <c r="L40" s="7" t="s">
        <v>432</v>
      </c>
      <c r="M40" s="7" t="s">
        <v>65</v>
      </c>
      <c r="N40" s="7" t="s">
        <v>433</v>
      </c>
      <c r="O40" s="7" t="s">
        <v>434</v>
      </c>
      <c r="P40" s="7" t="s">
        <v>435</v>
      </c>
    </row>
    <row r="41" spans="1:16" ht="17.25" customHeight="1">
      <c r="A41" s="7" t="s">
        <v>436</v>
      </c>
      <c r="B41" s="7" t="s">
        <v>437</v>
      </c>
      <c r="C41" s="7" t="s">
        <v>426</v>
      </c>
      <c r="D41" s="7">
        <v>2024</v>
      </c>
      <c r="E41" s="7" t="s">
        <v>438</v>
      </c>
      <c r="F41" s="7" t="s">
        <v>439</v>
      </c>
      <c r="G41" s="7" t="s">
        <v>440</v>
      </c>
      <c r="H41" s="7" t="s">
        <v>441</v>
      </c>
      <c r="I41" s="7" t="s">
        <v>442</v>
      </c>
      <c r="J41" s="7" t="s">
        <v>430</v>
      </c>
      <c r="K41" s="7" t="s">
        <v>443</v>
      </c>
      <c r="L41" s="7" t="s">
        <v>444</v>
      </c>
      <c r="M41" s="7" t="s">
        <v>65</v>
      </c>
      <c r="N41" s="7" t="s">
        <v>445</v>
      </c>
      <c r="O41" s="7" t="s">
        <v>446</v>
      </c>
      <c r="P41" s="7" t="s">
        <v>447</v>
      </c>
    </row>
    <row r="42" spans="1:16" ht="17.25" customHeight="1">
      <c r="A42" s="8" t="s">
        <v>448</v>
      </c>
      <c r="B42" s="3" t="s">
        <v>449</v>
      </c>
      <c r="C42" s="3" t="s">
        <v>450</v>
      </c>
      <c r="D42" s="3">
        <v>2025</v>
      </c>
      <c r="E42" s="3" t="s">
        <v>451</v>
      </c>
      <c r="F42" s="3" t="s">
        <v>452</v>
      </c>
      <c r="G42" s="3" t="s">
        <v>453</v>
      </c>
      <c r="H42" s="3" t="s">
        <v>454</v>
      </c>
      <c r="I42" s="3" t="s">
        <v>455</v>
      </c>
      <c r="J42" s="3" t="s">
        <v>456</v>
      </c>
      <c r="K42" s="3" t="s">
        <v>457</v>
      </c>
      <c r="L42" s="3" t="s">
        <v>458</v>
      </c>
      <c r="M42" s="3" t="s">
        <v>459</v>
      </c>
      <c r="N42" s="3" t="s">
        <v>460</v>
      </c>
      <c r="O42" s="3" t="s">
        <v>461</v>
      </c>
      <c r="P42" s="3" t="s">
        <v>462</v>
      </c>
    </row>
    <row r="43" spans="1:16" ht="17.25" customHeight="1">
      <c r="A43" s="8" t="s">
        <v>463</v>
      </c>
      <c r="B43" s="3" t="s">
        <v>464</v>
      </c>
      <c r="C43" s="3" t="s">
        <v>465</v>
      </c>
      <c r="D43" s="3">
        <v>2026</v>
      </c>
      <c r="E43" s="3" t="s">
        <v>466</v>
      </c>
      <c r="F43" s="3" t="s">
        <v>467</v>
      </c>
      <c r="G43" s="3" t="s">
        <v>468</v>
      </c>
      <c r="H43" s="3" t="s">
        <v>469</v>
      </c>
      <c r="I43" s="3" t="s">
        <v>470</v>
      </c>
      <c r="J43" s="3" t="s">
        <v>471</v>
      </c>
      <c r="K43" s="3" t="s">
        <v>472</v>
      </c>
      <c r="L43" s="3" t="s">
        <v>473</v>
      </c>
      <c r="M43" s="3" t="s">
        <v>459</v>
      </c>
      <c r="N43" s="3" t="s">
        <v>66</v>
      </c>
      <c r="O43" s="3" t="s">
        <v>474</v>
      </c>
      <c r="P43" s="3" t="s">
        <v>475</v>
      </c>
    </row>
    <row r="44" spans="1:16" ht="17.25" customHeight="1">
      <c r="A44" s="8" t="s">
        <v>476</v>
      </c>
      <c r="B44" s="3" t="s">
        <v>477</v>
      </c>
      <c r="C44" s="3" t="s">
        <v>478</v>
      </c>
      <c r="D44" s="3">
        <v>2026</v>
      </c>
      <c r="E44" s="3" t="s">
        <v>466</v>
      </c>
      <c r="F44" s="3" t="s">
        <v>467</v>
      </c>
      <c r="G44" s="3" t="s">
        <v>479</v>
      </c>
      <c r="H44" s="3" t="s">
        <v>480</v>
      </c>
      <c r="I44" s="3" t="s">
        <v>470</v>
      </c>
      <c r="J44" s="3" t="s">
        <v>481</v>
      </c>
      <c r="K44" s="3" t="s">
        <v>482</v>
      </c>
      <c r="L44" s="3" t="s">
        <v>483</v>
      </c>
      <c r="M44" s="3" t="s">
        <v>459</v>
      </c>
      <c r="N44" s="3" t="s">
        <v>66</v>
      </c>
      <c r="O44" s="3" t="s">
        <v>484</v>
      </c>
      <c r="P44" s="3" t="s">
        <v>485</v>
      </c>
    </row>
    <row r="45" spans="1:16" ht="12" customHeight="1">
      <c r="A45" s="8" t="s">
        <v>486</v>
      </c>
      <c r="B45" s="3" t="s">
        <v>487</v>
      </c>
      <c r="C45" s="3" t="s">
        <v>488</v>
      </c>
      <c r="D45" s="3">
        <v>2026</v>
      </c>
      <c r="E45" s="3" t="s">
        <v>489</v>
      </c>
      <c r="F45" s="3" t="s">
        <v>467</v>
      </c>
      <c r="G45" s="3" t="s">
        <v>490</v>
      </c>
      <c r="H45" s="3" t="s">
        <v>454</v>
      </c>
      <c r="I45" s="3" t="s">
        <v>470</v>
      </c>
      <c r="J45" s="3" t="s">
        <v>491</v>
      </c>
      <c r="K45" s="3" t="s">
        <v>492</v>
      </c>
      <c r="L45" s="3" t="s">
        <v>493</v>
      </c>
      <c r="M45" s="3" t="s">
        <v>459</v>
      </c>
      <c r="N45" s="3" t="s">
        <v>66</v>
      </c>
      <c r="O45" s="3" t="s">
        <v>494</v>
      </c>
      <c r="P45" s="3" t="s">
        <v>495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showGridLines="0" workbookViewId="0">
      <selection activeCell="A15" sqref="A1:XFD1048576"/>
    </sheetView>
  </sheetViews>
  <sheetFormatPr defaultRowHeight="14.4"/>
  <cols>
    <col min="1" max="1" width="23" style="1" customWidth="1"/>
    <col min="2" max="2" width="10" style="1" customWidth="1"/>
    <col min="3" max="3" width="14" style="1" customWidth="1"/>
    <col min="4" max="4" width="15" style="1" customWidth="1"/>
    <col min="5" max="5" width="14" style="1" customWidth="1"/>
    <col min="6" max="6" width="12" style="1" customWidth="1"/>
    <col min="7" max="7" width="11" style="1" customWidth="1"/>
    <col min="8" max="8" width="10" style="1" customWidth="1"/>
    <col min="9" max="9" width="11" style="1" customWidth="1"/>
    <col min="10" max="10" width="31" style="1" customWidth="1"/>
    <col min="11" max="11" width="34" style="1" customWidth="1"/>
    <col min="12" max="12" width="38" style="1" customWidth="1"/>
    <col min="13" max="13" width="11" style="1" customWidth="1"/>
    <col min="14" max="15" width="15" style="1" customWidth="1"/>
    <col min="16" max="16" width="62" style="1" customWidth="1"/>
    <col min="17" max="16384" width="8.796875" style="1"/>
  </cols>
  <sheetData>
    <row r="1" spans="1:16" ht="19.2" customHeight="1">
      <c r="A1" s="54" t="s">
        <v>496</v>
      </c>
      <c r="B1" s="54" t="s">
        <v>496</v>
      </c>
      <c r="C1" s="54" t="s">
        <v>496</v>
      </c>
      <c r="D1" s="54" t="s">
        <v>496</v>
      </c>
      <c r="E1" s="54" t="s">
        <v>496</v>
      </c>
      <c r="F1" s="54" t="s">
        <v>496</v>
      </c>
      <c r="G1" s="54" t="s">
        <v>496</v>
      </c>
      <c r="H1" s="54" t="s">
        <v>496</v>
      </c>
      <c r="I1" s="54" t="s">
        <v>496</v>
      </c>
      <c r="J1" s="54" t="s">
        <v>496</v>
      </c>
      <c r="K1" s="54" t="s">
        <v>496</v>
      </c>
      <c r="L1" s="54" t="s">
        <v>496</v>
      </c>
      <c r="M1" s="54" t="s">
        <v>496</v>
      </c>
      <c r="N1" s="54" t="s">
        <v>496</v>
      </c>
      <c r="O1" s="54" t="s">
        <v>496</v>
      </c>
      <c r="P1" s="54" t="s">
        <v>496</v>
      </c>
    </row>
    <row r="2" spans="1:16" ht="15" customHeight="1">
      <c r="A2" s="55" t="s">
        <v>497</v>
      </c>
      <c r="B2" s="55" t="s">
        <v>497</v>
      </c>
      <c r="C2" s="55" t="s">
        <v>497</v>
      </c>
      <c r="D2" s="55" t="s">
        <v>497</v>
      </c>
      <c r="E2" s="55" t="s">
        <v>497</v>
      </c>
      <c r="F2" s="55" t="s">
        <v>497</v>
      </c>
      <c r="G2" s="55" t="s">
        <v>497</v>
      </c>
      <c r="H2" s="55" t="s">
        <v>497</v>
      </c>
      <c r="I2" s="55" t="s">
        <v>497</v>
      </c>
      <c r="J2" s="55" t="s">
        <v>497</v>
      </c>
      <c r="K2" s="55" t="s">
        <v>497</v>
      </c>
      <c r="L2" s="55" t="s">
        <v>497</v>
      </c>
      <c r="M2" s="55" t="s">
        <v>497</v>
      </c>
      <c r="N2" s="55" t="s">
        <v>497</v>
      </c>
      <c r="O2" s="55" t="s">
        <v>497</v>
      </c>
      <c r="P2" s="55" t="s">
        <v>497</v>
      </c>
    </row>
    <row r="4" spans="1:16" ht="24" customHeight="1">
      <c r="A4" s="2" t="s">
        <v>498</v>
      </c>
      <c r="B4" s="2" t="s">
        <v>499</v>
      </c>
      <c r="C4" s="2" t="s">
        <v>500</v>
      </c>
      <c r="D4" s="2" t="s">
        <v>501</v>
      </c>
      <c r="E4" s="2" t="s">
        <v>502</v>
      </c>
      <c r="F4" s="2" t="s">
        <v>503</v>
      </c>
      <c r="G4" s="2" t="s">
        <v>504</v>
      </c>
      <c r="H4" s="2" t="s">
        <v>505</v>
      </c>
      <c r="I4" s="2" t="s">
        <v>506</v>
      </c>
      <c r="J4" s="2" t="s">
        <v>507</v>
      </c>
      <c r="K4" s="2" t="s">
        <v>508</v>
      </c>
      <c r="L4" s="2" t="s">
        <v>509</v>
      </c>
      <c r="M4" s="2" t="s">
        <v>510</v>
      </c>
      <c r="N4" s="2" t="s">
        <v>511</v>
      </c>
      <c r="O4" s="2" t="s">
        <v>512</v>
      </c>
      <c r="P4" s="2" t="s">
        <v>513</v>
      </c>
    </row>
    <row r="5" spans="1:16" ht="21.6" customHeight="1">
      <c r="A5" s="9" t="s">
        <v>514</v>
      </c>
      <c r="B5" s="9">
        <v>2040</v>
      </c>
      <c r="C5" s="9" t="s">
        <v>515</v>
      </c>
      <c r="D5" s="10">
        <f>$B$18</f>
        <v>439</v>
      </c>
      <c r="E5" s="10">
        <f>$B$20</f>
        <v>411.5</v>
      </c>
      <c r="F5" s="10">
        <f>$B$19</f>
        <v>27.5</v>
      </c>
      <c r="G5" s="10">
        <f>$B$16</f>
        <v>1</v>
      </c>
      <c r="H5" s="10">
        <f>$B$15</f>
        <v>0.8</v>
      </c>
      <c r="I5" s="10">
        <f>$B$15</f>
        <v>0.8</v>
      </c>
      <c r="J5" s="9" t="s">
        <v>516</v>
      </c>
      <c r="K5" s="9" t="s">
        <v>517</v>
      </c>
      <c r="L5" s="9" t="s">
        <v>518</v>
      </c>
      <c r="M5" s="10">
        <f>0</f>
        <v>0</v>
      </c>
      <c r="N5" s="10">
        <f>$B$28</f>
        <v>104.55</v>
      </c>
      <c r="O5" s="9" t="s">
        <v>519</v>
      </c>
      <c r="P5" s="9" t="s">
        <v>520</v>
      </c>
    </row>
    <row r="6" spans="1:16" ht="21.6" customHeight="1">
      <c r="A6" s="11" t="s">
        <v>521</v>
      </c>
      <c r="B6" s="11">
        <v>2040</v>
      </c>
      <c r="C6" s="11" t="s">
        <v>522</v>
      </c>
      <c r="D6" s="12">
        <f>$B$18</f>
        <v>439</v>
      </c>
      <c r="E6" s="12">
        <f>$B$20</f>
        <v>411.5</v>
      </c>
      <c r="F6" s="12">
        <f>$B$19</f>
        <v>27.5</v>
      </c>
      <c r="G6" s="12">
        <f>$B$16</f>
        <v>1</v>
      </c>
      <c r="H6" s="12">
        <f>$B$16</f>
        <v>1</v>
      </c>
      <c r="I6" s="12">
        <f>$B$16</f>
        <v>1</v>
      </c>
      <c r="J6" s="11" t="s">
        <v>523</v>
      </c>
      <c r="K6" s="11" t="s">
        <v>524</v>
      </c>
      <c r="L6" s="11" t="s">
        <v>525</v>
      </c>
      <c r="M6" s="12">
        <f>0</f>
        <v>0</v>
      </c>
      <c r="N6" s="12">
        <f>$B$28</f>
        <v>104.55</v>
      </c>
      <c r="O6" s="11" t="s">
        <v>526</v>
      </c>
      <c r="P6" s="11" t="s">
        <v>527</v>
      </c>
    </row>
    <row r="7" spans="1:16" ht="21.6" customHeight="1">
      <c r="A7" s="13" t="s">
        <v>528</v>
      </c>
      <c r="B7" s="13">
        <v>2040</v>
      </c>
      <c r="C7" s="13" t="s">
        <v>529</v>
      </c>
      <c r="D7" s="14">
        <f>$B$18*$B$17</f>
        <v>482.90000000000003</v>
      </c>
      <c r="E7" s="14">
        <f>$B$20*$B$17</f>
        <v>452.65000000000003</v>
      </c>
      <c r="F7" s="14">
        <f>$B$19*$B$17</f>
        <v>30.250000000000004</v>
      </c>
      <c r="G7" s="14">
        <f>$B$17</f>
        <v>1.1000000000000001</v>
      </c>
      <c r="H7" s="14">
        <f>$B$17</f>
        <v>1.1000000000000001</v>
      </c>
      <c r="I7" s="14">
        <f>$B$17</f>
        <v>1.1000000000000001</v>
      </c>
      <c r="J7" s="13" t="s">
        <v>530</v>
      </c>
      <c r="K7" s="13" t="s">
        <v>530</v>
      </c>
      <c r="L7" s="13" t="s">
        <v>531</v>
      </c>
      <c r="M7" s="14">
        <f>0</f>
        <v>0</v>
      </c>
      <c r="N7" s="14">
        <f>$B$28</f>
        <v>104.55</v>
      </c>
      <c r="O7" s="13" t="s">
        <v>519</v>
      </c>
      <c r="P7" s="13" t="s">
        <v>532</v>
      </c>
    </row>
    <row r="8" spans="1:16" ht="21.6" customHeight="1">
      <c r="A8" s="9" t="s">
        <v>533</v>
      </c>
      <c r="B8" s="9">
        <v>2050</v>
      </c>
      <c r="C8" s="9" t="s">
        <v>515</v>
      </c>
      <c r="D8" s="10">
        <f>$B$22</f>
        <v>583.1</v>
      </c>
      <c r="E8" s="10">
        <f>$B$24</f>
        <v>501.6</v>
      </c>
      <c r="F8" s="10">
        <f>$B$23</f>
        <v>81.5</v>
      </c>
      <c r="G8" s="10">
        <f>$B$16</f>
        <v>1</v>
      </c>
      <c r="H8" s="10">
        <f>$B$15</f>
        <v>0.8</v>
      </c>
      <c r="I8" s="10">
        <f>$B$15</f>
        <v>0.8</v>
      </c>
      <c r="J8" s="9" t="s">
        <v>534</v>
      </c>
      <c r="K8" s="9" t="s">
        <v>535</v>
      </c>
      <c r="L8" s="9" t="s">
        <v>536</v>
      </c>
      <c r="M8" s="10">
        <f>$B$27</f>
        <v>8</v>
      </c>
      <c r="N8" s="10">
        <f>$B$29</f>
        <v>400</v>
      </c>
      <c r="O8" s="9" t="s">
        <v>519</v>
      </c>
      <c r="P8" s="9" t="s">
        <v>537</v>
      </c>
    </row>
    <row r="9" spans="1:16" ht="21.6" customHeight="1">
      <c r="A9" s="11" t="s">
        <v>538</v>
      </c>
      <c r="B9" s="11">
        <v>2050</v>
      </c>
      <c r="C9" s="11" t="s">
        <v>522</v>
      </c>
      <c r="D9" s="12">
        <f>$B$22</f>
        <v>583.1</v>
      </c>
      <c r="E9" s="12">
        <f>$B$24</f>
        <v>501.6</v>
      </c>
      <c r="F9" s="12">
        <f>$B$23</f>
        <v>81.5</v>
      </c>
      <c r="G9" s="12">
        <f>$B$16</f>
        <v>1</v>
      </c>
      <c r="H9" s="12">
        <f>$B$16</f>
        <v>1</v>
      </c>
      <c r="I9" s="12">
        <f>$B$16</f>
        <v>1</v>
      </c>
      <c r="J9" s="11" t="s">
        <v>539</v>
      </c>
      <c r="K9" s="11" t="s">
        <v>524</v>
      </c>
      <c r="L9" s="11" t="s">
        <v>540</v>
      </c>
      <c r="M9" s="12">
        <f>$B$27</f>
        <v>8</v>
      </c>
      <c r="N9" s="12">
        <f>$B$29</f>
        <v>400</v>
      </c>
      <c r="O9" s="11" t="s">
        <v>541</v>
      </c>
      <c r="P9" s="11" t="s">
        <v>542</v>
      </c>
    </row>
    <row r="10" spans="1:16" ht="21.6" customHeight="1">
      <c r="A10" s="13" t="s">
        <v>543</v>
      </c>
      <c r="B10" s="13">
        <v>2050</v>
      </c>
      <c r="C10" s="13" t="s">
        <v>529</v>
      </c>
      <c r="D10" s="14">
        <f>$B$22*$B$17</f>
        <v>641.41000000000008</v>
      </c>
      <c r="E10" s="14">
        <f>$B$24*$B$17</f>
        <v>551.7600000000001</v>
      </c>
      <c r="F10" s="14">
        <f>$B$23*$B$17</f>
        <v>89.65</v>
      </c>
      <c r="G10" s="14">
        <f>$B$17</f>
        <v>1.1000000000000001</v>
      </c>
      <c r="H10" s="14">
        <f>$B$17</f>
        <v>1.1000000000000001</v>
      </c>
      <c r="I10" s="14">
        <f>$B$17</f>
        <v>1.1000000000000001</v>
      </c>
      <c r="J10" s="13" t="s">
        <v>530</v>
      </c>
      <c r="K10" s="13" t="s">
        <v>530</v>
      </c>
      <c r="L10" s="13" t="s">
        <v>544</v>
      </c>
      <c r="M10" s="14">
        <f>$B$27</f>
        <v>8</v>
      </c>
      <c r="N10" s="14">
        <f>$B$29</f>
        <v>400</v>
      </c>
      <c r="O10" s="13" t="s">
        <v>519</v>
      </c>
      <c r="P10" s="13" t="s">
        <v>545</v>
      </c>
    </row>
    <row r="11" spans="1:16" ht="15" customHeight="1"/>
    <row r="12" spans="1:16" ht="15" customHeight="1"/>
    <row r="13" spans="1:16" ht="15" customHeight="1">
      <c r="A13" s="59" t="s">
        <v>546</v>
      </c>
      <c r="B13" s="59" t="s">
        <v>546</v>
      </c>
      <c r="C13" s="59" t="s">
        <v>546</v>
      </c>
      <c r="E13" s="59" t="s">
        <v>547</v>
      </c>
      <c r="F13" s="59" t="s">
        <v>547</v>
      </c>
      <c r="G13" s="59" t="s">
        <v>547</v>
      </c>
      <c r="H13" s="59" t="s">
        <v>547</v>
      </c>
      <c r="I13" s="59" t="s">
        <v>547</v>
      </c>
      <c r="J13" s="59" t="s">
        <v>547</v>
      </c>
      <c r="K13" s="59" t="s">
        <v>547</v>
      </c>
      <c r="L13" s="59" t="s">
        <v>547</v>
      </c>
      <c r="M13" s="59" t="s">
        <v>547</v>
      </c>
      <c r="N13" s="59" t="s">
        <v>547</v>
      </c>
      <c r="O13" s="59" t="s">
        <v>547</v>
      </c>
      <c r="P13" s="59" t="s">
        <v>547</v>
      </c>
    </row>
    <row r="14" spans="1:16" ht="24" customHeight="1">
      <c r="A14" s="2" t="s">
        <v>548</v>
      </c>
      <c r="B14" s="2" t="s">
        <v>549</v>
      </c>
      <c r="C14" s="2" t="s">
        <v>550</v>
      </c>
      <c r="E14" s="2" t="s">
        <v>551</v>
      </c>
      <c r="F14" s="2" t="s">
        <v>552</v>
      </c>
      <c r="G14" s="2" t="s">
        <v>553</v>
      </c>
    </row>
    <row r="15" spans="1:16" ht="43.2" customHeight="1">
      <c r="A15" s="3" t="s">
        <v>554</v>
      </c>
      <c r="B15" s="15">
        <v>0.8</v>
      </c>
      <c r="C15" s="3" t="s">
        <v>555</v>
      </c>
      <c r="E15" s="3" t="s">
        <v>556</v>
      </c>
      <c r="F15" s="3" t="s">
        <v>557</v>
      </c>
      <c r="G15" s="3" t="s">
        <v>558</v>
      </c>
    </row>
    <row r="16" spans="1:16" ht="54" customHeight="1">
      <c r="A16" s="3" t="s">
        <v>559</v>
      </c>
      <c r="B16" s="15">
        <v>1</v>
      </c>
      <c r="C16" s="3" t="s">
        <v>560</v>
      </c>
      <c r="E16" s="3" t="s">
        <v>561</v>
      </c>
      <c r="F16" s="3" t="s">
        <v>557</v>
      </c>
      <c r="G16" s="3" t="s">
        <v>562</v>
      </c>
    </row>
    <row r="17" spans="1:7" ht="21.6" customHeight="1">
      <c r="A17" s="3" t="s">
        <v>563</v>
      </c>
      <c r="B17" s="15">
        <v>1.1000000000000001</v>
      </c>
      <c r="C17" s="3" t="s">
        <v>564</v>
      </c>
      <c r="E17" s="3" t="s">
        <v>565</v>
      </c>
      <c r="F17" s="3" t="s">
        <v>566</v>
      </c>
      <c r="G17" s="3" t="s">
        <v>567</v>
      </c>
    </row>
    <row r="18" spans="1:7" ht="32.4" customHeight="1">
      <c r="A18" s="3" t="s">
        <v>568</v>
      </c>
      <c r="B18" s="16">
        <v>439</v>
      </c>
      <c r="C18" s="3" t="s">
        <v>569</v>
      </c>
      <c r="E18" s="3" t="s">
        <v>570</v>
      </c>
      <c r="F18" s="3" t="s">
        <v>566</v>
      </c>
      <c r="G18" s="3" t="s">
        <v>571</v>
      </c>
    </row>
    <row r="19" spans="1:7" ht="32.4" customHeight="1">
      <c r="A19" s="3" t="s">
        <v>572</v>
      </c>
      <c r="B19" s="16">
        <v>27.5</v>
      </c>
      <c r="C19" s="3" t="s">
        <v>573</v>
      </c>
      <c r="E19" s="3" t="s">
        <v>574</v>
      </c>
      <c r="F19" s="3" t="s">
        <v>566</v>
      </c>
      <c r="G19" s="3" t="s">
        <v>575</v>
      </c>
    </row>
    <row r="20" spans="1:7" ht="32.4" customHeight="1">
      <c r="A20" s="3" t="s">
        <v>576</v>
      </c>
      <c r="B20" s="16">
        <f>B18-B19</f>
        <v>411.5</v>
      </c>
      <c r="C20" s="3" t="s">
        <v>577</v>
      </c>
      <c r="E20" s="3" t="s">
        <v>578</v>
      </c>
      <c r="F20" s="3" t="s">
        <v>566</v>
      </c>
      <c r="G20" s="3" t="s">
        <v>579</v>
      </c>
    </row>
    <row r="21" spans="1:7" ht="21.6" customHeight="1">
      <c r="A21" s="3" t="s">
        <v>580</v>
      </c>
      <c r="B21" s="16">
        <v>412</v>
      </c>
      <c r="C21" s="3" t="s">
        <v>581</v>
      </c>
    </row>
    <row r="22" spans="1:7" ht="15" customHeight="1">
      <c r="A22" s="3" t="s">
        <v>582</v>
      </c>
      <c r="B22" s="16">
        <v>583.1</v>
      </c>
      <c r="C22" s="3" t="s">
        <v>583</v>
      </c>
    </row>
    <row r="23" spans="1:7" ht="15" customHeight="1">
      <c r="A23" s="3" t="s">
        <v>584</v>
      </c>
      <c r="B23" s="16">
        <v>81.5</v>
      </c>
      <c r="C23" s="3" t="s">
        <v>583</v>
      </c>
    </row>
    <row r="24" spans="1:7" ht="15" customHeight="1">
      <c r="A24" s="3" t="s">
        <v>585</v>
      </c>
      <c r="B24" s="16">
        <f>B22-B23</f>
        <v>501.6</v>
      </c>
      <c r="C24" s="3" t="s">
        <v>586</v>
      </c>
    </row>
    <row r="25" spans="1:7" ht="21.6" customHeight="1">
      <c r="A25" s="3" t="s">
        <v>587</v>
      </c>
      <c r="B25" s="16">
        <v>55</v>
      </c>
      <c r="C25" s="3" t="s">
        <v>588</v>
      </c>
    </row>
    <row r="26" spans="1:7" ht="32.4" customHeight="1">
      <c r="A26" s="3" t="s">
        <v>589</v>
      </c>
      <c r="B26" s="16">
        <v>30</v>
      </c>
      <c r="C26" s="3" t="s">
        <v>590</v>
      </c>
    </row>
    <row r="27" spans="1:7" ht="15" customHeight="1">
      <c r="A27" s="3" t="s">
        <v>591</v>
      </c>
      <c r="B27" s="16">
        <v>8</v>
      </c>
      <c r="C27" s="3" t="s">
        <v>592</v>
      </c>
    </row>
    <row r="28" spans="1:7" ht="15" customHeight="1">
      <c r="A28" s="3" t="s">
        <v>593</v>
      </c>
      <c r="B28" s="16">
        <v>104.55</v>
      </c>
      <c r="C28" s="3" t="s">
        <v>594</v>
      </c>
    </row>
    <row r="29" spans="1:7" ht="15" customHeight="1">
      <c r="A29" s="3" t="s">
        <v>595</v>
      </c>
      <c r="B29" s="16">
        <v>400</v>
      </c>
      <c r="C29" s="3" t="s">
        <v>594</v>
      </c>
    </row>
    <row r="30" spans="1:7" ht="15" customHeight="1"/>
    <row r="31" spans="1:7" ht="15" customHeight="1"/>
    <row r="32" spans="1:7" ht="15" customHeight="1"/>
    <row r="33" ht="15" customHeight="1"/>
  </sheetData>
  <mergeCells count="4">
    <mergeCell ref="A1:P1"/>
    <mergeCell ref="A2:P2"/>
    <mergeCell ref="A13:C13"/>
    <mergeCell ref="E13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workbookViewId="0">
      <selection sqref="A1:XFD1048576"/>
    </sheetView>
  </sheetViews>
  <sheetFormatPr defaultRowHeight="14.4"/>
  <cols>
    <col min="1" max="1" width="12" style="1" customWidth="1"/>
    <col min="2" max="2" width="18" style="1" customWidth="1"/>
    <col min="3" max="3" width="26" style="1" customWidth="1"/>
    <col min="4" max="4" width="16" style="1" customWidth="1"/>
    <col min="5" max="5" width="12" style="1" customWidth="1"/>
    <col min="6" max="6" width="20" style="1" customWidth="1"/>
    <col min="7" max="7" width="18" style="1" customWidth="1"/>
    <col min="8" max="8" width="16" style="1" customWidth="1"/>
    <col min="9" max="9" width="18" style="1" customWidth="1"/>
    <col min="10" max="10" width="16" style="1" customWidth="1"/>
    <col min="11" max="11" width="46" style="1" customWidth="1"/>
    <col min="12" max="12" width="18" style="1" customWidth="1"/>
    <col min="13" max="13" width="54" style="1" customWidth="1"/>
    <col min="14" max="14" width="36" style="1" customWidth="1"/>
    <col min="15" max="16384" width="8.796875" style="1"/>
  </cols>
  <sheetData>
    <row r="1" spans="1:14" ht="27.15" customHeight="1">
      <c r="A1" s="57" t="s">
        <v>596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5.65" customHeight="1">
      <c r="A2" s="58" t="s">
        <v>597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1:14" ht="30.45" customHeight="1">
      <c r="A4" s="6" t="s">
        <v>598</v>
      </c>
      <c r="B4" s="6" t="s">
        <v>599</v>
      </c>
      <c r="C4" s="6" t="s">
        <v>600</v>
      </c>
      <c r="D4" s="6" t="s">
        <v>601</v>
      </c>
      <c r="E4" s="6" t="s">
        <v>602</v>
      </c>
      <c r="F4" s="6" t="s">
        <v>603</v>
      </c>
      <c r="G4" s="6" t="s">
        <v>604</v>
      </c>
      <c r="H4" s="6" t="s">
        <v>605</v>
      </c>
      <c r="I4" s="6" t="s">
        <v>552</v>
      </c>
      <c r="J4" s="6" t="s">
        <v>606</v>
      </c>
      <c r="K4" s="6" t="s">
        <v>607</v>
      </c>
      <c r="L4" s="6" t="s">
        <v>608</v>
      </c>
      <c r="M4" s="6" t="s">
        <v>609</v>
      </c>
      <c r="N4" s="6" t="s">
        <v>53</v>
      </c>
    </row>
    <row r="5" spans="1:14" ht="24" customHeight="1">
      <c r="A5" s="7" t="s">
        <v>610</v>
      </c>
      <c r="B5" s="7" t="s">
        <v>611</v>
      </c>
      <c r="C5" s="7" t="s">
        <v>612</v>
      </c>
      <c r="D5" s="7" t="s">
        <v>613</v>
      </c>
      <c r="E5" s="7" t="s">
        <v>614</v>
      </c>
      <c r="F5" s="7" t="s">
        <v>615</v>
      </c>
      <c r="G5" s="7" t="s">
        <v>616</v>
      </c>
      <c r="H5" s="7" t="s">
        <v>617</v>
      </c>
      <c r="I5" s="7" t="s">
        <v>618</v>
      </c>
      <c r="J5" s="7" t="s">
        <v>619</v>
      </c>
      <c r="K5" s="7" t="s">
        <v>620</v>
      </c>
      <c r="L5" s="7" t="s">
        <v>621</v>
      </c>
      <c r="M5" s="7" t="s">
        <v>172</v>
      </c>
      <c r="N5" s="7" t="s">
        <v>622</v>
      </c>
    </row>
    <row r="6" spans="1:14" ht="24" customHeight="1">
      <c r="A6" s="7" t="s">
        <v>623</v>
      </c>
      <c r="B6" s="7" t="s">
        <v>611</v>
      </c>
      <c r="C6" s="7" t="s">
        <v>624</v>
      </c>
      <c r="D6" s="7" t="s">
        <v>613</v>
      </c>
      <c r="E6" s="7" t="s">
        <v>614</v>
      </c>
      <c r="F6" s="7" t="s">
        <v>615</v>
      </c>
      <c r="G6" s="7" t="s">
        <v>616</v>
      </c>
      <c r="H6" s="7" t="s">
        <v>617</v>
      </c>
      <c r="I6" s="7" t="s">
        <v>618</v>
      </c>
      <c r="J6" s="7" t="s">
        <v>619</v>
      </c>
      <c r="K6" s="7" t="s">
        <v>620</v>
      </c>
      <c r="L6" s="7" t="s">
        <v>621</v>
      </c>
      <c r="M6" s="7" t="s">
        <v>172</v>
      </c>
      <c r="N6" s="7" t="s">
        <v>622</v>
      </c>
    </row>
    <row r="7" spans="1:14" ht="24" customHeight="1">
      <c r="A7" s="7" t="s">
        <v>625</v>
      </c>
      <c r="B7" s="7" t="s">
        <v>611</v>
      </c>
      <c r="C7" s="7" t="s">
        <v>626</v>
      </c>
      <c r="D7" s="7" t="s">
        <v>613</v>
      </c>
      <c r="E7" s="7" t="s">
        <v>614</v>
      </c>
      <c r="F7" s="7" t="s">
        <v>615</v>
      </c>
      <c r="G7" s="7" t="s">
        <v>616</v>
      </c>
      <c r="H7" s="7" t="s">
        <v>617</v>
      </c>
      <c r="I7" s="7" t="s">
        <v>618</v>
      </c>
      <c r="J7" s="7" t="s">
        <v>619</v>
      </c>
      <c r="K7" s="7" t="s">
        <v>620</v>
      </c>
      <c r="L7" s="7" t="s">
        <v>621</v>
      </c>
      <c r="M7" s="7" t="s">
        <v>172</v>
      </c>
      <c r="N7" s="7" t="s">
        <v>622</v>
      </c>
    </row>
    <row r="8" spans="1:14" ht="24" customHeight="1">
      <c r="A8" s="7" t="s">
        <v>627</v>
      </c>
      <c r="B8" s="7" t="s">
        <v>611</v>
      </c>
      <c r="C8" s="7" t="s">
        <v>628</v>
      </c>
      <c r="D8" s="7" t="s">
        <v>613</v>
      </c>
      <c r="E8" s="7" t="s">
        <v>614</v>
      </c>
      <c r="F8" s="7" t="s">
        <v>615</v>
      </c>
      <c r="G8" s="7" t="s">
        <v>616</v>
      </c>
      <c r="H8" s="7" t="s">
        <v>617</v>
      </c>
      <c r="I8" s="7" t="s">
        <v>618</v>
      </c>
      <c r="J8" s="7" t="s">
        <v>619</v>
      </c>
      <c r="K8" s="7" t="s">
        <v>620</v>
      </c>
      <c r="L8" s="7" t="s">
        <v>621</v>
      </c>
      <c r="M8" s="7" t="s">
        <v>172</v>
      </c>
      <c r="N8" s="7" t="s">
        <v>622</v>
      </c>
    </row>
    <row r="9" spans="1:14" ht="24" customHeight="1">
      <c r="A9" s="7" t="s">
        <v>629</v>
      </c>
      <c r="B9" s="7" t="s">
        <v>611</v>
      </c>
      <c r="C9" s="7" t="s">
        <v>630</v>
      </c>
      <c r="D9" s="7" t="s">
        <v>613</v>
      </c>
      <c r="E9" s="7" t="s">
        <v>614</v>
      </c>
      <c r="F9" s="7" t="s">
        <v>615</v>
      </c>
      <c r="G9" s="7" t="s">
        <v>616</v>
      </c>
      <c r="H9" s="7" t="s">
        <v>617</v>
      </c>
      <c r="I9" s="7" t="s">
        <v>618</v>
      </c>
      <c r="J9" s="7" t="s">
        <v>619</v>
      </c>
      <c r="K9" s="7" t="s">
        <v>620</v>
      </c>
      <c r="L9" s="7" t="s">
        <v>621</v>
      </c>
      <c r="M9" s="7" t="s">
        <v>172</v>
      </c>
      <c r="N9" s="7" t="s">
        <v>622</v>
      </c>
    </row>
    <row r="10" spans="1:14" ht="24" customHeight="1">
      <c r="A10" s="7" t="s">
        <v>631</v>
      </c>
      <c r="B10" s="7" t="s">
        <v>611</v>
      </c>
      <c r="C10" s="7" t="s">
        <v>632</v>
      </c>
      <c r="D10" s="7" t="s">
        <v>613</v>
      </c>
      <c r="E10" s="7" t="s">
        <v>614</v>
      </c>
      <c r="F10" s="7" t="s">
        <v>615</v>
      </c>
      <c r="G10" s="7" t="s">
        <v>616</v>
      </c>
      <c r="H10" s="7" t="s">
        <v>617</v>
      </c>
      <c r="I10" s="7" t="s">
        <v>618</v>
      </c>
      <c r="J10" s="7" t="s">
        <v>619</v>
      </c>
      <c r="K10" s="7" t="s">
        <v>620</v>
      </c>
      <c r="L10" s="7" t="s">
        <v>621</v>
      </c>
      <c r="M10" s="7" t="s">
        <v>172</v>
      </c>
      <c r="N10" s="7" t="s">
        <v>622</v>
      </c>
    </row>
    <row r="11" spans="1:14" ht="24" customHeight="1">
      <c r="A11" s="7" t="s">
        <v>633</v>
      </c>
      <c r="B11" s="7" t="s">
        <v>611</v>
      </c>
      <c r="C11" s="7" t="s">
        <v>634</v>
      </c>
      <c r="D11" s="7" t="s">
        <v>613</v>
      </c>
      <c r="E11" s="7" t="s">
        <v>614</v>
      </c>
      <c r="F11" s="7" t="s">
        <v>615</v>
      </c>
      <c r="G11" s="7" t="s">
        <v>616</v>
      </c>
      <c r="H11" s="7" t="s">
        <v>617</v>
      </c>
      <c r="I11" s="7" t="s">
        <v>618</v>
      </c>
      <c r="J11" s="7" t="s">
        <v>619</v>
      </c>
      <c r="K11" s="7" t="s">
        <v>620</v>
      </c>
      <c r="L11" s="7" t="s">
        <v>621</v>
      </c>
      <c r="M11" s="7" t="s">
        <v>172</v>
      </c>
      <c r="N11" s="7" t="s">
        <v>622</v>
      </c>
    </row>
    <row r="12" spans="1:14" ht="24" customHeight="1">
      <c r="A12" s="7" t="s">
        <v>635</v>
      </c>
      <c r="B12" s="7" t="s">
        <v>611</v>
      </c>
      <c r="C12" s="7" t="s">
        <v>636</v>
      </c>
      <c r="D12" s="7" t="s">
        <v>613</v>
      </c>
      <c r="E12" s="7" t="s">
        <v>614</v>
      </c>
      <c r="F12" s="7" t="s">
        <v>615</v>
      </c>
      <c r="G12" s="7" t="s">
        <v>616</v>
      </c>
      <c r="H12" s="7" t="s">
        <v>617</v>
      </c>
      <c r="I12" s="7" t="s">
        <v>618</v>
      </c>
      <c r="J12" s="7" t="s">
        <v>619</v>
      </c>
      <c r="K12" s="7" t="s">
        <v>620</v>
      </c>
      <c r="L12" s="7" t="s">
        <v>621</v>
      </c>
      <c r="M12" s="7" t="s">
        <v>172</v>
      </c>
      <c r="N12" s="7" t="s">
        <v>622</v>
      </c>
    </row>
    <row r="13" spans="1:14" ht="24" customHeight="1">
      <c r="A13" s="7" t="s">
        <v>637</v>
      </c>
      <c r="B13" s="7" t="s">
        <v>611</v>
      </c>
      <c r="C13" s="7" t="s">
        <v>638</v>
      </c>
      <c r="D13" s="7" t="s">
        <v>613</v>
      </c>
      <c r="E13" s="7" t="s">
        <v>639</v>
      </c>
      <c r="F13" s="7" t="s">
        <v>640</v>
      </c>
      <c r="G13" s="7" t="s">
        <v>641</v>
      </c>
      <c r="H13" s="7" t="s">
        <v>617</v>
      </c>
      <c r="I13" s="7" t="s">
        <v>618</v>
      </c>
      <c r="J13" s="7" t="s">
        <v>619</v>
      </c>
      <c r="K13" s="7" t="s">
        <v>620</v>
      </c>
      <c r="L13" s="7" t="s">
        <v>621</v>
      </c>
      <c r="M13" s="7" t="s">
        <v>172</v>
      </c>
      <c r="N13" s="7" t="s">
        <v>622</v>
      </c>
    </row>
    <row r="14" spans="1:14" ht="24" customHeight="1">
      <c r="A14" s="7" t="s">
        <v>642</v>
      </c>
      <c r="B14" s="7" t="s">
        <v>611</v>
      </c>
      <c r="C14" s="7" t="s">
        <v>643</v>
      </c>
      <c r="D14" s="7" t="s">
        <v>613</v>
      </c>
      <c r="E14" s="7" t="s">
        <v>639</v>
      </c>
      <c r="F14" s="7" t="s">
        <v>640</v>
      </c>
      <c r="G14" s="7" t="s">
        <v>641</v>
      </c>
      <c r="H14" s="7" t="s">
        <v>617</v>
      </c>
      <c r="I14" s="7" t="s">
        <v>618</v>
      </c>
      <c r="J14" s="7" t="s">
        <v>619</v>
      </c>
      <c r="K14" s="7" t="s">
        <v>620</v>
      </c>
      <c r="L14" s="7" t="s">
        <v>621</v>
      </c>
      <c r="M14" s="7" t="s">
        <v>172</v>
      </c>
      <c r="N14" s="7" t="s">
        <v>622</v>
      </c>
    </row>
    <row r="15" spans="1:14" ht="24" customHeight="1">
      <c r="A15" s="7" t="s">
        <v>644</v>
      </c>
      <c r="B15" s="7" t="s">
        <v>611</v>
      </c>
      <c r="C15" s="7" t="s">
        <v>645</v>
      </c>
      <c r="D15" s="7" t="s">
        <v>613</v>
      </c>
      <c r="E15" s="7" t="s">
        <v>646</v>
      </c>
      <c r="F15" s="7" t="s">
        <v>647</v>
      </c>
      <c r="G15" s="7" t="s">
        <v>648</v>
      </c>
      <c r="H15" s="7" t="s">
        <v>617</v>
      </c>
      <c r="I15" s="7" t="s">
        <v>618</v>
      </c>
      <c r="J15" s="7" t="s">
        <v>619</v>
      </c>
      <c r="K15" s="7" t="s">
        <v>620</v>
      </c>
      <c r="L15" s="7" t="s">
        <v>621</v>
      </c>
      <c r="M15" s="7" t="s">
        <v>172</v>
      </c>
      <c r="N15" s="7" t="s">
        <v>622</v>
      </c>
    </row>
    <row r="16" spans="1:14" ht="24" customHeight="1">
      <c r="A16" s="7" t="s">
        <v>649</v>
      </c>
      <c r="B16" s="7" t="s">
        <v>611</v>
      </c>
      <c r="C16" s="7" t="s">
        <v>650</v>
      </c>
      <c r="D16" s="7" t="s">
        <v>613</v>
      </c>
      <c r="E16" s="7" t="s">
        <v>646</v>
      </c>
      <c r="F16" s="7" t="s">
        <v>647</v>
      </c>
      <c r="G16" s="7" t="s">
        <v>648</v>
      </c>
      <c r="H16" s="7" t="s">
        <v>617</v>
      </c>
      <c r="I16" s="7" t="s">
        <v>618</v>
      </c>
      <c r="J16" s="7" t="s">
        <v>619</v>
      </c>
      <c r="K16" s="7" t="s">
        <v>620</v>
      </c>
      <c r="L16" s="7" t="s">
        <v>621</v>
      </c>
      <c r="M16" s="7" t="s">
        <v>172</v>
      </c>
      <c r="N16" s="7" t="s">
        <v>622</v>
      </c>
    </row>
    <row r="17" spans="1:14" ht="24" customHeight="1">
      <c r="A17" s="7" t="s">
        <v>651</v>
      </c>
      <c r="B17" s="7" t="s">
        <v>611</v>
      </c>
      <c r="C17" s="7" t="s">
        <v>652</v>
      </c>
      <c r="D17" s="7" t="s">
        <v>613</v>
      </c>
      <c r="E17" s="7" t="s">
        <v>646</v>
      </c>
      <c r="F17" s="7" t="s">
        <v>647</v>
      </c>
      <c r="G17" s="7" t="s">
        <v>648</v>
      </c>
      <c r="H17" s="7" t="s">
        <v>617</v>
      </c>
      <c r="I17" s="7" t="s">
        <v>618</v>
      </c>
      <c r="J17" s="7" t="s">
        <v>619</v>
      </c>
      <c r="K17" s="7" t="s">
        <v>620</v>
      </c>
      <c r="L17" s="7" t="s">
        <v>621</v>
      </c>
      <c r="M17" s="7" t="s">
        <v>172</v>
      </c>
      <c r="N17" s="7" t="s">
        <v>622</v>
      </c>
    </row>
    <row r="18" spans="1:14" ht="24" customHeight="1">
      <c r="A18" s="7" t="s">
        <v>653</v>
      </c>
      <c r="B18" s="7" t="s">
        <v>611</v>
      </c>
      <c r="C18" s="7" t="s">
        <v>654</v>
      </c>
      <c r="D18" s="7" t="s">
        <v>613</v>
      </c>
      <c r="E18" s="7" t="s">
        <v>646</v>
      </c>
      <c r="F18" s="7" t="s">
        <v>647</v>
      </c>
      <c r="G18" s="7" t="s">
        <v>648</v>
      </c>
      <c r="H18" s="7" t="s">
        <v>617</v>
      </c>
      <c r="I18" s="7" t="s">
        <v>618</v>
      </c>
      <c r="J18" s="7" t="s">
        <v>619</v>
      </c>
      <c r="K18" s="7" t="s">
        <v>620</v>
      </c>
      <c r="L18" s="7" t="s">
        <v>621</v>
      </c>
      <c r="M18" s="7" t="s">
        <v>172</v>
      </c>
      <c r="N18" s="7" t="s">
        <v>622</v>
      </c>
    </row>
    <row r="19" spans="1:14" ht="24" customHeight="1">
      <c r="A19" s="7" t="s">
        <v>655</v>
      </c>
      <c r="B19" s="7" t="s">
        <v>611</v>
      </c>
      <c r="C19" s="7" t="s">
        <v>656</v>
      </c>
      <c r="D19" s="7" t="s">
        <v>613</v>
      </c>
      <c r="E19" s="7" t="s">
        <v>657</v>
      </c>
      <c r="F19" s="7" t="s">
        <v>658</v>
      </c>
      <c r="G19" s="7" t="s">
        <v>659</v>
      </c>
      <c r="H19" s="7" t="s">
        <v>617</v>
      </c>
      <c r="I19" s="7" t="s">
        <v>618</v>
      </c>
      <c r="J19" s="7" t="s">
        <v>619</v>
      </c>
      <c r="K19" s="7" t="s">
        <v>620</v>
      </c>
      <c r="L19" s="7" t="s">
        <v>621</v>
      </c>
      <c r="M19" s="7" t="s">
        <v>172</v>
      </c>
      <c r="N19" s="7" t="s">
        <v>622</v>
      </c>
    </row>
    <row r="20" spans="1:14" ht="24" customHeight="1">
      <c r="A20" s="7" t="s">
        <v>660</v>
      </c>
      <c r="B20" s="7" t="s">
        <v>611</v>
      </c>
      <c r="C20" s="7" t="s">
        <v>661</v>
      </c>
      <c r="D20" s="7" t="s">
        <v>613</v>
      </c>
      <c r="E20" s="7" t="s">
        <v>657</v>
      </c>
      <c r="F20" s="7" t="s">
        <v>658</v>
      </c>
      <c r="G20" s="7" t="s">
        <v>659</v>
      </c>
      <c r="H20" s="7" t="s">
        <v>617</v>
      </c>
      <c r="I20" s="7" t="s">
        <v>618</v>
      </c>
      <c r="J20" s="7" t="s">
        <v>619</v>
      </c>
      <c r="K20" s="7" t="s">
        <v>620</v>
      </c>
      <c r="L20" s="7" t="s">
        <v>621</v>
      </c>
      <c r="M20" s="7" t="s">
        <v>172</v>
      </c>
      <c r="N20" s="7" t="s">
        <v>622</v>
      </c>
    </row>
    <row r="21" spans="1:14" ht="24" customHeight="1">
      <c r="A21" s="7" t="s">
        <v>662</v>
      </c>
      <c r="B21" s="7" t="s">
        <v>611</v>
      </c>
      <c r="C21" s="7" t="s">
        <v>663</v>
      </c>
      <c r="D21" s="7" t="s">
        <v>613</v>
      </c>
      <c r="E21" s="7" t="s">
        <v>657</v>
      </c>
      <c r="F21" s="7" t="s">
        <v>658</v>
      </c>
      <c r="G21" s="7" t="s">
        <v>659</v>
      </c>
      <c r="H21" s="7" t="s">
        <v>617</v>
      </c>
      <c r="I21" s="7" t="s">
        <v>618</v>
      </c>
      <c r="J21" s="7" t="s">
        <v>619</v>
      </c>
      <c r="K21" s="7" t="s">
        <v>620</v>
      </c>
      <c r="L21" s="7" t="s">
        <v>621</v>
      </c>
      <c r="M21" s="7" t="s">
        <v>172</v>
      </c>
      <c r="N21" s="7" t="s">
        <v>622</v>
      </c>
    </row>
    <row r="22" spans="1:14" ht="24" customHeight="1">
      <c r="A22" s="7" t="s">
        <v>664</v>
      </c>
      <c r="B22" s="7" t="s">
        <v>611</v>
      </c>
      <c r="C22" s="7" t="s">
        <v>665</v>
      </c>
      <c r="D22" s="7" t="s">
        <v>613</v>
      </c>
      <c r="E22" s="7" t="s">
        <v>666</v>
      </c>
      <c r="F22" s="7" t="s">
        <v>665</v>
      </c>
      <c r="G22" s="7" t="s">
        <v>667</v>
      </c>
      <c r="H22" s="7" t="s">
        <v>617</v>
      </c>
      <c r="I22" s="7" t="s">
        <v>618</v>
      </c>
      <c r="J22" s="7" t="s">
        <v>619</v>
      </c>
      <c r="K22" s="7" t="s">
        <v>620</v>
      </c>
      <c r="L22" s="7" t="s">
        <v>621</v>
      </c>
      <c r="M22" s="7" t="s">
        <v>172</v>
      </c>
      <c r="N22" s="7" t="s">
        <v>622</v>
      </c>
    </row>
    <row r="23" spans="1:14" ht="24" customHeight="1">
      <c r="A23" s="7" t="s">
        <v>668</v>
      </c>
      <c r="B23" s="7" t="s">
        <v>611</v>
      </c>
      <c r="C23" s="7" t="s">
        <v>669</v>
      </c>
      <c r="D23" s="7" t="s">
        <v>613</v>
      </c>
      <c r="E23" s="7" t="s">
        <v>670</v>
      </c>
      <c r="F23" s="7" t="s">
        <v>669</v>
      </c>
      <c r="G23" s="7" t="s">
        <v>671</v>
      </c>
      <c r="H23" s="7" t="s">
        <v>617</v>
      </c>
      <c r="I23" s="7" t="s">
        <v>618</v>
      </c>
      <c r="J23" s="7" t="s">
        <v>619</v>
      </c>
      <c r="K23" s="7" t="s">
        <v>620</v>
      </c>
      <c r="L23" s="7" t="s">
        <v>621</v>
      </c>
      <c r="M23" s="7" t="s">
        <v>172</v>
      </c>
      <c r="N23" s="7" t="s">
        <v>622</v>
      </c>
    </row>
    <row r="24" spans="1:14" ht="24" customHeight="1">
      <c r="A24" s="7" t="s">
        <v>672</v>
      </c>
      <c r="B24" s="7" t="s">
        <v>611</v>
      </c>
      <c r="C24" s="7" t="s">
        <v>673</v>
      </c>
      <c r="D24" s="7" t="s">
        <v>613</v>
      </c>
      <c r="E24" s="7" t="s">
        <v>674</v>
      </c>
      <c r="F24" s="7" t="s">
        <v>673</v>
      </c>
      <c r="G24" s="7" t="s">
        <v>675</v>
      </c>
      <c r="H24" s="7" t="s">
        <v>617</v>
      </c>
      <c r="I24" s="7" t="s">
        <v>618</v>
      </c>
      <c r="J24" s="7" t="s">
        <v>619</v>
      </c>
      <c r="K24" s="7" t="s">
        <v>620</v>
      </c>
      <c r="L24" s="7" t="s">
        <v>621</v>
      </c>
      <c r="M24" s="7" t="s">
        <v>172</v>
      </c>
      <c r="N24" s="7" t="s">
        <v>622</v>
      </c>
    </row>
    <row r="25" spans="1:14" ht="24" customHeight="1">
      <c r="A25" s="7" t="s">
        <v>676</v>
      </c>
      <c r="B25" s="7" t="s">
        <v>677</v>
      </c>
      <c r="C25" s="7" t="s">
        <v>678</v>
      </c>
      <c r="D25" s="7" t="s">
        <v>679</v>
      </c>
      <c r="E25" s="7" t="s">
        <v>680</v>
      </c>
      <c r="F25" s="7" t="s">
        <v>681</v>
      </c>
      <c r="G25" s="7" t="s">
        <v>682</v>
      </c>
      <c r="H25" s="7" t="s">
        <v>683</v>
      </c>
      <c r="I25" s="7" t="s">
        <v>684</v>
      </c>
      <c r="J25" s="7" t="s">
        <v>685</v>
      </c>
      <c r="K25" s="7" t="s">
        <v>686</v>
      </c>
      <c r="L25" s="7" t="s">
        <v>687</v>
      </c>
      <c r="M25" s="7" t="s">
        <v>688</v>
      </c>
      <c r="N25" s="7" t="s">
        <v>689</v>
      </c>
    </row>
    <row r="26" spans="1:14" ht="24" customHeight="1">
      <c r="A26" s="7" t="s">
        <v>690</v>
      </c>
      <c r="B26" s="7" t="s">
        <v>677</v>
      </c>
      <c r="C26" s="7" t="s">
        <v>678</v>
      </c>
      <c r="D26" s="7" t="s">
        <v>679</v>
      </c>
      <c r="E26" s="7" t="s">
        <v>691</v>
      </c>
      <c r="F26" s="7" t="s">
        <v>692</v>
      </c>
      <c r="G26" s="7" t="s">
        <v>693</v>
      </c>
      <c r="H26" s="7" t="s">
        <v>683</v>
      </c>
      <c r="I26" s="7" t="s">
        <v>684</v>
      </c>
      <c r="J26" s="7" t="s">
        <v>685</v>
      </c>
      <c r="K26" s="7" t="s">
        <v>686</v>
      </c>
      <c r="L26" s="7" t="s">
        <v>687</v>
      </c>
      <c r="M26" s="7" t="s">
        <v>688</v>
      </c>
      <c r="N26" s="7" t="s">
        <v>689</v>
      </c>
    </row>
    <row r="27" spans="1:14" ht="24" customHeight="1">
      <c r="A27" s="7" t="s">
        <v>694</v>
      </c>
      <c r="B27" s="7" t="s">
        <v>677</v>
      </c>
      <c r="C27" s="7" t="s">
        <v>695</v>
      </c>
      <c r="D27" s="7" t="s">
        <v>679</v>
      </c>
      <c r="E27" s="7" t="s">
        <v>696</v>
      </c>
      <c r="F27" s="7" t="s">
        <v>695</v>
      </c>
      <c r="G27" s="7" t="s">
        <v>697</v>
      </c>
      <c r="H27" s="7" t="s">
        <v>683</v>
      </c>
      <c r="I27" s="7" t="s">
        <v>684</v>
      </c>
      <c r="J27" s="7" t="s">
        <v>685</v>
      </c>
      <c r="K27" s="7" t="s">
        <v>686</v>
      </c>
      <c r="L27" s="7" t="s">
        <v>687</v>
      </c>
      <c r="M27" s="7" t="s">
        <v>688</v>
      </c>
      <c r="N27" s="7" t="s">
        <v>689</v>
      </c>
    </row>
    <row r="28" spans="1:14" ht="24" customHeight="1">
      <c r="A28" s="7" t="s">
        <v>698</v>
      </c>
      <c r="B28" s="7" t="s">
        <v>699</v>
      </c>
      <c r="C28" s="7" t="s">
        <v>364</v>
      </c>
      <c r="D28" s="7" t="s">
        <v>679</v>
      </c>
      <c r="E28" s="7" t="s">
        <v>700</v>
      </c>
      <c r="F28" s="7" t="s">
        <v>364</v>
      </c>
      <c r="G28" s="7" t="s">
        <v>700</v>
      </c>
      <c r="H28" s="7" t="s">
        <v>683</v>
      </c>
      <c r="I28" s="7" t="s">
        <v>684</v>
      </c>
      <c r="J28" s="7" t="s">
        <v>685</v>
      </c>
      <c r="K28" s="7" t="s">
        <v>686</v>
      </c>
      <c r="L28" s="7" t="s">
        <v>687</v>
      </c>
      <c r="M28" s="7" t="s">
        <v>688</v>
      </c>
      <c r="N28" s="7" t="s">
        <v>689</v>
      </c>
    </row>
    <row r="29" spans="1:14" ht="24" customHeight="1">
      <c r="A29" s="7" t="s">
        <v>701</v>
      </c>
      <c r="B29" s="7" t="s">
        <v>699</v>
      </c>
      <c r="C29" s="7" t="s">
        <v>702</v>
      </c>
      <c r="D29" s="7" t="s">
        <v>679</v>
      </c>
      <c r="E29" s="7" t="s">
        <v>703</v>
      </c>
      <c r="F29" s="7" t="s">
        <v>702</v>
      </c>
      <c r="G29" s="7" t="s">
        <v>703</v>
      </c>
      <c r="H29" s="7" t="s">
        <v>683</v>
      </c>
      <c r="I29" s="7" t="s">
        <v>684</v>
      </c>
      <c r="J29" s="7" t="s">
        <v>685</v>
      </c>
      <c r="K29" s="7" t="s">
        <v>686</v>
      </c>
      <c r="L29" s="7" t="s">
        <v>687</v>
      </c>
      <c r="M29" s="7" t="s">
        <v>688</v>
      </c>
      <c r="N29" s="7" t="s">
        <v>689</v>
      </c>
    </row>
    <row r="30" spans="1:14" ht="24" customHeight="1">
      <c r="A30" s="7" t="s">
        <v>704</v>
      </c>
      <c r="B30" s="7" t="s">
        <v>699</v>
      </c>
      <c r="C30" s="7" t="s">
        <v>705</v>
      </c>
      <c r="D30" s="7" t="s">
        <v>679</v>
      </c>
      <c r="E30" s="7" t="s">
        <v>706</v>
      </c>
      <c r="F30" s="7" t="s">
        <v>705</v>
      </c>
      <c r="G30" s="7" t="s">
        <v>706</v>
      </c>
      <c r="H30" s="7" t="s">
        <v>683</v>
      </c>
      <c r="I30" s="7" t="s">
        <v>684</v>
      </c>
      <c r="J30" s="7" t="s">
        <v>685</v>
      </c>
      <c r="K30" s="7" t="s">
        <v>686</v>
      </c>
      <c r="L30" s="7" t="s">
        <v>687</v>
      </c>
      <c r="M30" s="7" t="s">
        <v>688</v>
      </c>
      <c r="N30" s="7" t="s">
        <v>689</v>
      </c>
    </row>
    <row r="31" spans="1:14" ht="24" customHeight="1">
      <c r="A31" s="7" t="s">
        <v>707</v>
      </c>
      <c r="B31" s="7" t="s">
        <v>699</v>
      </c>
      <c r="C31" s="7" t="s">
        <v>708</v>
      </c>
      <c r="D31" s="7" t="s">
        <v>679</v>
      </c>
      <c r="E31" s="7" t="s">
        <v>709</v>
      </c>
      <c r="F31" s="7" t="s">
        <v>708</v>
      </c>
      <c r="G31" s="7" t="s">
        <v>709</v>
      </c>
      <c r="H31" s="7" t="s">
        <v>683</v>
      </c>
      <c r="I31" s="7" t="s">
        <v>684</v>
      </c>
      <c r="J31" s="7" t="s">
        <v>685</v>
      </c>
      <c r="K31" s="7" t="s">
        <v>686</v>
      </c>
      <c r="L31" s="7" t="s">
        <v>687</v>
      </c>
      <c r="M31" s="7" t="s">
        <v>688</v>
      </c>
      <c r="N31" s="7" t="s">
        <v>689</v>
      </c>
    </row>
    <row r="32" spans="1:14" ht="24" customHeight="1">
      <c r="A32" s="7" t="s">
        <v>710</v>
      </c>
      <c r="B32" s="7" t="s">
        <v>699</v>
      </c>
      <c r="C32" s="7" t="s">
        <v>711</v>
      </c>
      <c r="D32" s="7" t="s">
        <v>679</v>
      </c>
      <c r="E32" s="7" t="s">
        <v>712</v>
      </c>
      <c r="F32" s="7" t="s">
        <v>711</v>
      </c>
      <c r="G32" s="7" t="s">
        <v>712</v>
      </c>
      <c r="H32" s="7" t="s">
        <v>683</v>
      </c>
      <c r="I32" s="7" t="s">
        <v>684</v>
      </c>
      <c r="J32" s="7" t="s">
        <v>685</v>
      </c>
      <c r="K32" s="7" t="s">
        <v>686</v>
      </c>
      <c r="L32" s="7" t="s">
        <v>687</v>
      </c>
      <c r="M32" s="7" t="s">
        <v>688</v>
      </c>
      <c r="N32" s="7" t="s">
        <v>689</v>
      </c>
    </row>
    <row r="33" spans="1:14" ht="24" customHeight="1">
      <c r="A33" s="7" t="s">
        <v>713</v>
      </c>
      <c r="B33" s="7" t="s">
        <v>699</v>
      </c>
      <c r="C33" s="7" t="s">
        <v>714</v>
      </c>
      <c r="D33" s="7" t="s">
        <v>679</v>
      </c>
      <c r="E33" s="7" t="s">
        <v>715</v>
      </c>
      <c r="F33" s="7" t="s">
        <v>714</v>
      </c>
      <c r="G33" s="7" t="s">
        <v>715</v>
      </c>
      <c r="H33" s="7" t="s">
        <v>683</v>
      </c>
      <c r="I33" s="7" t="s">
        <v>684</v>
      </c>
      <c r="J33" s="7" t="s">
        <v>685</v>
      </c>
      <c r="K33" s="7" t="s">
        <v>686</v>
      </c>
      <c r="L33" s="7" t="s">
        <v>687</v>
      </c>
      <c r="M33" s="7" t="s">
        <v>688</v>
      </c>
      <c r="N33" s="7" t="s">
        <v>689</v>
      </c>
    </row>
    <row r="34" spans="1:14" ht="24" customHeight="1">
      <c r="A34" s="7" t="s">
        <v>716</v>
      </c>
      <c r="B34" s="7" t="s">
        <v>699</v>
      </c>
      <c r="C34" s="7" t="s">
        <v>717</v>
      </c>
      <c r="D34" s="7" t="s">
        <v>679</v>
      </c>
      <c r="E34" s="7" t="s">
        <v>718</v>
      </c>
      <c r="F34" s="7" t="s">
        <v>719</v>
      </c>
      <c r="G34" s="7" t="s">
        <v>718</v>
      </c>
      <c r="H34" s="7" t="s">
        <v>683</v>
      </c>
      <c r="I34" s="7" t="s">
        <v>684</v>
      </c>
      <c r="J34" s="7" t="s">
        <v>685</v>
      </c>
      <c r="K34" s="7" t="s">
        <v>686</v>
      </c>
      <c r="L34" s="7" t="s">
        <v>687</v>
      </c>
      <c r="M34" s="7" t="s">
        <v>688</v>
      </c>
      <c r="N34" s="7" t="s">
        <v>689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showGridLines="0" tabSelected="1" topLeftCell="A40" workbookViewId="0">
      <selection activeCell="I53" sqref="I53"/>
    </sheetView>
  </sheetViews>
  <sheetFormatPr defaultRowHeight="14.4"/>
  <cols>
    <col min="1" max="1" width="12" style="1" customWidth="1"/>
    <col min="2" max="2" width="31" style="1" customWidth="1"/>
    <col min="3" max="8" width="13" style="1" customWidth="1"/>
    <col min="9" max="9" width="36" style="1" customWidth="1"/>
    <col min="10" max="10" width="28" style="1" customWidth="1"/>
    <col min="11" max="11" width="36" style="1" customWidth="1"/>
    <col min="12" max="16384" width="8.796875" style="1"/>
  </cols>
  <sheetData>
    <row r="1" spans="1:11" ht="19.2" customHeight="1">
      <c r="A1" s="54" t="s">
        <v>720</v>
      </c>
      <c r="B1" s="54" t="s">
        <v>720</v>
      </c>
      <c r="C1" s="54" t="s">
        <v>720</v>
      </c>
      <c r="D1" s="54" t="s">
        <v>720</v>
      </c>
      <c r="E1" s="54" t="s">
        <v>720</v>
      </c>
      <c r="F1" s="54" t="s">
        <v>720</v>
      </c>
      <c r="G1" s="54" t="s">
        <v>720</v>
      </c>
      <c r="H1" s="54" t="s">
        <v>720</v>
      </c>
      <c r="I1" s="54" t="s">
        <v>720</v>
      </c>
      <c r="J1" s="54" t="s">
        <v>720</v>
      </c>
      <c r="K1" s="54" t="s">
        <v>720</v>
      </c>
    </row>
    <row r="2" spans="1:11" ht="15" customHeight="1">
      <c r="A2" s="55" t="s">
        <v>721</v>
      </c>
      <c r="B2" s="55" t="s">
        <v>721</v>
      </c>
      <c r="C2" s="55" t="s">
        <v>721</v>
      </c>
      <c r="D2" s="55" t="s">
        <v>721</v>
      </c>
      <c r="E2" s="55" t="s">
        <v>721</v>
      </c>
      <c r="F2" s="55" t="s">
        <v>721</v>
      </c>
      <c r="G2" s="55" t="s">
        <v>721</v>
      </c>
      <c r="H2" s="55" t="s">
        <v>721</v>
      </c>
      <c r="I2" s="55" t="s">
        <v>721</v>
      </c>
      <c r="J2" s="55" t="s">
        <v>721</v>
      </c>
      <c r="K2" s="55" t="s">
        <v>721</v>
      </c>
    </row>
    <row r="4" spans="1:11" ht="15" customHeight="1">
      <c r="A4" s="2" t="s">
        <v>722</v>
      </c>
      <c r="B4" s="2" t="s">
        <v>723</v>
      </c>
      <c r="C4" s="2" t="s">
        <v>724</v>
      </c>
      <c r="D4" s="2" t="s">
        <v>725</v>
      </c>
      <c r="E4" s="2" t="s">
        <v>726</v>
      </c>
      <c r="F4" s="2" t="s">
        <v>727</v>
      </c>
      <c r="G4" s="2" t="s">
        <v>728</v>
      </c>
      <c r="H4" s="2" t="s">
        <v>729</v>
      </c>
      <c r="I4" s="2" t="s">
        <v>730</v>
      </c>
      <c r="J4" s="2" t="s">
        <v>512</v>
      </c>
      <c r="K4" s="2" t="s">
        <v>731</v>
      </c>
    </row>
    <row r="5" spans="1:11" ht="15" customHeight="1">
      <c r="A5" s="3" t="s">
        <v>614</v>
      </c>
      <c r="B5" s="3" t="s">
        <v>732</v>
      </c>
      <c r="C5" s="17">
        <f>D5*'02_SCENARIOS'!$H$5</f>
        <v>20.080000000000002</v>
      </c>
      <c r="D5" s="17">
        <v>25.1</v>
      </c>
      <c r="E5" s="17">
        <f>D5*'02_SCENARIOS'!$H$7</f>
        <v>27.610000000000003</v>
      </c>
      <c r="F5" s="17">
        <f>G5*'02_SCENARIOS'!$H$8</f>
        <v>40.691480562448312</v>
      </c>
      <c r="G5" s="17">
        <v>50.864350703060389</v>
      </c>
      <c r="H5" s="17">
        <f>G5*'02_SCENARIOS'!$H$10</f>
        <v>55.950785773366434</v>
      </c>
      <c r="I5" s="3" t="s">
        <v>733</v>
      </c>
      <c r="J5" s="3" t="s">
        <v>734</v>
      </c>
      <c r="K5" s="3" t="s">
        <v>735</v>
      </c>
    </row>
    <row r="6" spans="1:11" ht="15" customHeight="1">
      <c r="A6" s="3" t="s">
        <v>614</v>
      </c>
      <c r="B6" s="3" t="s">
        <v>736</v>
      </c>
      <c r="C6" s="17">
        <f>D6*'02_SCENARIOS'!$H$5</f>
        <v>13.840000000000002</v>
      </c>
      <c r="D6" s="17">
        <v>17.3</v>
      </c>
      <c r="E6" s="17">
        <f>D6*'02_SCENARIOS'!$H$7</f>
        <v>19.03</v>
      </c>
      <c r="F6" s="17">
        <f>G6*'02_SCENARIOS'!$H$8</f>
        <v>28.046319272125722</v>
      </c>
      <c r="G6" s="17">
        <v>35.05789909015715</v>
      </c>
      <c r="H6" s="17">
        <f>G6*'02_SCENARIOS'!$H$10</f>
        <v>38.563688999172868</v>
      </c>
      <c r="I6" s="3" t="s">
        <v>733</v>
      </c>
      <c r="J6" s="3" t="s">
        <v>734</v>
      </c>
      <c r="K6" s="3" t="s">
        <v>735</v>
      </c>
    </row>
    <row r="7" spans="1:11" ht="15" customHeight="1">
      <c r="A7" s="3" t="s">
        <v>614</v>
      </c>
      <c r="B7" s="3" t="s">
        <v>737</v>
      </c>
      <c r="C7" s="17">
        <f>D7*'02_SCENARIOS'!$H$5</f>
        <v>0.48</v>
      </c>
      <c r="D7" s="17">
        <v>0.6</v>
      </c>
      <c r="E7" s="17">
        <f>D7*'02_SCENARIOS'!$H$7</f>
        <v>0.66</v>
      </c>
      <c r="F7" s="17">
        <f>G7*'02_SCENARIOS'!$H$8</f>
        <v>0.50674486803519059</v>
      </c>
      <c r="G7" s="17">
        <v>0.63343108504398826</v>
      </c>
      <c r="H7" s="17">
        <f>G7*'02_SCENARIOS'!$H$10</f>
        <v>0.6967741935483871</v>
      </c>
      <c r="I7" s="3" t="s">
        <v>733</v>
      </c>
      <c r="J7" s="3" t="s">
        <v>734</v>
      </c>
      <c r="K7" s="3" t="s">
        <v>735</v>
      </c>
    </row>
    <row r="8" spans="1:11" ht="15" customHeight="1">
      <c r="A8" s="3" t="s">
        <v>614</v>
      </c>
      <c r="B8" s="3" t="s">
        <v>738</v>
      </c>
      <c r="C8" s="17">
        <f>D8*'02_SCENARIOS'!$H$5</f>
        <v>1.2000000000000002</v>
      </c>
      <c r="D8" s="17">
        <v>1.5</v>
      </c>
      <c r="E8" s="17">
        <f>D8*'02_SCENARIOS'!$H$7</f>
        <v>1.6500000000000001</v>
      </c>
      <c r="F8" s="17">
        <f>G8*'02_SCENARIOS'!$H$8</f>
        <v>1.1842105263157896</v>
      </c>
      <c r="G8" s="17">
        <v>1.4802631578947369</v>
      </c>
      <c r="H8" s="17">
        <f>G8*'02_SCENARIOS'!$H$10</f>
        <v>1.6282894736842108</v>
      </c>
      <c r="I8" s="3" t="s">
        <v>733</v>
      </c>
      <c r="J8" s="3" t="s">
        <v>734</v>
      </c>
      <c r="K8" s="3" t="s">
        <v>735</v>
      </c>
    </row>
    <row r="9" spans="1:11" ht="15" customHeight="1">
      <c r="A9" s="3" t="s">
        <v>614</v>
      </c>
      <c r="B9" s="3" t="s">
        <v>26</v>
      </c>
      <c r="C9" s="17">
        <f>D9</f>
        <v>0</v>
      </c>
      <c r="D9" s="17">
        <v>0</v>
      </c>
      <c r="E9" s="17">
        <f>D9</f>
        <v>0</v>
      </c>
      <c r="F9" s="17">
        <f>G9</f>
        <v>5</v>
      </c>
      <c r="G9" s="17">
        <v>5</v>
      </c>
      <c r="H9" s="17">
        <f>G9</f>
        <v>5</v>
      </c>
      <c r="I9" s="3" t="s">
        <v>739</v>
      </c>
      <c r="J9" s="3" t="s">
        <v>740</v>
      </c>
      <c r="K9" s="3" t="s">
        <v>741</v>
      </c>
    </row>
    <row r="10" spans="1:11" ht="15" customHeight="1">
      <c r="A10" s="3" t="s">
        <v>639</v>
      </c>
      <c r="B10" s="3" t="s">
        <v>732</v>
      </c>
      <c r="C10" s="17">
        <f>D10*'02_SCENARIOS'!$H$5</f>
        <v>2.64</v>
      </c>
      <c r="D10" s="17">
        <v>3.3</v>
      </c>
      <c r="E10" s="17">
        <f>D10*'02_SCENARIOS'!$H$7</f>
        <v>3.63</v>
      </c>
      <c r="F10" s="17">
        <f>G10*'02_SCENARIOS'!$H$8</f>
        <v>5.3498759305210912</v>
      </c>
      <c r="G10" s="17">
        <v>6.6873449131513638</v>
      </c>
      <c r="H10" s="17">
        <f>G10*'02_SCENARIOS'!$H$10</f>
        <v>7.3560794044665005</v>
      </c>
      <c r="I10" s="3" t="s">
        <v>733</v>
      </c>
      <c r="J10" s="3" t="s">
        <v>734</v>
      </c>
      <c r="K10" s="3" t="s">
        <v>735</v>
      </c>
    </row>
    <row r="11" spans="1:11" ht="15" customHeight="1">
      <c r="A11" s="3" t="s">
        <v>639</v>
      </c>
      <c r="B11" s="3" t="s">
        <v>736</v>
      </c>
      <c r="C11" s="17">
        <f>D11*'02_SCENARIOS'!$H$5</f>
        <v>5.04</v>
      </c>
      <c r="D11" s="17">
        <v>6.3</v>
      </c>
      <c r="E11" s="17">
        <f>D11*'02_SCENARIOS'!$H$7</f>
        <v>6.9300000000000006</v>
      </c>
      <c r="F11" s="17">
        <f>G11*'02_SCENARIOS'!$H$8</f>
        <v>10.213399503722087</v>
      </c>
      <c r="G11" s="17">
        <v>12.766749379652607</v>
      </c>
      <c r="H11" s="17">
        <f>G11*'02_SCENARIOS'!$H$10</f>
        <v>14.04342431761787</v>
      </c>
      <c r="I11" s="3" t="s">
        <v>733</v>
      </c>
      <c r="J11" s="3" t="s">
        <v>734</v>
      </c>
      <c r="K11" s="3" t="s">
        <v>735</v>
      </c>
    </row>
    <row r="12" spans="1:11" ht="15" customHeight="1">
      <c r="A12" s="3" t="s">
        <v>639</v>
      </c>
      <c r="B12" s="3" t="s">
        <v>737</v>
      </c>
      <c r="C12" s="17">
        <f>D12*'02_SCENARIOS'!$H$5</f>
        <v>0.32000000000000006</v>
      </c>
      <c r="D12" s="17">
        <v>0.4</v>
      </c>
      <c r="E12" s="17">
        <f>D12*'02_SCENARIOS'!$H$7</f>
        <v>0.44000000000000006</v>
      </c>
      <c r="F12" s="17">
        <f>G12*'02_SCENARIOS'!$H$8</f>
        <v>0.33782991202346047</v>
      </c>
      <c r="G12" s="17">
        <v>0.42228739002932553</v>
      </c>
      <c r="H12" s="17">
        <f>G12*'02_SCENARIOS'!$H$10</f>
        <v>0.46451612903225814</v>
      </c>
      <c r="I12" s="3" t="s">
        <v>733</v>
      </c>
      <c r="J12" s="3" t="s">
        <v>734</v>
      </c>
      <c r="K12" s="3" t="s">
        <v>735</v>
      </c>
    </row>
    <row r="13" spans="1:11" ht="15" customHeight="1">
      <c r="A13" s="3" t="s">
        <v>639</v>
      </c>
      <c r="B13" s="3" t="s">
        <v>738</v>
      </c>
      <c r="C13" s="17">
        <f>D13*'02_SCENARIOS'!$H$5</f>
        <v>0.64000000000000012</v>
      </c>
      <c r="D13" s="17">
        <v>0.8</v>
      </c>
      <c r="E13" s="17">
        <f>D13*'02_SCENARIOS'!$H$7</f>
        <v>0.88000000000000012</v>
      </c>
      <c r="F13" s="17">
        <f>G13*'02_SCENARIOS'!$H$8</f>
        <v>0.63157894736842124</v>
      </c>
      <c r="G13" s="17">
        <v>0.78947368421052644</v>
      </c>
      <c r="H13" s="17">
        <f>G13*'02_SCENARIOS'!$H$10</f>
        <v>0.8684210526315792</v>
      </c>
      <c r="I13" s="3" t="s">
        <v>733</v>
      </c>
      <c r="J13" s="3" t="s">
        <v>734</v>
      </c>
      <c r="K13" s="3" t="s">
        <v>735</v>
      </c>
    </row>
    <row r="14" spans="1:11" ht="15" customHeight="1">
      <c r="A14" s="3" t="s">
        <v>639</v>
      </c>
      <c r="B14" s="3" t="s">
        <v>26</v>
      </c>
      <c r="C14" s="17">
        <f>D14</f>
        <v>0</v>
      </c>
      <c r="D14" s="17">
        <v>0</v>
      </c>
      <c r="E14" s="17">
        <f>D14</f>
        <v>0</v>
      </c>
      <c r="F14" s="17">
        <f>G14</f>
        <v>0</v>
      </c>
      <c r="G14" s="17">
        <v>0</v>
      </c>
      <c r="H14" s="17">
        <f>G14</f>
        <v>0</v>
      </c>
      <c r="I14" s="3" t="s">
        <v>739</v>
      </c>
      <c r="J14" s="3" t="s">
        <v>740</v>
      </c>
      <c r="K14" s="3" t="s">
        <v>741</v>
      </c>
    </row>
    <row r="15" spans="1:11" ht="15" customHeight="1">
      <c r="A15" s="3" t="s">
        <v>646</v>
      </c>
      <c r="B15" s="3" t="s">
        <v>732</v>
      </c>
      <c r="C15" s="17">
        <f>D15*'02_SCENARIOS'!$H$5</f>
        <v>4.4000000000000004</v>
      </c>
      <c r="D15" s="17">
        <v>5.5</v>
      </c>
      <c r="E15" s="17">
        <f>D15*'02_SCENARIOS'!$H$7</f>
        <v>6.0500000000000007</v>
      </c>
      <c r="F15" s="17">
        <f>G15*'02_SCENARIOS'!$H$8</f>
        <v>8.916459884201819</v>
      </c>
      <c r="G15" s="17">
        <v>11.145574855252272</v>
      </c>
      <c r="H15" s="17">
        <f>G15*'02_SCENARIOS'!$H$10</f>
        <v>12.260132340777501</v>
      </c>
      <c r="I15" s="3" t="s">
        <v>733</v>
      </c>
      <c r="J15" s="3" t="s">
        <v>734</v>
      </c>
      <c r="K15" s="3" t="s">
        <v>735</v>
      </c>
    </row>
    <row r="16" spans="1:11" ht="15" customHeight="1">
      <c r="A16" s="3" t="s">
        <v>646</v>
      </c>
      <c r="B16" s="3" t="s">
        <v>736</v>
      </c>
      <c r="C16" s="17">
        <f>D16*'02_SCENARIOS'!$H$5</f>
        <v>11.68</v>
      </c>
      <c r="D16" s="17">
        <v>14.6</v>
      </c>
      <c r="E16" s="17">
        <f>D16*'02_SCENARIOS'!$H$7</f>
        <v>16.060000000000002</v>
      </c>
      <c r="F16" s="17">
        <f>G16*'02_SCENARIOS'!$H$8</f>
        <v>23.669148056244833</v>
      </c>
      <c r="G16" s="17">
        <v>29.586435070306038</v>
      </c>
      <c r="H16" s="17">
        <f>G16*'02_SCENARIOS'!$H$10</f>
        <v>32.545078577336646</v>
      </c>
      <c r="I16" s="3" t="s">
        <v>733</v>
      </c>
      <c r="J16" s="3" t="s">
        <v>734</v>
      </c>
      <c r="K16" s="3" t="s">
        <v>735</v>
      </c>
    </row>
    <row r="17" spans="1:11" ht="15" customHeight="1">
      <c r="A17" s="3" t="s">
        <v>646</v>
      </c>
      <c r="B17" s="3" t="s">
        <v>737</v>
      </c>
      <c r="C17" s="17">
        <f>D17*'02_SCENARIOS'!$H$5</f>
        <v>5.44</v>
      </c>
      <c r="D17" s="17">
        <v>6.8</v>
      </c>
      <c r="E17" s="17">
        <f>D17*'02_SCENARIOS'!$H$7</f>
        <v>7.48</v>
      </c>
      <c r="F17" s="17">
        <f>G17*'02_SCENARIOS'!$H$8</f>
        <v>5.743108504398827</v>
      </c>
      <c r="G17" s="17">
        <v>7.1788856304985336</v>
      </c>
      <c r="H17" s="17">
        <f>G17*'02_SCENARIOS'!$H$10</f>
        <v>7.8967741935483877</v>
      </c>
      <c r="I17" s="3" t="s">
        <v>733</v>
      </c>
      <c r="J17" s="3" t="s">
        <v>734</v>
      </c>
      <c r="K17" s="3" t="s">
        <v>735</v>
      </c>
    </row>
    <row r="18" spans="1:11" ht="15" customHeight="1">
      <c r="A18" s="3" t="s">
        <v>646</v>
      </c>
      <c r="B18" s="3" t="s">
        <v>738</v>
      </c>
      <c r="C18" s="17">
        <f>D18*'02_SCENARIOS'!$H$5</f>
        <v>1.2800000000000002</v>
      </c>
      <c r="D18" s="17">
        <v>1.6</v>
      </c>
      <c r="E18" s="17">
        <f>D18*'02_SCENARIOS'!$H$7</f>
        <v>1.7600000000000002</v>
      </c>
      <c r="F18" s="17">
        <f>G18*'02_SCENARIOS'!$H$8</f>
        <v>1.2631578947368425</v>
      </c>
      <c r="G18" s="17">
        <v>1.5789473684210529</v>
      </c>
      <c r="H18" s="17">
        <f>G18*'02_SCENARIOS'!$H$10</f>
        <v>1.7368421052631584</v>
      </c>
      <c r="I18" s="3" t="s">
        <v>733</v>
      </c>
      <c r="J18" s="3" t="s">
        <v>734</v>
      </c>
      <c r="K18" s="3" t="s">
        <v>735</v>
      </c>
    </row>
    <row r="19" spans="1:11" ht="15" customHeight="1">
      <c r="A19" s="3" t="s">
        <v>646</v>
      </c>
      <c r="B19" s="3" t="s">
        <v>26</v>
      </c>
      <c r="C19" s="17">
        <f>D19</f>
        <v>0</v>
      </c>
      <c r="D19" s="17">
        <v>0</v>
      </c>
      <c r="E19" s="17">
        <f>D19</f>
        <v>0</v>
      </c>
      <c r="F19" s="17">
        <f>G19</f>
        <v>3</v>
      </c>
      <c r="G19" s="17">
        <v>3</v>
      </c>
      <c r="H19" s="17">
        <f>G19</f>
        <v>3</v>
      </c>
      <c r="I19" s="3" t="s">
        <v>739</v>
      </c>
      <c r="J19" s="3" t="s">
        <v>740</v>
      </c>
      <c r="K19" s="3" t="s">
        <v>741</v>
      </c>
    </row>
    <row r="20" spans="1:11" ht="15" customHeight="1">
      <c r="A20" s="3" t="s">
        <v>657</v>
      </c>
      <c r="B20" s="3" t="s">
        <v>732</v>
      </c>
      <c r="C20" s="17">
        <f>D20*'02_SCENARIOS'!$H$5</f>
        <v>1.36</v>
      </c>
      <c r="D20" s="17">
        <v>1.7</v>
      </c>
      <c r="E20" s="17">
        <f>D20*'02_SCENARIOS'!$H$7</f>
        <v>1.87</v>
      </c>
      <c r="F20" s="17">
        <f>G20*'02_SCENARIOS'!$H$8</f>
        <v>2.7559966914805631</v>
      </c>
      <c r="G20" s="17">
        <v>3.4449958643507035</v>
      </c>
      <c r="H20" s="17">
        <f>G20*'02_SCENARIOS'!$H$10</f>
        <v>3.7894954507857741</v>
      </c>
      <c r="I20" s="3" t="s">
        <v>733</v>
      </c>
      <c r="J20" s="3" t="s">
        <v>734</v>
      </c>
      <c r="K20" s="3" t="s">
        <v>735</v>
      </c>
    </row>
    <row r="21" spans="1:11" ht="15" customHeight="1">
      <c r="A21" s="3" t="s">
        <v>657</v>
      </c>
      <c r="B21" s="3" t="s">
        <v>736</v>
      </c>
      <c r="C21" s="17">
        <f>D21*'02_SCENARIOS'!$H$5</f>
        <v>15.440000000000001</v>
      </c>
      <c r="D21" s="17">
        <v>19.3</v>
      </c>
      <c r="E21" s="17">
        <f>D21*'02_SCENARIOS'!$H$7</f>
        <v>21.230000000000004</v>
      </c>
      <c r="F21" s="17">
        <f>G21*'02_SCENARIOS'!$H$8</f>
        <v>31.288668320926384</v>
      </c>
      <c r="G21" s="17">
        <v>39.110835401157978</v>
      </c>
      <c r="H21" s="17">
        <f>G21*'02_SCENARIOS'!$H$10</f>
        <v>43.021918941273782</v>
      </c>
      <c r="I21" s="3" t="s">
        <v>733</v>
      </c>
      <c r="J21" s="3" t="s">
        <v>734</v>
      </c>
      <c r="K21" s="3" t="s">
        <v>735</v>
      </c>
    </row>
    <row r="22" spans="1:11" ht="15" customHeight="1">
      <c r="A22" s="3" t="s">
        <v>657</v>
      </c>
      <c r="B22" s="3" t="s">
        <v>737</v>
      </c>
      <c r="C22" s="17">
        <f>D22*'02_SCENARIOS'!$H$5</f>
        <v>10.56</v>
      </c>
      <c r="D22" s="17">
        <v>13.2</v>
      </c>
      <c r="E22" s="17">
        <f>D22*'02_SCENARIOS'!$H$7</f>
        <v>14.52</v>
      </c>
      <c r="F22" s="17">
        <f>G22*'02_SCENARIOS'!$H$8</f>
        <v>11.148387096774194</v>
      </c>
      <c r="G22" s="17">
        <v>13.935483870967742</v>
      </c>
      <c r="H22" s="17">
        <f>G22*'02_SCENARIOS'!$H$10</f>
        <v>15.329032258064517</v>
      </c>
      <c r="I22" s="3" t="s">
        <v>733</v>
      </c>
      <c r="J22" s="3" t="s">
        <v>734</v>
      </c>
      <c r="K22" s="3" t="s">
        <v>735</v>
      </c>
    </row>
    <row r="23" spans="1:11" ht="15" customHeight="1">
      <c r="A23" s="3" t="s">
        <v>657</v>
      </c>
      <c r="B23" s="3" t="s">
        <v>738</v>
      </c>
      <c r="C23" s="17">
        <f>D23*'02_SCENARIOS'!$H$5</f>
        <v>3.7600000000000002</v>
      </c>
      <c r="D23" s="17">
        <v>4.7</v>
      </c>
      <c r="E23" s="17">
        <f>D23*'02_SCENARIOS'!$H$7</f>
        <v>5.1700000000000008</v>
      </c>
      <c r="F23" s="17">
        <f>G23*'02_SCENARIOS'!$H$8</f>
        <v>3.7105263157894735</v>
      </c>
      <c r="G23" s="17">
        <v>4.6381578947368416</v>
      </c>
      <c r="H23" s="17">
        <f>G23*'02_SCENARIOS'!$H$10</f>
        <v>5.1019736842105265</v>
      </c>
      <c r="I23" s="3" t="s">
        <v>733</v>
      </c>
      <c r="J23" s="3" t="s">
        <v>734</v>
      </c>
      <c r="K23" s="3" t="s">
        <v>735</v>
      </c>
    </row>
    <row r="24" spans="1:11" ht="15" customHeight="1">
      <c r="A24" s="3" t="s">
        <v>657</v>
      </c>
      <c r="B24" s="3" t="s">
        <v>26</v>
      </c>
      <c r="C24" s="17">
        <f>D24</f>
        <v>0</v>
      </c>
      <c r="D24" s="17">
        <v>0</v>
      </c>
      <c r="E24" s="17">
        <f>D24</f>
        <v>0</v>
      </c>
      <c r="F24" s="17">
        <f>G24</f>
        <v>0</v>
      </c>
      <c r="G24" s="17">
        <v>0</v>
      </c>
      <c r="H24" s="17">
        <f>G24</f>
        <v>0</v>
      </c>
      <c r="I24" s="3" t="s">
        <v>739</v>
      </c>
      <c r="J24" s="3" t="s">
        <v>740</v>
      </c>
      <c r="K24" s="3" t="s">
        <v>741</v>
      </c>
    </row>
    <row r="25" spans="1:11" ht="15" customHeight="1">
      <c r="A25" s="3" t="s">
        <v>666</v>
      </c>
      <c r="B25" s="3" t="s">
        <v>732</v>
      </c>
      <c r="C25" s="17">
        <f>D25*'02_SCENARIOS'!$H$5</f>
        <v>0.88000000000000012</v>
      </c>
      <c r="D25" s="17">
        <v>1.1000000000000001</v>
      </c>
      <c r="E25" s="17">
        <f>D25*'02_SCENARIOS'!$H$7</f>
        <v>1.2100000000000002</v>
      </c>
      <c r="F25" s="17">
        <f>G25*'02_SCENARIOS'!$H$8</f>
        <v>1.7832919768403643</v>
      </c>
      <c r="G25" s="17">
        <v>2.2291149710504552</v>
      </c>
      <c r="H25" s="17">
        <f>G25*'02_SCENARIOS'!$H$10</f>
        <v>2.4520264681555011</v>
      </c>
      <c r="I25" s="3" t="s">
        <v>733</v>
      </c>
      <c r="J25" s="3" t="s">
        <v>734</v>
      </c>
      <c r="K25" s="3" t="s">
        <v>735</v>
      </c>
    </row>
    <row r="26" spans="1:11" ht="15" customHeight="1">
      <c r="A26" s="3" t="s">
        <v>666</v>
      </c>
      <c r="B26" s="3" t="s">
        <v>736</v>
      </c>
      <c r="C26" s="17">
        <f>D26*'02_SCENARIOS'!$H$5</f>
        <v>2</v>
      </c>
      <c r="D26" s="17">
        <v>2.5</v>
      </c>
      <c r="E26" s="17">
        <f>D26*'02_SCENARIOS'!$H$7</f>
        <v>2.75</v>
      </c>
      <c r="F26" s="17">
        <f>G26*'02_SCENARIOS'!$H$8</f>
        <v>4.0529363110008267</v>
      </c>
      <c r="G26" s="17">
        <v>5.0661703887510336</v>
      </c>
      <c r="H26" s="17">
        <f>G26*'02_SCENARIOS'!$H$10</f>
        <v>5.5727874276261371</v>
      </c>
      <c r="I26" s="3" t="s">
        <v>733</v>
      </c>
      <c r="J26" s="3" t="s">
        <v>734</v>
      </c>
      <c r="K26" s="3" t="s">
        <v>735</v>
      </c>
    </row>
    <row r="27" spans="1:11" ht="15" customHeight="1">
      <c r="A27" s="3" t="s">
        <v>666</v>
      </c>
      <c r="B27" s="3" t="s">
        <v>737</v>
      </c>
      <c r="C27" s="17">
        <f>D27*'02_SCENARIOS'!$H$5</f>
        <v>2.64</v>
      </c>
      <c r="D27" s="17">
        <v>3.3</v>
      </c>
      <c r="E27" s="17">
        <f>D27*'02_SCENARIOS'!$H$7</f>
        <v>3.63</v>
      </c>
      <c r="F27" s="17">
        <f>G27*'02_SCENARIOS'!$H$8</f>
        <v>2.7870967741935484</v>
      </c>
      <c r="G27" s="17">
        <v>3.4838709677419355</v>
      </c>
      <c r="H27" s="17">
        <f>G27*'02_SCENARIOS'!$H$10</f>
        <v>3.8322580645161293</v>
      </c>
      <c r="I27" s="3" t="s">
        <v>733</v>
      </c>
      <c r="J27" s="3" t="s">
        <v>734</v>
      </c>
      <c r="K27" s="3" t="s">
        <v>735</v>
      </c>
    </row>
    <row r="28" spans="1:11" ht="15" customHeight="1">
      <c r="A28" s="3" t="s">
        <v>666</v>
      </c>
      <c r="B28" s="3" t="s">
        <v>738</v>
      </c>
      <c r="C28" s="17">
        <f>D28*'02_SCENARIOS'!$H$5</f>
        <v>0.48</v>
      </c>
      <c r="D28" s="17">
        <v>0.6</v>
      </c>
      <c r="E28" s="17">
        <f>D28*'02_SCENARIOS'!$H$7</f>
        <v>0.66</v>
      </c>
      <c r="F28" s="17">
        <f>G28*'02_SCENARIOS'!$H$8</f>
        <v>0.47368421052631587</v>
      </c>
      <c r="G28" s="17">
        <v>0.5921052631578948</v>
      </c>
      <c r="H28" s="17">
        <f>G28*'02_SCENARIOS'!$H$10</f>
        <v>0.65131578947368429</v>
      </c>
      <c r="I28" s="3" t="s">
        <v>733</v>
      </c>
      <c r="J28" s="3" t="s">
        <v>734</v>
      </c>
      <c r="K28" s="3" t="s">
        <v>735</v>
      </c>
    </row>
    <row r="29" spans="1:11" ht="15" customHeight="1">
      <c r="A29" s="3" t="s">
        <v>666</v>
      </c>
      <c r="B29" s="3" t="s">
        <v>26</v>
      </c>
      <c r="C29" s="17">
        <f>D29</f>
        <v>0</v>
      </c>
      <c r="D29" s="17">
        <v>0</v>
      </c>
      <c r="E29" s="17">
        <f>D29</f>
        <v>0</v>
      </c>
      <c r="F29" s="17">
        <f>G29</f>
        <v>0</v>
      </c>
      <c r="G29" s="17">
        <v>0</v>
      </c>
      <c r="H29" s="17">
        <f>G29</f>
        <v>0</v>
      </c>
      <c r="I29" s="3" t="s">
        <v>739</v>
      </c>
      <c r="J29" s="3" t="s">
        <v>740</v>
      </c>
      <c r="K29" s="3" t="s">
        <v>741</v>
      </c>
    </row>
    <row r="30" spans="1:11" ht="15" customHeight="1">
      <c r="A30" s="3" t="s">
        <v>670</v>
      </c>
      <c r="B30" s="3" t="s">
        <v>732</v>
      </c>
      <c r="C30" s="17">
        <f>D30*'02_SCENARIOS'!$H$5</f>
        <v>2.64</v>
      </c>
      <c r="D30" s="17">
        <v>3.3</v>
      </c>
      <c r="E30" s="17">
        <f>D30*'02_SCENARIOS'!$H$7</f>
        <v>3.63</v>
      </c>
      <c r="F30" s="17">
        <f>G30*'02_SCENARIOS'!$H$8</f>
        <v>5.3498759305210912</v>
      </c>
      <c r="G30" s="17">
        <v>6.6873449131513638</v>
      </c>
      <c r="H30" s="17">
        <f>G30*'02_SCENARIOS'!$H$10</f>
        <v>7.3560794044665005</v>
      </c>
      <c r="I30" s="3" t="s">
        <v>733</v>
      </c>
      <c r="J30" s="3" t="s">
        <v>734</v>
      </c>
      <c r="K30" s="3" t="s">
        <v>735</v>
      </c>
    </row>
    <row r="31" spans="1:11" ht="15" customHeight="1">
      <c r="A31" s="3" t="s">
        <v>670</v>
      </c>
      <c r="B31" s="3" t="s">
        <v>736</v>
      </c>
      <c r="C31" s="17">
        <f>D31*'02_SCENARIOS'!$H$5</f>
        <v>9.2000000000000011</v>
      </c>
      <c r="D31" s="17">
        <v>11.5</v>
      </c>
      <c r="E31" s="17">
        <f>D31*'02_SCENARIOS'!$H$7</f>
        <v>12.65</v>
      </c>
      <c r="F31" s="17">
        <f>G31*'02_SCENARIOS'!$H$8</f>
        <v>18.643507030603804</v>
      </c>
      <c r="G31" s="17">
        <v>23.304383788254754</v>
      </c>
      <c r="H31" s="17">
        <f>G31*'02_SCENARIOS'!$H$10</f>
        <v>25.63482216708023</v>
      </c>
      <c r="I31" s="3" t="s">
        <v>733</v>
      </c>
      <c r="J31" s="3" t="s">
        <v>734</v>
      </c>
      <c r="K31" s="3" t="s">
        <v>735</v>
      </c>
    </row>
    <row r="32" spans="1:11" ht="15" customHeight="1">
      <c r="A32" s="3" t="s">
        <v>670</v>
      </c>
      <c r="B32" s="3" t="s">
        <v>737</v>
      </c>
      <c r="C32" s="17">
        <f>D32*'02_SCENARIOS'!$H$5</f>
        <v>5.04</v>
      </c>
      <c r="D32" s="17">
        <v>6.3</v>
      </c>
      <c r="E32" s="17">
        <f>D32*'02_SCENARIOS'!$H$7</f>
        <v>6.9300000000000006</v>
      </c>
      <c r="F32" s="17">
        <f>G32*'02_SCENARIOS'!$H$8</f>
        <v>5.320821114369501</v>
      </c>
      <c r="G32" s="17">
        <v>6.6510263929618763</v>
      </c>
      <c r="H32" s="17">
        <f>G32*'02_SCENARIOS'!$H$10</f>
        <v>7.3161290322580648</v>
      </c>
      <c r="I32" s="3" t="s">
        <v>733</v>
      </c>
      <c r="J32" s="3" t="s">
        <v>734</v>
      </c>
      <c r="K32" s="3" t="s">
        <v>735</v>
      </c>
    </row>
    <row r="33" spans="1:11" ht="15" customHeight="1">
      <c r="A33" s="3" t="s">
        <v>670</v>
      </c>
      <c r="B33" s="3" t="s">
        <v>738</v>
      </c>
      <c r="C33" s="17">
        <f>D33*'02_SCENARIOS'!$H$5</f>
        <v>2.4000000000000004</v>
      </c>
      <c r="D33" s="17">
        <v>3</v>
      </c>
      <c r="E33" s="17">
        <f>D33*'02_SCENARIOS'!$H$7</f>
        <v>3.3000000000000003</v>
      </c>
      <c r="F33" s="17">
        <f>G33*'02_SCENARIOS'!$H$8</f>
        <v>2.3684210526315792</v>
      </c>
      <c r="G33" s="17">
        <v>2.9605263157894739</v>
      </c>
      <c r="H33" s="17">
        <f>G33*'02_SCENARIOS'!$H$10</f>
        <v>3.2565789473684217</v>
      </c>
      <c r="I33" s="3" t="s">
        <v>733</v>
      </c>
      <c r="J33" s="3" t="s">
        <v>734</v>
      </c>
      <c r="K33" s="3" t="s">
        <v>735</v>
      </c>
    </row>
    <row r="34" spans="1:11" ht="15" customHeight="1">
      <c r="A34" s="3" t="s">
        <v>670</v>
      </c>
      <c r="B34" s="3" t="s">
        <v>26</v>
      </c>
      <c r="C34" s="17">
        <f>D34</f>
        <v>0</v>
      </c>
      <c r="D34" s="17">
        <v>0</v>
      </c>
      <c r="E34" s="17">
        <f>D34</f>
        <v>0</v>
      </c>
      <c r="F34" s="17">
        <f>G34</f>
        <v>0</v>
      </c>
      <c r="G34" s="17">
        <v>0</v>
      </c>
      <c r="H34" s="17">
        <f>G34</f>
        <v>0</v>
      </c>
      <c r="I34" s="3" t="s">
        <v>739</v>
      </c>
      <c r="J34" s="3" t="s">
        <v>740</v>
      </c>
      <c r="K34" s="3" t="s">
        <v>741</v>
      </c>
    </row>
    <row r="35" spans="1:11" ht="15" customHeight="1">
      <c r="A35" s="3" t="s">
        <v>674</v>
      </c>
      <c r="B35" s="3" t="s">
        <v>732</v>
      </c>
      <c r="C35" s="17">
        <f>D35*'02_SCENARIOS'!$H$5</f>
        <v>1.36</v>
      </c>
      <c r="D35" s="17">
        <v>1.7</v>
      </c>
      <c r="E35" s="17">
        <f>D35*'02_SCENARIOS'!$H$7</f>
        <v>1.87</v>
      </c>
      <c r="F35" s="17">
        <f>G35*'02_SCENARIOS'!$H$8</f>
        <v>2.7559966914805631</v>
      </c>
      <c r="G35" s="17">
        <v>3.4449958643507035</v>
      </c>
      <c r="H35" s="17">
        <f>G35*'02_SCENARIOS'!$H$10</f>
        <v>3.7894954507857741</v>
      </c>
      <c r="I35" s="3" t="s">
        <v>733</v>
      </c>
      <c r="J35" s="3" t="s">
        <v>734</v>
      </c>
      <c r="K35" s="3" t="s">
        <v>735</v>
      </c>
    </row>
    <row r="36" spans="1:11" ht="15" customHeight="1">
      <c r="A36" s="3" t="s">
        <v>674</v>
      </c>
      <c r="B36" s="3" t="s">
        <v>736</v>
      </c>
      <c r="C36" s="17">
        <f>D36*'02_SCENARIOS'!$H$5</f>
        <v>6.16</v>
      </c>
      <c r="D36" s="17">
        <v>7.7</v>
      </c>
      <c r="E36" s="17">
        <f>D36*'02_SCENARIOS'!$H$7</f>
        <v>8.4700000000000006</v>
      </c>
      <c r="F36" s="17">
        <f>G36*'02_SCENARIOS'!$H$8</f>
        <v>12.483043837882548</v>
      </c>
      <c r="G36" s="17">
        <v>15.603804797353185</v>
      </c>
      <c r="H36" s="17">
        <f>G36*'02_SCENARIOS'!$H$10</f>
        <v>17.164185277088503</v>
      </c>
      <c r="I36" s="3" t="s">
        <v>733</v>
      </c>
      <c r="J36" s="3" t="s">
        <v>734</v>
      </c>
      <c r="K36" s="3" t="s">
        <v>735</v>
      </c>
    </row>
    <row r="37" spans="1:11" ht="15" customHeight="1">
      <c r="A37" s="3" t="s">
        <v>674</v>
      </c>
      <c r="B37" s="3" t="s">
        <v>737</v>
      </c>
      <c r="C37" s="17">
        <f>D37*'02_SCENARIOS'!$H$5</f>
        <v>2.8000000000000003</v>
      </c>
      <c r="D37" s="17">
        <v>3.5</v>
      </c>
      <c r="E37" s="17">
        <f>D37*'02_SCENARIOS'!$H$7</f>
        <v>3.8500000000000005</v>
      </c>
      <c r="F37" s="17">
        <f>G37*'02_SCENARIOS'!$H$8</f>
        <v>2.9560117302052791</v>
      </c>
      <c r="G37" s="17">
        <v>3.6950146627565985</v>
      </c>
      <c r="H37" s="17">
        <f>G37*'02_SCENARIOS'!$H$10</f>
        <v>4.0645161290322589</v>
      </c>
      <c r="I37" s="3" t="s">
        <v>733</v>
      </c>
      <c r="J37" s="3" t="s">
        <v>734</v>
      </c>
      <c r="K37" s="3" t="s">
        <v>735</v>
      </c>
    </row>
    <row r="38" spans="1:11" ht="15" customHeight="1">
      <c r="A38" s="3" t="s">
        <v>674</v>
      </c>
      <c r="B38" s="3" t="s">
        <v>738</v>
      </c>
      <c r="C38" s="17">
        <f>D38*'02_SCENARIOS'!$H$5</f>
        <v>2.4000000000000004</v>
      </c>
      <c r="D38" s="17">
        <v>3</v>
      </c>
      <c r="E38" s="17">
        <f>D38*'02_SCENARIOS'!$H$7</f>
        <v>3.3000000000000003</v>
      </c>
      <c r="F38" s="17">
        <f>G38*'02_SCENARIOS'!$H$8</f>
        <v>2.3684210526315792</v>
      </c>
      <c r="G38" s="17">
        <v>2.9605263157894739</v>
      </c>
      <c r="H38" s="17">
        <f>G38*'02_SCENARIOS'!$H$10</f>
        <v>3.2565789473684217</v>
      </c>
      <c r="I38" s="3" t="s">
        <v>733</v>
      </c>
      <c r="J38" s="3" t="s">
        <v>734</v>
      </c>
      <c r="K38" s="3" t="s">
        <v>735</v>
      </c>
    </row>
    <row r="39" spans="1:11" ht="15" customHeight="1">
      <c r="A39" s="3" t="s">
        <v>674</v>
      </c>
      <c r="B39" s="3" t="s">
        <v>26</v>
      </c>
      <c r="C39" s="17">
        <f>D39</f>
        <v>0</v>
      </c>
      <c r="D39" s="17">
        <v>0</v>
      </c>
      <c r="E39" s="17">
        <f>D39</f>
        <v>0</v>
      </c>
      <c r="F39" s="17">
        <f>G39</f>
        <v>0</v>
      </c>
      <c r="G39" s="17">
        <v>0</v>
      </c>
      <c r="H39" s="17">
        <f>G39</f>
        <v>0</v>
      </c>
      <c r="I39" s="3" t="s">
        <v>739</v>
      </c>
      <c r="J39" s="3" t="s">
        <v>740</v>
      </c>
      <c r="K39" s="3" t="s">
        <v>741</v>
      </c>
    </row>
    <row r="40" spans="1:11" ht="15" customHeight="1">
      <c r="C40" s="18"/>
      <c r="D40" s="18"/>
      <c r="E40" s="18"/>
      <c r="F40" s="18"/>
      <c r="G40" s="18"/>
      <c r="H40" s="18"/>
    </row>
    <row r="41" spans="1:11" ht="15" customHeight="1">
      <c r="A41" s="19" t="s">
        <v>742</v>
      </c>
      <c r="B41" s="19" t="s">
        <v>743</v>
      </c>
      <c r="C41" s="20">
        <f t="shared" ref="C41:H41" si="0">SUM(C5,C6,C7,C8,C10,C11,C12,C13,C15,C16,C17,C18,C20,C21,C22,C23,C25,C26,C27,C28,C30,C31,C32,C33,C35,C36,C37,C38)</f>
        <v>136.16000000000005</v>
      </c>
      <c r="D41" s="20">
        <f t="shared" si="0"/>
        <v>170.2</v>
      </c>
      <c r="E41" s="20">
        <f t="shared" si="0"/>
        <v>187.22000000000003</v>
      </c>
      <c r="F41" s="20">
        <f t="shared" si="0"/>
        <v>236.80000000000004</v>
      </c>
      <c r="G41" s="20">
        <f t="shared" si="0"/>
        <v>295.99999999999994</v>
      </c>
      <c r="H41" s="20">
        <f t="shared" si="0"/>
        <v>325.60000000000008</v>
      </c>
      <c r="I41" s="19" t="s">
        <v>744</v>
      </c>
      <c r="J41" s="19" t="s">
        <v>745</v>
      </c>
      <c r="K41" s="19" t="s">
        <v>746</v>
      </c>
    </row>
    <row r="42" spans="1:11" ht="15" customHeight="1">
      <c r="A42" s="19" t="s">
        <v>742</v>
      </c>
      <c r="B42" s="19" t="s">
        <v>747</v>
      </c>
      <c r="C42" s="20">
        <f t="shared" ref="C42:H42" si="1">SUM(C9,C14,C19,C24,C29,C34,C39)</f>
        <v>0</v>
      </c>
      <c r="D42" s="20">
        <f t="shared" si="1"/>
        <v>0</v>
      </c>
      <c r="E42" s="20">
        <f t="shared" si="1"/>
        <v>0</v>
      </c>
      <c r="F42" s="20">
        <f t="shared" si="1"/>
        <v>8</v>
      </c>
      <c r="G42" s="20">
        <f t="shared" si="1"/>
        <v>8</v>
      </c>
      <c r="H42" s="20">
        <f t="shared" si="1"/>
        <v>8</v>
      </c>
      <c r="I42" s="19" t="s">
        <v>748</v>
      </c>
      <c r="J42" s="19" t="s">
        <v>745</v>
      </c>
      <c r="K42" s="19" t="s">
        <v>746</v>
      </c>
    </row>
    <row r="43" spans="1:11" ht="15" customHeight="1">
      <c r="A43" s="19" t="s">
        <v>742</v>
      </c>
      <c r="B43" s="19" t="s">
        <v>749</v>
      </c>
      <c r="C43" s="20">
        <f t="shared" ref="C43:H43" si="2">C41+C42</f>
        <v>136.16000000000005</v>
      </c>
      <c r="D43" s="20">
        <f t="shared" si="2"/>
        <v>170.2</v>
      </c>
      <c r="E43" s="20">
        <f t="shared" si="2"/>
        <v>187.22000000000003</v>
      </c>
      <c r="F43" s="20">
        <f t="shared" si="2"/>
        <v>244.80000000000004</v>
      </c>
      <c r="G43" s="20">
        <f t="shared" si="2"/>
        <v>303.99999999999994</v>
      </c>
      <c r="H43" s="20">
        <f t="shared" si="2"/>
        <v>333.60000000000008</v>
      </c>
      <c r="I43" s="19" t="s">
        <v>750</v>
      </c>
      <c r="J43" s="19" t="s">
        <v>745</v>
      </c>
      <c r="K43" s="19" t="s">
        <v>746</v>
      </c>
    </row>
    <row r="44" spans="1:11" ht="15" customHeight="1">
      <c r="C44" s="18"/>
      <c r="D44" s="18"/>
      <c r="E44" s="18"/>
      <c r="F44" s="18"/>
      <c r="G44" s="18"/>
      <c r="H44" s="18"/>
    </row>
    <row r="45" spans="1:11" ht="15" customHeight="1">
      <c r="A45" s="69" t="s">
        <v>751</v>
      </c>
      <c r="B45" s="69"/>
      <c r="C45" s="69"/>
      <c r="D45" s="69"/>
      <c r="E45" s="69"/>
      <c r="F45" s="69"/>
      <c r="G45" s="69"/>
      <c r="H45" s="69"/>
      <c r="I45" s="69"/>
    </row>
    <row r="46" spans="1:11" ht="15" customHeight="1">
      <c r="A46" s="3" t="s">
        <v>723</v>
      </c>
      <c r="B46" s="3" t="s">
        <v>614</v>
      </c>
      <c r="C46" s="3" t="s">
        <v>639</v>
      </c>
      <c r="D46" s="3" t="s">
        <v>646</v>
      </c>
      <c r="E46" s="3" t="s">
        <v>657</v>
      </c>
      <c r="F46" s="3" t="s">
        <v>666</v>
      </c>
      <c r="G46" s="3" t="s">
        <v>670</v>
      </c>
      <c r="H46" s="3" t="s">
        <v>674</v>
      </c>
      <c r="I46" s="3" t="s">
        <v>1232</v>
      </c>
    </row>
    <row r="47" spans="1:11" ht="21.6" customHeight="1">
      <c r="A47" s="3" t="s">
        <v>1233</v>
      </c>
      <c r="B47" s="3">
        <v>12.026999999999999</v>
      </c>
      <c r="C47" s="3">
        <v>0.45300000000000001</v>
      </c>
      <c r="D47" s="3">
        <v>5.5709999999999997</v>
      </c>
      <c r="E47" s="3">
        <v>2.157</v>
      </c>
      <c r="F47" s="3">
        <v>1.5820000000000001</v>
      </c>
      <c r="G47" s="3">
        <v>1.548</v>
      </c>
      <c r="H47" s="3">
        <v>3.5999999999999997E-2</v>
      </c>
      <c r="I47" s="3">
        <f>SUM(B47:H47)</f>
        <v>23.374000000000002</v>
      </c>
    </row>
    <row r="48" spans="1:11" ht="21.6" customHeight="1">
      <c r="A48" s="3" t="s">
        <v>1234</v>
      </c>
      <c r="B48" s="3">
        <v>10.727</v>
      </c>
      <c r="C48" s="3">
        <v>1.123</v>
      </c>
      <c r="D48" s="3">
        <v>0.67100000000000004</v>
      </c>
      <c r="E48" s="3">
        <v>2.2040000000000002</v>
      </c>
      <c r="F48" s="3">
        <v>1.607</v>
      </c>
      <c r="G48" s="3">
        <v>1.4419999999999999</v>
      </c>
      <c r="H48" s="3">
        <v>0.59099999999999997</v>
      </c>
      <c r="I48" s="3">
        <f t="shared" ref="I48:I54" si="3">SUM(B48:H48)</f>
        <v>18.365000000000002</v>
      </c>
    </row>
    <row r="49" spans="1:11" ht="21.6" customHeight="1">
      <c r="A49" s="3" t="s">
        <v>1235</v>
      </c>
      <c r="B49" s="3">
        <v>0.16800000000000001</v>
      </c>
      <c r="C49" s="3">
        <v>5.8000000000000003E-2</v>
      </c>
      <c r="D49" s="3">
        <v>0.72499999999999998</v>
      </c>
      <c r="E49" s="3">
        <v>0.252</v>
      </c>
      <c r="F49" s="3">
        <v>0.22700000000000001</v>
      </c>
      <c r="G49" s="3">
        <v>0.64800000000000002</v>
      </c>
      <c r="H49" s="3">
        <v>0.15</v>
      </c>
      <c r="I49" s="3">
        <f t="shared" si="3"/>
        <v>2.2279999999999998</v>
      </c>
    </row>
    <row r="50" spans="1:11" ht="21.6" customHeight="1">
      <c r="A50" s="3" t="s">
        <v>1236</v>
      </c>
      <c r="B50" s="3">
        <v>0.74099999999999999</v>
      </c>
      <c r="C50" s="3">
        <v>0.45900000000000002</v>
      </c>
      <c r="D50" s="3">
        <v>0.105</v>
      </c>
      <c r="E50" s="3">
        <v>2.5000000000000001E-2</v>
      </c>
      <c r="F50" s="3">
        <v>6.0000000000000001E-3</v>
      </c>
      <c r="G50" s="3">
        <v>5.6000000000000001E-2</v>
      </c>
      <c r="H50" s="3">
        <v>0</v>
      </c>
      <c r="I50" s="3">
        <f t="shared" si="3"/>
        <v>1.3919999999999999</v>
      </c>
    </row>
    <row r="51" spans="1:11" ht="21.6" customHeight="1">
      <c r="A51" s="3" t="s">
        <v>1237</v>
      </c>
      <c r="B51" s="3">
        <v>5.6559999999999997</v>
      </c>
      <c r="C51" s="3">
        <v>0.50700000000000001</v>
      </c>
      <c r="D51" s="3">
        <v>2.911</v>
      </c>
      <c r="E51" s="3">
        <v>3.0190000000000001</v>
      </c>
      <c r="F51" s="3">
        <v>0.19700000000000001</v>
      </c>
      <c r="G51" s="3">
        <v>1.2849999999999999</v>
      </c>
      <c r="H51" s="3">
        <v>1.3979999999999999</v>
      </c>
      <c r="I51" s="3">
        <f t="shared" si="3"/>
        <v>14.972999999999999</v>
      </c>
    </row>
    <row r="52" spans="1:11" ht="21.6" customHeight="1">
      <c r="A52" s="3" t="s">
        <v>1238</v>
      </c>
      <c r="B52" s="3">
        <v>0</v>
      </c>
      <c r="C52" s="3">
        <v>0.77200000000000002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f t="shared" si="3"/>
        <v>0.77200000000000002</v>
      </c>
    </row>
    <row r="53" spans="1:11" ht="21.6" customHeight="1">
      <c r="A53" s="3" t="s">
        <v>1239</v>
      </c>
      <c r="B53" s="3">
        <v>14.715</v>
      </c>
      <c r="C53" s="3">
        <v>0.623</v>
      </c>
      <c r="D53" s="3">
        <v>2.33</v>
      </c>
      <c r="E53" s="3">
        <v>0.22500000000000001</v>
      </c>
      <c r="F53" s="3">
        <v>0.83299999999999996</v>
      </c>
      <c r="G53" s="3">
        <v>0.13400000000000001</v>
      </c>
      <c r="H53" s="3">
        <v>0.46300000000000002</v>
      </c>
      <c r="I53" s="3">
        <f t="shared" si="3"/>
        <v>19.323</v>
      </c>
    </row>
    <row r="54" spans="1:11" ht="21.6" customHeight="1">
      <c r="A54" s="3" t="s">
        <v>1240</v>
      </c>
      <c r="B54" s="3">
        <v>2.3730000000000002</v>
      </c>
      <c r="C54" s="3">
        <v>0.17899999999999999</v>
      </c>
      <c r="D54" s="3">
        <v>0.44600000000000001</v>
      </c>
      <c r="E54" s="3">
        <v>0.44600000000000001</v>
      </c>
      <c r="F54" s="3">
        <v>0.17499999999999999</v>
      </c>
      <c r="G54" s="3">
        <v>6.9000000000000006E-2</v>
      </c>
      <c r="H54" s="3">
        <v>0.111</v>
      </c>
      <c r="I54" s="3">
        <f t="shared" si="3"/>
        <v>3.7990000000000004</v>
      </c>
    </row>
    <row r="55" spans="1:11" ht="15" customHeight="1">
      <c r="C55" s="18"/>
      <c r="D55" s="18"/>
      <c r="E55" s="18"/>
      <c r="F55" s="18"/>
      <c r="G55" s="18"/>
      <c r="H55" s="18"/>
    </row>
    <row r="56" spans="1:11" ht="15" customHeight="1">
      <c r="A56" s="59" t="s">
        <v>752</v>
      </c>
      <c r="B56" s="59" t="s">
        <v>752</v>
      </c>
      <c r="C56" s="60" t="s">
        <v>752</v>
      </c>
      <c r="D56" s="60" t="s">
        <v>752</v>
      </c>
      <c r="E56" s="60" t="s">
        <v>752</v>
      </c>
      <c r="F56" s="60" t="s">
        <v>752</v>
      </c>
      <c r="G56" s="60" t="s">
        <v>752</v>
      </c>
      <c r="H56" s="60" t="s">
        <v>752</v>
      </c>
      <c r="I56" s="59" t="s">
        <v>752</v>
      </c>
      <c r="J56" s="59" t="s">
        <v>752</v>
      </c>
      <c r="K56" s="59" t="s">
        <v>752</v>
      </c>
    </row>
    <row r="57" spans="1:11" ht="15" customHeight="1">
      <c r="A57" s="2" t="s">
        <v>753</v>
      </c>
      <c r="B57" s="2" t="s">
        <v>754</v>
      </c>
      <c r="C57" s="21" t="s">
        <v>755</v>
      </c>
      <c r="D57" s="21" t="s">
        <v>756</v>
      </c>
      <c r="E57" s="21" t="s">
        <v>757</v>
      </c>
      <c r="F57" s="21" t="s">
        <v>758</v>
      </c>
      <c r="G57" s="21" t="s">
        <v>759</v>
      </c>
      <c r="H57" s="21" t="s">
        <v>760</v>
      </c>
      <c r="I57" s="2" t="s">
        <v>761</v>
      </c>
      <c r="J57" s="2" t="s">
        <v>762</v>
      </c>
      <c r="K57" s="2" t="s">
        <v>763</v>
      </c>
    </row>
    <row r="58" spans="1:11" ht="32.4" customHeight="1">
      <c r="A58" s="3" t="s">
        <v>764</v>
      </c>
      <c r="B58" s="3" t="s">
        <v>765</v>
      </c>
      <c r="C58" s="17">
        <f>'02_SCENARIOS'!$B$25</f>
        <v>55</v>
      </c>
      <c r="D58" s="17">
        <f>'02_SCENARIOS'!$B$25</f>
        <v>55</v>
      </c>
      <c r="E58" s="17">
        <f>'02_SCENARIOS'!$B$25</f>
        <v>55</v>
      </c>
      <c r="F58" s="17"/>
      <c r="G58" s="17"/>
      <c r="H58" s="17"/>
      <c r="I58" s="3" t="s">
        <v>766</v>
      </c>
      <c r="J58" s="3" t="s">
        <v>767</v>
      </c>
      <c r="K58" s="3" t="s">
        <v>768</v>
      </c>
    </row>
    <row r="59" spans="1:11" ht="21.6" customHeight="1">
      <c r="A59" s="3" t="s">
        <v>769</v>
      </c>
      <c r="B59" s="3" t="s">
        <v>765</v>
      </c>
      <c r="C59" s="17"/>
      <c r="D59" s="17"/>
      <c r="E59" s="17"/>
      <c r="F59" s="17">
        <f>'02_SCENARIOS'!$B$26</f>
        <v>30</v>
      </c>
      <c r="G59" s="17">
        <f>'02_SCENARIOS'!$B$26</f>
        <v>30</v>
      </c>
      <c r="H59" s="17">
        <f>'02_SCENARIOS'!$B$26</f>
        <v>30</v>
      </c>
      <c r="I59" s="3" t="s">
        <v>770</v>
      </c>
      <c r="J59" s="3" t="s">
        <v>771</v>
      </c>
      <c r="K59" s="3" t="s">
        <v>772</v>
      </c>
    </row>
    <row r="60" spans="1:11" ht="32.4" customHeight="1">
      <c r="A60" s="3" t="s">
        <v>773</v>
      </c>
      <c r="B60" s="3" t="s">
        <v>774</v>
      </c>
      <c r="C60" s="17"/>
      <c r="D60" s="17"/>
      <c r="E60" s="17"/>
      <c r="F60" s="17"/>
      <c r="G60" s="17">
        <v>22.7</v>
      </c>
      <c r="H60" s="17"/>
      <c r="I60" s="3" t="s">
        <v>775</v>
      </c>
      <c r="J60" s="3" t="s">
        <v>776</v>
      </c>
      <c r="K60" s="3" t="s">
        <v>777</v>
      </c>
    </row>
    <row r="61" spans="1:11" ht="21.6" customHeight="1">
      <c r="A61" s="3" t="s">
        <v>778</v>
      </c>
      <c r="B61" s="3" t="s">
        <v>774</v>
      </c>
      <c r="C61" s="17"/>
      <c r="D61" s="17">
        <v>59</v>
      </c>
      <c r="E61" s="17"/>
      <c r="F61" s="17"/>
      <c r="G61" s="17"/>
      <c r="H61" s="17"/>
      <c r="I61" s="3" t="s">
        <v>779</v>
      </c>
      <c r="J61" s="3" t="s">
        <v>780</v>
      </c>
      <c r="K61" s="3" t="s">
        <v>781</v>
      </c>
    </row>
    <row r="62" spans="1:11" ht="32.4" customHeight="1">
      <c r="A62" s="3" t="s">
        <v>782</v>
      </c>
      <c r="B62" s="3" t="s">
        <v>765</v>
      </c>
      <c r="C62" s="17"/>
      <c r="D62" s="17"/>
      <c r="E62" s="17"/>
      <c r="F62" s="17"/>
      <c r="G62" s="17"/>
      <c r="H62" s="17"/>
      <c r="I62" s="3" t="s">
        <v>783</v>
      </c>
      <c r="J62" s="3" t="s">
        <v>784</v>
      </c>
      <c r="K62" s="3" t="s">
        <v>785</v>
      </c>
    </row>
    <row r="63" spans="1:11" ht="15" customHeight="1"/>
    <row r="64" spans="1:11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3">
    <mergeCell ref="A1:K1"/>
    <mergeCell ref="A2:K2"/>
    <mergeCell ref="A56:K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5"/>
  <sheetViews>
    <sheetView showGridLines="0" workbookViewId="0">
      <selection activeCell="F20" sqref="F20"/>
    </sheetView>
  </sheetViews>
  <sheetFormatPr defaultRowHeight="14.4"/>
  <cols>
    <col min="1" max="1" width="11" style="1" customWidth="1"/>
    <col min="2" max="2" width="25" style="1" customWidth="1"/>
    <col min="3" max="3" width="13" style="1" customWidth="1"/>
    <col min="4" max="5" width="14" style="1" customWidth="1"/>
    <col min="6" max="6" width="13" style="1" customWidth="1"/>
    <col min="7" max="8" width="14" style="1" customWidth="1"/>
    <col min="9" max="9" width="13" style="1" customWidth="1"/>
    <col min="10" max="11" width="14" style="1" customWidth="1"/>
    <col min="12" max="13" width="10" style="1" customWidth="1"/>
    <col min="14" max="15" width="11" style="1" customWidth="1"/>
    <col min="16" max="16" width="40" style="1" customWidth="1"/>
    <col min="17" max="16384" width="8.796875" style="1"/>
  </cols>
  <sheetData>
    <row r="1" spans="1:16" ht="19.2" customHeight="1">
      <c r="A1" s="54" t="s">
        <v>786</v>
      </c>
      <c r="B1" s="54" t="s">
        <v>786</v>
      </c>
      <c r="C1" s="54" t="s">
        <v>786</v>
      </c>
      <c r="D1" s="54" t="s">
        <v>786</v>
      </c>
      <c r="E1" s="54" t="s">
        <v>786</v>
      </c>
      <c r="F1" s="54" t="s">
        <v>786</v>
      </c>
      <c r="G1" s="54" t="s">
        <v>786</v>
      </c>
      <c r="H1" s="54" t="s">
        <v>786</v>
      </c>
      <c r="I1" s="54" t="s">
        <v>786</v>
      </c>
      <c r="J1" s="54" t="s">
        <v>786</v>
      </c>
      <c r="K1" s="54" t="s">
        <v>786</v>
      </c>
      <c r="L1" s="54" t="s">
        <v>786</v>
      </c>
      <c r="M1" s="54" t="s">
        <v>786</v>
      </c>
      <c r="N1" s="54" t="s">
        <v>786</v>
      </c>
      <c r="O1" s="54" t="s">
        <v>786</v>
      </c>
      <c r="P1" s="54" t="s">
        <v>786</v>
      </c>
    </row>
    <row r="2" spans="1:16" ht="15" customHeight="1">
      <c r="A2" s="55" t="s">
        <v>787</v>
      </c>
      <c r="B2" s="55" t="s">
        <v>787</v>
      </c>
      <c r="C2" s="55" t="s">
        <v>787</v>
      </c>
      <c r="D2" s="55" t="s">
        <v>787</v>
      </c>
      <c r="E2" s="55" t="s">
        <v>787</v>
      </c>
      <c r="F2" s="55" t="s">
        <v>787</v>
      </c>
      <c r="G2" s="55" t="s">
        <v>787</v>
      </c>
      <c r="H2" s="55" t="s">
        <v>787</v>
      </c>
      <c r="I2" s="55" t="s">
        <v>787</v>
      </c>
      <c r="J2" s="55" t="s">
        <v>787</v>
      </c>
      <c r="K2" s="55" t="s">
        <v>787</v>
      </c>
      <c r="L2" s="55" t="s">
        <v>787</v>
      </c>
      <c r="M2" s="55" t="s">
        <v>787</v>
      </c>
      <c r="N2" s="55" t="s">
        <v>787</v>
      </c>
      <c r="O2" s="55" t="s">
        <v>787</v>
      </c>
      <c r="P2" s="55" t="s">
        <v>787</v>
      </c>
    </row>
    <row r="3" spans="1:16" ht="15" customHeight="1">
      <c r="A3" s="59" t="s">
        <v>788</v>
      </c>
      <c r="B3" s="59" t="s">
        <v>788</v>
      </c>
      <c r="C3" s="59" t="s">
        <v>788</v>
      </c>
      <c r="D3" s="59" t="s">
        <v>788</v>
      </c>
      <c r="E3" s="59" t="s">
        <v>788</v>
      </c>
      <c r="F3" s="59" t="s">
        <v>788</v>
      </c>
      <c r="G3" s="59" t="s">
        <v>788</v>
      </c>
      <c r="H3" s="59" t="s">
        <v>788</v>
      </c>
      <c r="I3" s="59" t="s">
        <v>788</v>
      </c>
      <c r="J3" s="59" t="s">
        <v>788</v>
      </c>
      <c r="K3" s="59" t="s">
        <v>788</v>
      </c>
      <c r="L3" s="59" t="s">
        <v>788</v>
      </c>
      <c r="M3" s="59" t="s">
        <v>788</v>
      </c>
      <c r="N3" s="59" t="s">
        <v>788</v>
      </c>
      <c r="O3" s="59" t="s">
        <v>788</v>
      </c>
      <c r="P3" s="59" t="s">
        <v>788</v>
      </c>
    </row>
    <row r="4" spans="1:16" ht="15" customHeight="1">
      <c r="A4" s="2" t="s">
        <v>722</v>
      </c>
      <c r="B4" s="2" t="s">
        <v>789</v>
      </c>
      <c r="C4" s="2" t="s">
        <v>790</v>
      </c>
      <c r="D4" s="2" t="s">
        <v>791</v>
      </c>
      <c r="E4" s="2" t="s">
        <v>792</v>
      </c>
      <c r="F4" s="2" t="s">
        <v>793</v>
      </c>
      <c r="G4" s="2" t="s">
        <v>794</v>
      </c>
      <c r="H4" s="2" t="s">
        <v>795</v>
      </c>
      <c r="I4" s="2" t="s">
        <v>796</v>
      </c>
      <c r="J4" s="2" t="s">
        <v>797</v>
      </c>
      <c r="K4" s="2" t="s">
        <v>798</v>
      </c>
      <c r="L4" s="2" t="s">
        <v>799</v>
      </c>
      <c r="M4" s="2" t="s">
        <v>800</v>
      </c>
      <c r="N4" s="2" t="s">
        <v>801</v>
      </c>
      <c r="O4" s="2" t="s">
        <v>802</v>
      </c>
      <c r="P4" s="2" t="s">
        <v>803</v>
      </c>
    </row>
    <row r="5" spans="1:16" ht="15" customHeight="1">
      <c r="A5" s="3" t="s">
        <v>614</v>
      </c>
      <c r="B5" s="3" t="s">
        <v>804</v>
      </c>
      <c r="C5" s="17">
        <f>F5*'02_SCENARIOS'!$I$5</f>
        <v>3.04</v>
      </c>
      <c r="D5" s="17">
        <f>G5*'02_SCENARIOS'!$I$5</f>
        <v>3.04</v>
      </c>
      <c r="E5" s="17">
        <f>H5*'02_SCENARIOS'!$I$5</f>
        <v>6.08</v>
      </c>
      <c r="F5" s="17">
        <v>3.8</v>
      </c>
      <c r="G5" s="17">
        <v>3.8</v>
      </c>
      <c r="H5" s="17">
        <v>7.6</v>
      </c>
      <c r="I5" s="17">
        <f>F5*'02_SCENARIOS'!$I$7</f>
        <v>4.18</v>
      </c>
      <c r="J5" s="17">
        <f>G5*'02_SCENARIOS'!$I$7</f>
        <v>4.18</v>
      </c>
      <c r="K5" s="17">
        <f>H5*'02_SCENARIOS'!$I$7</f>
        <v>8.36</v>
      </c>
      <c r="L5" s="17">
        <v>2</v>
      </c>
      <c r="M5" s="22">
        <v>0.94868329805051377</v>
      </c>
      <c r="N5" s="22">
        <v>0.94868329805051377</v>
      </c>
      <c r="O5" s="22">
        <f t="shared" ref="O5:O33" si="0">M5*N5</f>
        <v>0.89999999999999991</v>
      </c>
      <c r="P5" s="3" t="s">
        <v>805</v>
      </c>
    </row>
    <row r="6" spans="1:16" ht="15" customHeight="1">
      <c r="A6" s="3" t="s">
        <v>614</v>
      </c>
      <c r="B6" s="3" t="s">
        <v>806</v>
      </c>
      <c r="C6" s="17">
        <f>F6*'02_SCENARIOS'!$I$5</f>
        <v>0.76</v>
      </c>
      <c r="D6" s="17">
        <f>G6*'02_SCENARIOS'!$I$5</f>
        <v>0.76</v>
      </c>
      <c r="E6" s="17">
        <f>H6*'02_SCENARIOS'!$I$5</f>
        <v>3.04</v>
      </c>
      <c r="F6" s="17">
        <v>0.95</v>
      </c>
      <c r="G6" s="17">
        <v>0.95</v>
      </c>
      <c r="H6" s="17">
        <v>3.8</v>
      </c>
      <c r="I6" s="17">
        <f>F6*'02_SCENARIOS'!$I$7</f>
        <v>1.0449999999999999</v>
      </c>
      <c r="J6" s="17">
        <f>G6*'02_SCENARIOS'!$I$7</f>
        <v>1.0449999999999999</v>
      </c>
      <c r="K6" s="17">
        <f>H6*'02_SCENARIOS'!$I$7</f>
        <v>4.18</v>
      </c>
      <c r="L6" s="17">
        <v>4</v>
      </c>
      <c r="M6" s="22">
        <v>0.94868329805051377</v>
      </c>
      <c r="N6" s="22">
        <v>0.94868329805051377</v>
      </c>
      <c r="O6" s="22">
        <f t="shared" si="0"/>
        <v>0.89999999999999991</v>
      </c>
      <c r="P6" s="3" t="s">
        <v>805</v>
      </c>
    </row>
    <row r="7" spans="1:16" ht="15" customHeight="1">
      <c r="A7" s="3" t="s">
        <v>614</v>
      </c>
      <c r="B7" s="3" t="s">
        <v>807</v>
      </c>
      <c r="C7" s="17">
        <f>F7*'02_SCENARIOS'!$I$5</f>
        <v>0.62000000000000011</v>
      </c>
      <c r="D7" s="17">
        <f>G7*'02_SCENARIOS'!$I$5</f>
        <v>0.62000000000000011</v>
      </c>
      <c r="E7" s="17">
        <f>H7*'02_SCENARIOS'!$I$5</f>
        <v>2.4800000000000004</v>
      </c>
      <c r="F7" s="17">
        <v>0.77500000000000002</v>
      </c>
      <c r="G7" s="17">
        <v>0.77500000000000002</v>
      </c>
      <c r="H7" s="17">
        <v>3.1</v>
      </c>
      <c r="I7" s="17">
        <f>F7*'02_SCENARIOS'!$I$7</f>
        <v>0.85250000000000015</v>
      </c>
      <c r="J7" s="17">
        <f>G7*'02_SCENARIOS'!$I$7</f>
        <v>0.85250000000000015</v>
      </c>
      <c r="K7" s="17">
        <f>H7*'02_SCENARIOS'!$I$7</f>
        <v>3.4100000000000006</v>
      </c>
      <c r="L7" s="17">
        <v>4</v>
      </c>
      <c r="M7" s="22">
        <v>0.94868329805051377</v>
      </c>
      <c r="N7" s="22">
        <v>0.94868329805051377</v>
      </c>
      <c r="O7" s="22">
        <f t="shared" si="0"/>
        <v>0.89999999999999991</v>
      </c>
      <c r="P7" s="3" t="s">
        <v>805</v>
      </c>
    </row>
    <row r="8" spans="1:16" ht="15" customHeight="1">
      <c r="A8" s="3" t="s">
        <v>614</v>
      </c>
      <c r="B8" s="3" t="s">
        <v>808</v>
      </c>
      <c r="C8" s="17">
        <f>F8*'02_SCENARIOS'!$I$5</f>
        <v>0</v>
      </c>
      <c r="D8" s="17">
        <f>G8*'02_SCENARIOS'!$I$5</f>
        <v>0</v>
      </c>
      <c r="E8" s="17">
        <f>H8*'02_SCENARIOS'!$I$5</f>
        <v>0</v>
      </c>
      <c r="F8" s="17">
        <v>0</v>
      </c>
      <c r="G8" s="17">
        <v>0</v>
      </c>
      <c r="H8" s="17">
        <v>0</v>
      </c>
      <c r="I8" s="17">
        <f>F8*'02_SCENARIOS'!$I$7</f>
        <v>0</v>
      </c>
      <c r="J8" s="17">
        <f>G8*'02_SCENARIOS'!$I$7</f>
        <v>0</v>
      </c>
      <c r="K8" s="17">
        <f>H8*'02_SCENARIOS'!$I$7</f>
        <v>0</v>
      </c>
      <c r="L8" s="17">
        <v>8</v>
      </c>
      <c r="M8" s="22">
        <v>0.94868329805051377</v>
      </c>
      <c r="N8" s="22">
        <v>0.94868329805051377</v>
      </c>
      <c r="O8" s="22">
        <f t="shared" si="0"/>
        <v>0.89999999999999991</v>
      </c>
      <c r="P8" s="3" t="s">
        <v>809</v>
      </c>
    </row>
    <row r="9" spans="1:16" ht="15" customHeight="1">
      <c r="A9" s="3" t="s">
        <v>639</v>
      </c>
      <c r="B9" s="3" t="s">
        <v>804</v>
      </c>
      <c r="C9" s="17">
        <f>F9*'02_SCENARIOS'!$I$5</f>
        <v>0.45333333333333337</v>
      </c>
      <c r="D9" s="17">
        <f>G9*'02_SCENARIOS'!$I$5</f>
        <v>0.45333333333333337</v>
      </c>
      <c r="E9" s="17">
        <f>H9*'02_SCENARIOS'!$I$5</f>
        <v>0.90666666666666673</v>
      </c>
      <c r="F9" s="17">
        <v>0.56666666666666665</v>
      </c>
      <c r="G9" s="17">
        <v>0.56666666666666665</v>
      </c>
      <c r="H9" s="17">
        <v>1.1333333333333333</v>
      </c>
      <c r="I9" s="17">
        <f>F9*'02_SCENARIOS'!$I$7</f>
        <v>0.62333333333333341</v>
      </c>
      <c r="J9" s="17">
        <f>G9*'02_SCENARIOS'!$I$7</f>
        <v>0.62333333333333341</v>
      </c>
      <c r="K9" s="17">
        <f>H9*'02_SCENARIOS'!$I$7</f>
        <v>1.2466666666666668</v>
      </c>
      <c r="L9" s="17">
        <v>2</v>
      </c>
      <c r="M9" s="22">
        <v>0.94868329805051377</v>
      </c>
      <c r="N9" s="22">
        <v>0.94868329805051377</v>
      </c>
      <c r="O9" s="22">
        <f t="shared" si="0"/>
        <v>0.89999999999999991</v>
      </c>
      <c r="P9" s="3" t="s">
        <v>805</v>
      </c>
    </row>
    <row r="10" spans="1:16" ht="15" customHeight="1">
      <c r="A10" s="3" t="s">
        <v>639</v>
      </c>
      <c r="B10" s="3" t="s">
        <v>806</v>
      </c>
      <c r="C10" s="17">
        <f>F10*'02_SCENARIOS'!$I$5</f>
        <v>0.11333333333333334</v>
      </c>
      <c r="D10" s="17">
        <f>G10*'02_SCENARIOS'!$I$5</f>
        <v>0.11333333333333334</v>
      </c>
      <c r="E10" s="17">
        <f>H10*'02_SCENARIOS'!$I$5</f>
        <v>0.45333333333333337</v>
      </c>
      <c r="F10" s="17">
        <v>0.14166666666666666</v>
      </c>
      <c r="G10" s="17">
        <v>0.14166666666666666</v>
      </c>
      <c r="H10" s="17">
        <v>0.56666666666666665</v>
      </c>
      <c r="I10" s="17">
        <f>F10*'02_SCENARIOS'!$I$7</f>
        <v>0.15583333333333335</v>
      </c>
      <c r="J10" s="17">
        <f>G10*'02_SCENARIOS'!$I$7</f>
        <v>0.15583333333333335</v>
      </c>
      <c r="K10" s="17">
        <f>H10*'02_SCENARIOS'!$I$7</f>
        <v>0.62333333333333341</v>
      </c>
      <c r="L10" s="17">
        <v>4</v>
      </c>
      <c r="M10" s="22">
        <v>0.94868329805051377</v>
      </c>
      <c r="N10" s="22">
        <v>0.94868329805051377</v>
      </c>
      <c r="O10" s="22">
        <f t="shared" si="0"/>
        <v>0.89999999999999991</v>
      </c>
      <c r="P10" s="3" t="s">
        <v>805</v>
      </c>
    </row>
    <row r="11" spans="1:16" ht="15" customHeight="1">
      <c r="A11" s="3" t="s">
        <v>639</v>
      </c>
      <c r="B11" s="3" t="s">
        <v>807</v>
      </c>
      <c r="C11" s="17">
        <f>F11*'02_SCENARIOS'!$I$5</f>
        <v>2.0000000000000004E-2</v>
      </c>
      <c r="D11" s="17">
        <f>G11*'02_SCENARIOS'!$I$5</f>
        <v>2.0000000000000004E-2</v>
      </c>
      <c r="E11" s="17">
        <f>H11*'02_SCENARIOS'!$I$5</f>
        <v>8.0000000000000016E-2</v>
      </c>
      <c r="F11" s="17">
        <v>2.5000000000000001E-2</v>
      </c>
      <c r="G11" s="17">
        <v>2.5000000000000001E-2</v>
      </c>
      <c r="H11" s="17">
        <v>0.1</v>
      </c>
      <c r="I11" s="17">
        <f>F11*'02_SCENARIOS'!$I$7</f>
        <v>2.7500000000000004E-2</v>
      </c>
      <c r="J11" s="17">
        <f>G11*'02_SCENARIOS'!$I$7</f>
        <v>2.7500000000000004E-2</v>
      </c>
      <c r="K11" s="17">
        <f>H11*'02_SCENARIOS'!$I$7</f>
        <v>0.11000000000000001</v>
      </c>
      <c r="L11" s="17">
        <v>4</v>
      </c>
      <c r="M11" s="22">
        <v>0.94868329805051377</v>
      </c>
      <c r="N11" s="22">
        <v>0.94868329805051377</v>
      </c>
      <c r="O11" s="22">
        <f t="shared" si="0"/>
        <v>0.89999999999999991</v>
      </c>
      <c r="P11" s="3" t="s">
        <v>805</v>
      </c>
    </row>
    <row r="12" spans="1:16" ht="15" customHeight="1">
      <c r="A12" s="3" t="s">
        <v>639</v>
      </c>
      <c r="B12" s="3" t="s">
        <v>808</v>
      </c>
      <c r="C12" s="17">
        <f>F12*'02_SCENARIOS'!$I$5</f>
        <v>0.32000000000000006</v>
      </c>
      <c r="D12" s="17">
        <f>G12*'02_SCENARIOS'!$I$5</f>
        <v>0.32000000000000006</v>
      </c>
      <c r="E12" s="17">
        <f>H12*'02_SCENARIOS'!$I$5</f>
        <v>2.5600000000000005</v>
      </c>
      <c r="F12" s="17">
        <v>0.4</v>
      </c>
      <c r="G12" s="17">
        <v>0.4</v>
      </c>
      <c r="H12" s="17">
        <v>3.2</v>
      </c>
      <c r="I12" s="17">
        <f>F12*'02_SCENARIOS'!$I$7</f>
        <v>0.44000000000000006</v>
      </c>
      <c r="J12" s="17">
        <f>G12*'02_SCENARIOS'!$I$7</f>
        <v>0.44000000000000006</v>
      </c>
      <c r="K12" s="17">
        <f>H12*'02_SCENARIOS'!$I$7</f>
        <v>3.5200000000000005</v>
      </c>
      <c r="L12" s="17">
        <v>8</v>
      </c>
      <c r="M12" s="22">
        <v>0.94868329805051377</v>
      </c>
      <c r="N12" s="22">
        <v>0.94868329805051377</v>
      </c>
      <c r="O12" s="22">
        <f t="shared" si="0"/>
        <v>0.89999999999999991</v>
      </c>
      <c r="P12" s="3" t="s">
        <v>809</v>
      </c>
    </row>
    <row r="13" spans="1:16" ht="15" customHeight="1">
      <c r="A13" s="3" t="s">
        <v>646</v>
      </c>
      <c r="B13" s="3" t="s">
        <v>804</v>
      </c>
      <c r="C13" s="17">
        <f>F13*'02_SCENARIOS'!$I$5</f>
        <v>0.77333333333333332</v>
      </c>
      <c r="D13" s="17">
        <f>G13*'02_SCENARIOS'!$I$5</f>
        <v>0.77333333333333332</v>
      </c>
      <c r="E13" s="17">
        <f>H13*'02_SCENARIOS'!$I$5</f>
        <v>1.5466666666666666</v>
      </c>
      <c r="F13" s="17">
        <v>0.96666666666666656</v>
      </c>
      <c r="G13" s="17">
        <v>0.96666666666666656</v>
      </c>
      <c r="H13" s="17">
        <v>1.9333333333333331</v>
      </c>
      <c r="I13" s="17">
        <f>F13*'02_SCENARIOS'!$I$7</f>
        <v>1.0633333333333332</v>
      </c>
      <c r="J13" s="17">
        <f>G13*'02_SCENARIOS'!$I$7</f>
        <v>1.0633333333333332</v>
      </c>
      <c r="K13" s="17">
        <f>H13*'02_SCENARIOS'!$I$7</f>
        <v>2.1266666666666665</v>
      </c>
      <c r="L13" s="17">
        <v>2</v>
      </c>
      <c r="M13" s="22">
        <v>0.94868329805051377</v>
      </c>
      <c r="N13" s="22">
        <v>0.94868329805051377</v>
      </c>
      <c r="O13" s="22">
        <f t="shared" si="0"/>
        <v>0.89999999999999991</v>
      </c>
      <c r="P13" s="3" t="s">
        <v>805</v>
      </c>
    </row>
    <row r="14" spans="1:16" ht="15" customHeight="1">
      <c r="A14" s="3" t="s">
        <v>646</v>
      </c>
      <c r="B14" s="3" t="s">
        <v>806</v>
      </c>
      <c r="C14" s="17">
        <f>F14*'02_SCENARIOS'!$I$5</f>
        <v>0.19333333333333333</v>
      </c>
      <c r="D14" s="17">
        <f>G14*'02_SCENARIOS'!$I$5</f>
        <v>0.19333333333333333</v>
      </c>
      <c r="E14" s="17">
        <f>H14*'02_SCENARIOS'!$I$5</f>
        <v>0.77333333333333332</v>
      </c>
      <c r="F14" s="17">
        <v>0.24166666666666664</v>
      </c>
      <c r="G14" s="17">
        <v>0.24166666666666664</v>
      </c>
      <c r="H14" s="17">
        <v>0.96666666666666656</v>
      </c>
      <c r="I14" s="17">
        <f>F14*'02_SCENARIOS'!$I$7</f>
        <v>0.26583333333333331</v>
      </c>
      <c r="J14" s="17">
        <f>G14*'02_SCENARIOS'!$I$7</f>
        <v>0.26583333333333331</v>
      </c>
      <c r="K14" s="17">
        <f>H14*'02_SCENARIOS'!$I$7</f>
        <v>1.0633333333333332</v>
      </c>
      <c r="L14" s="17">
        <v>4</v>
      </c>
      <c r="M14" s="22">
        <v>0.94868329805051377</v>
      </c>
      <c r="N14" s="22">
        <v>0.94868329805051377</v>
      </c>
      <c r="O14" s="22">
        <f t="shared" si="0"/>
        <v>0.89999999999999991</v>
      </c>
      <c r="P14" s="3" t="s">
        <v>805</v>
      </c>
    </row>
    <row r="15" spans="1:16" ht="15" customHeight="1">
      <c r="A15" s="3" t="s">
        <v>646</v>
      </c>
      <c r="B15" s="3" t="s">
        <v>807</v>
      </c>
      <c r="C15" s="17">
        <f>F15*'02_SCENARIOS'!$I$5</f>
        <v>0.18000000000000002</v>
      </c>
      <c r="D15" s="17">
        <f>G15*'02_SCENARIOS'!$I$5</f>
        <v>0.18000000000000002</v>
      </c>
      <c r="E15" s="17">
        <f>H15*'02_SCENARIOS'!$I$5</f>
        <v>0.72000000000000008</v>
      </c>
      <c r="F15" s="17">
        <v>0.22500000000000001</v>
      </c>
      <c r="G15" s="17">
        <v>0.22500000000000001</v>
      </c>
      <c r="H15" s="17">
        <v>0.9</v>
      </c>
      <c r="I15" s="17">
        <f>F15*'02_SCENARIOS'!$I$7</f>
        <v>0.24750000000000003</v>
      </c>
      <c r="J15" s="17">
        <f>G15*'02_SCENARIOS'!$I$7</f>
        <v>0.24750000000000003</v>
      </c>
      <c r="K15" s="17">
        <f>H15*'02_SCENARIOS'!$I$7</f>
        <v>0.9900000000000001</v>
      </c>
      <c r="L15" s="17">
        <v>4</v>
      </c>
      <c r="M15" s="22">
        <v>0.94868329805051377</v>
      </c>
      <c r="N15" s="22">
        <v>0.94868329805051377</v>
      </c>
      <c r="O15" s="22">
        <f t="shared" si="0"/>
        <v>0.89999999999999991</v>
      </c>
      <c r="P15" s="3" t="s">
        <v>805</v>
      </c>
    </row>
    <row r="16" spans="1:16" ht="15" customHeight="1">
      <c r="A16" s="3" t="s">
        <v>646</v>
      </c>
      <c r="B16" s="3" t="s">
        <v>808</v>
      </c>
      <c r="C16" s="17">
        <f>F16*'02_SCENARIOS'!$I$5</f>
        <v>2.23</v>
      </c>
      <c r="D16" s="17">
        <f>G16*'02_SCENARIOS'!$I$5</f>
        <v>2.23</v>
      </c>
      <c r="E16" s="17">
        <f>H16*'02_SCENARIOS'!$I$5</f>
        <v>17.84</v>
      </c>
      <c r="F16" s="17">
        <v>2.7875000000000001</v>
      </c>
      <c r="G16" s="17">
        <v>2.7875000000000001</v>
      </c>
      <c r="H16" s="17">
        <v>22.3</v>
      </c>
      <c r="I16" s="17">
        <f>F16*'02_SCENARIOS'!$I$7</f>
        <v>3.0662500000000001</v>
      </c>
      <c r="J16" s="17">
        <f>G16*'02_SCENARIOS'!$I$7</f>
        <v>3.0662500000000001</v>
      </c>
      <c r="K16" s="17">
        <f>H16*'02_SCENARIOS'!$I$7</f>
        <v>24.53</v>
      </c>
      <c r="L16" s="17">
        <v>8</v>
      </c>
      <c r="M16" s="22">
        <v>0.94868329805051377</v>
      </c>
      <c r="N16" s="22">
        <v>0.94868329805051377</v>
      </c>
      <c r="O16" s="22">
        <f t="shared" si="0"/>
        <v>0.89999999999999991</v>
      </c>
      <c r="P16" s="3" t="s">
        <v>809</v>
      </c>
    </row>
    <row r="17" spans="1:16" ht="15" customHeight="1">
      <c r="A17" s="3" t="s">
        <v>657</v>
      </c>
      <c r="B17" s="3" t="s">
        <v>804</v>
      </c>
      <c r="C17" s="17">
        <f>F17*'02_SCENARIOS'!$I$5</f>
        <v>0.24</v>
      </c>
      <c r="D17" s="17">
        <f>G17*'02_SCENARIOS'!$I$5</f>
        <v>0.24</v>
      </c>
      <c r="E17" s="17">
        <f>H17*'02_SCENARIOS'!$I$5</f>
        <v>0.48</v>
      </c>
      <c r="F17" s="17">
        <v>0.3</v>
      </c>
      <c r="G17" s="17">
        <v>0.3</v>
      </c>
      <c r="H17" s="17">
        <v>0.6</v>
      </c>
      <c r="I17" s="17">
        <f>F17*'02_SCENARIOS'!$I$7</f>
        <v>0.33</v>
      </c>
      <c r="J17" s="17">
        <f>G17*'02_SCENARIOS'!$I$7</f>
        <v>0.33</v>
      </c>
      <c r="K17" s="17">
        <f>H17*'02_SCENARIOS'!$I$7</f>
        <v>0.66</v>
      </c>
      <c r="L17" s="17">
        <v>2</v>
      </c>
      <c r="M17" s="22">
        <v>0.94868329805051377</v>
      </c>
      <c r="N17" s="22">
        <v>0.94868329805051377</v>
      </c>
      <c r="O17" s="22">
        <f t="shared" si="0"/>
        <v>0.89999999999999991</v>
      </c>
      <c r="P17" s="3" t="s">
        <v>805</v>
      </c>
    </row>
    <row r="18" spans="1:16" ht="15" customHeight="1">
      <c r="A18" s="3" t="s">
        <v>657</v>
      </c>
      <c r="B18" s="3" t="s">
        <v>806</v>
      </c>
      <c r="C18" s="17">
        <f>F18*'02_SCENARIOS'!$I$5</f>
        <v>0.06</v>
      </c>
      <c r="D18" s="17">
        <f>G18*'02_SCENARIOS'!$I$5</f>
        <v>0.06</v>
      </c>
      <c r="E18" s="17">
        <f>H18*'02_SCENARIOS'!$I$5</f>
        <v>0.24</v>
      </c>
      <c r="F18" s="17">
        <v>7.4999999999999997E-2</v>
      </c>
      <c r="G18" s="17">
        <v>7.4999999999999997E-2</v>
      </c>
      <c r="H18" s="17">
        <v>0.3</v>
      </c>
      <c r="I18" s="17">
        <f>F18*'02_SCENARIOS'!$I$7</f>
        <v>8.2500000000000004E-2</v>
      </c>
      <c r="J18" s="17">
        <f>G18*'02_SCENARIOS'!$I$7</f>
        <v>8.2500000000000004E-2</v>
      </c>
      <c r="K18" s="17">
        <f>H18*'02_SCENARIOS'!$I$7</f>
        <v>0.33</v>
      </c>
      <c r="L18" s="17">
        <v>4</v>
      </c>
      <c r="M18" s="22">
        <v>0.94868329805051377</v>
      </c>
      <c r="N18" s="22">
        <v>0.94868329805051377</v>
      </c>
      <c r="O18" s="22">
        <f t="shared" si="0"/>
        <v>0.89999999999999991</v>
      </c>
      <c r="P18" s="3" t="s">
        <v>805</v>
      </c>
    </row>
    <row r="19" spans="1:16" ht="15" customHeight="1">
      <c r="A19" s="3" t="s">
        <v>657</v>
      </c>
      <c r="B19" s="3" t="s">
        <v>807</v>
      </c>
      <c r="C19" s="17">
        <f>F19*'02_SCENARIOS'!$I$5</f>
        <v>2.0000000000000004E-2</v>
      </c>
      <c r="D19" s="17">
        <f>G19*'02_SCENARIOS'!$I$5</f>
        <v>2.0000000000000004E-2</v>
      </c>
      <c r="E19" s="17">
        <f>H19*'02_SCENARIOS'!$I$5</f>
        <v>8.0000000000000016E-2</v>
      </c>
      <c r="F19" s="17">
        <v>2.5000000000000001E-2</v>
      </c>
      <c r="G19" s="17">
        <v>2.5000000000000001E-2</v>
      </c>
      <c r="H19" s="17">
        <v>0.1</v>
      </c>
      <c r="I19" s="17">
        <f>F19*'02_SCENARIOS'!$I$7</f>
        <v>2.7500000000000004E-2</v>
      </c>
      <c r="J19" s="17">
        <f>G19*'02_SCENARIOS'!$I$7</f>
        <v>2.7500000000000004E-2</v>
      </c>
      <c r="K19" s="17">
        <f>H19*'02_SCENARIOS'!$I$7</f>
        <v>0.11000000000000001</v>
      </c>
      <c r="L19" s="17">
        <v>4</v>
      </c>
      <c r="M19" s="22">
        <v>0.94868329805051377</v>
      </c>
      <c r="N19" s="22">
        <v>0.94868329805051377</v>
      </c>
      <c r="O19" s="22">
        <f t="shared" si="0"/>
        <v>0.89999999999999991</v>
      </c>
      <c r="P19" s="3" t="s">
        <v>805</v>
      </c>
    </row>
    <row r="20" spans="1:16" ht="15" customHeight="1">
      <c r="A20" s="3" t="s">
        <v>657</v>
      </c>
      <c r="B20" s="3" t="s">
        <v>808</v>
      </c>
      <c r="C20" s="17">
        <f>F20*'02_SCENARIOS'!$I$5</f>
        <v>4.7700000000000005</v>
      </c>
      <c r="D20" s="17">
        <f>G20*'02_SCENARIOS'!$I$5</f>
        <v>4.7700000000000005</v>
      </c>
      <c r="E20" s="17">
        <f>H20*'02_SCENARIOS'!$I$5</f>
        <v>38.160000000000004</v>
      </c>
      <c r="F20" s="17">
        <v>5.9625000000000004</v>
      </c>
      <c r="G20" s="17">
        <v>5.9625000000000004</v>
      </c>
      <c r="H20" s="17">
        <v>47.7</v>
      </c>
      <c r="I20" s="17">
        <f>F20*'02_SCENARIOS'!$I$7</f>
        <v>6.5587500000000007</v>
      </c>
      <c r="J20" s="17">
        <f>G20*'02_SCENARIOS'!$I$7</f>
        <v>6.5587500000000007</v>
      </c>
      <c r="K20" s="17">
        <f>H20*'02_SCENARIOS'!$I$7</f>
        <v>52.470000000000006</v>
      </c>
      <c r="L20" s="17">
        <v>8</v>
      </c>
      <c r="M20" s="22">
        <v>0.94868329805051377</v>
      </c>
      <c r="N20" s="22">
        <v>0.94868329805051377</v>
      </c>
      <c r="O20" s="22">
        <f t="shared" si="0"/>
        <v>0.89999999999999991</v>
      </c>
      <c r="P20" s="3" t="s">
        <v>809</v>
      </c>
    </row>
    <row r="21" spans="1:16" ht="15" customHeight="1">
      <c r="A21" s="3" t="s">
        <v>666</v>
      </c>
      <c r="B21" s="3" t="s">
        <v>804</v>
      </c>
      <c r="C21" s="17">
        <f>F21*'02_SCENARIOS'!$I$5</f>
        <v>0.10666666666666667</v>
      </c>
      <c r="D21" s="17">
        <f>G21*'02_SCENARIOS'!$I$5</f>
        <v>0.10666666666666667</v>
      </c>
      <c r="E21" s="17">
        <f>H21*'02_SCENARIOS'!$I$5</f>
        <v>0.21333333333333335</v>
      </c>
      <c r="F21" s="17">
        <v>0.13333333333333333</v>
      </c>
      <c r="G21" s="17">
        <v>0.13333333333333333</v>
      </c>
      <c r="H21" s="17">
        <v>0.26666666666666666</v>
      </c>
      <c r="I21" s="17">
        <f>F21*'02_SCENARIOS'!$I$7</f>
        <v>0.14666666666666667</v>
      </c>
      <c r="J21" s="17">
        <f>G21*'02_SCENARIOS'!$I$7</f>
        <v>0.14666666666666667</v>
      </c>
      <c r="K21" s="17">
        <f>H21*'02_SCENARIOS'!$I$7</f>
        <v>0.29333333333333333</v>
      </c>
      <c r="L21" s="17">
        <v>2</v>
      </c>
      <c r="M21" s="22">
        <v>0.94868329805051377</v>
      </c>
      <c r="N21" s="22">
        <v>0.94868329805051377</v>
      </c>
      <c r="O21" s="22">
        <f t="shared" si="0"/>
        <v>0.89999999999999991</v>
      </c>
      <c r="P21" s="3" t="s">
        <v>805</v>
      </c>
    </row>
    <row r="22" spans="1:16" ht="15" customHeight="1">
      <c r="A22" s="3" t="s">
        <v>666</v>
      </c>
      <c r="B22" s="3" t="s">
        <v>806</v>
      </c>
      <c r="C22" s="17">
        <f>F22*'02_SCENARIOS'!$I$5</f>
        <v>2.6666666666666668E-2</v>
      </c>
      <c r="D22" s="17">
        <f>G22*'02_SCENARIOS'!$I$5</f>
        <v>2.6666666666666668E-2</v>
      </c>
      <c r="E22" s="17">
        <f>H22*'02_SCENARIOS'!$I$5</f>
        <v>0.10666666666666667</v>
      </c>
      <c r="F22" s="17">
        <v>3.3333333333333333E-2</v>
      </c>
      <c r="G22" s="17">
        <v>3.3333333333333333E-2</v>
      </c>
      <c r="H22" s="17">
        <v>0.13333333333333333</v>
      </c>
      <c r="I22" s="17">
        <f>F22*'02_SCENARIOS'!$I$7</f>
        <v>3.6666666666666667E-2</v>
      </c>
      <c r="J22" s="17">
        <f>G22*'02_SCENARIOS'!$I$7</f>
        <v>3.6666666666666667E-2</v>
      </c>
      <c r="K22" s="17">
        <f>H22*'02_SCENARIOS'!$I$7</f>
        <v>0.14666666666666667</v>
      </c>
      <c r="L22" s="17">
        <v>4</v>
      </c>
      <c r="M22" s="22">
        <v>0.94868329805051377</v>
      </c>
      <c r="N22" s="22">
        <v>0.94868329805051377</v>
      </c>
      <c r="O22" s="22">
        <f t="shared" si="0"/>
        <v>0.89999999999999991</v>
      </c>
      <c r="P22" s="3" t="s">
        <v>805</v>
      </c>
    </row>
    <row r="23" spans="1:16" ht="15" customHeight="1">
      <c r="A23" s="3" t="s">
        <v>666</v>
      </c>
      <c r="B23" s="3" t="s">
        <v>807</v>
      </c>
      <c r="C23" s="17">
        <f>F23*'02_SCENARIOS'!$I$5</f>
        <v>0</v>
      </c>
      <c r="D23" s="17">
        <f>G23*'02_SCENARIOS'!$I$5</f>
        <v>0</v>
      </c>
      <c r="E23" s="17">
        <f>H23*'02_SCENARIOS'!$I$5</f>
        <v>0</v>
      </c>
      <c r="F23" s="17">
        <v>0</v>
      </c>
      <c r="G23" s="17">
        <v>0</v>
      </c>
      <c r="H23" s="17">
        <v>0</v>
      </c>
      <c r="I23" s="17">
        <f>F23*'02_SCENARIOS'!$I$7</f>
        <v>0</v>
      </c>
      <c r="J23" s="17">
        <f>G23*'02_SCENARIOS'!$I$7</f>
        <v>0</v>
      </c>
      <c r="K23" s="17">
        <f>H23*'02_SCENARIOS'!$I$7</f>
        <v>0</v>
      </c>
      <c r="L23" s="17">
        <v>4</v>
      </c>
      <c r="M23" s="22">
        <v>0.94868329805051377</v>
      </c>
      <c r="N23" s="22">
        <v>0.94868329805051377</v>
      </c>
      <c r="O23" s="22">
        <f t="shared" si="0"/>
        <v>0.89999999999999991</v>
      </c>
      <c r="P23" s="3" t="s">
        <v>805</v>
      </c>
    </row>
    <row r="24" spans="1:16" ht="15" customHeight="1">
      <c r="A24" s="3" t="s">
        <v>666</v>
      </c>
      <c r="B24" s="3" t="s">
        <v>808</v>
      </c>
      <c r="C24" s="17">
        <f>F24*'02_SCENARIOS'!$I$5</f>
        <v>1.04</v>
      </c>
      <c r="D24" s="17">
        <f>G24*'02_SCENARIOS'!$I$5</f>
        <v>1.04</v>
      </c>
      <c r="E24" s="17">
        <f>H24*'02_SCENARIOS'!$I$5</f>
        <v>8.32</v>
      </c>
      <c r="F24" s="17">
        <v>1.3</v>
      </c>
      <c r="G24" s="17">
        <v>1.3</v>
      </c>
      <c r="H24" s="17">
        <v>10.4</v>
      </c>
      <c r="I24" s="17">
        <f>F24*'02_SCENARIOS'!$I$7</f>
        <v>1.4300000000000002</v>
      </c>
      <c r="J24" s="17">
        <f>G24*'02_SCENARIOS'!$I$7</f>
        <v>1.4300000000000002</v>
      </c>
      <c r="K24" s="17">
        <f>H24*'02_SCENARIOS'!$I$7</f>
        <v>11.440000000000001</v>
      </c>
      <c r="L24" s="17">
        <v>8</v>
      </c>
      <c r="M24" s="22">
        <v>0.94868329805051377</v>
      </c>
      <c r="N24" s="22">
        <v>0.94868329805051377</v>
      </c>
      <c r="O24" s="22">
        <f t="shared" si="0"/>
        <v>0.89999999999999991</v>
      </c>
      <c r="P24" s="3" t="s">
        <v>809</v>
      </c>
    </row>
    <row r="25" spans="1:16" ht="15" customHeight="1">
      <c r="A25" s="3" t="s">
        <v>670</v>
      </c>
      <c r="B25" s="3" t="s">
        <v>804</v>
      </c>
      <c r="C25" s="17">
        <f>F25*'02_SCENARIOS'!$I$5</f>
        <v>0.29333333333333339</v>
      </c>
      <c r="D25" s="17">
        <f>G25*'02_SCENARIOS'!$I$5</f>
        <v>0.29333333333333339</v>
      </c>
      <c r="E25" s="17">
        <f>H25*'02_SCENARIOS'!$I$5</f>
        <v>0.58666666666666678</v>
      </c>
      <c r="F25" s="17">
        <v>0.3666666666666667</v>
      </c>
      <c r="G25" s="17">
        <v>0.3666666666666667</v>
      </c>
      <c r="H25" s="17">
        <v>0.73333333333333339</v>
      </c>
      <c r="I25" s="17">
        <f>F25*'02_SCENARIOS'!$I$7</f>
        <v>0.40333333333333338</v>
      </c>
      <c r="J25" s="17">
        <f>G25*'02_SCENARIOS'!$I$7</f>
        <v>0.40333333333333338</v>
      </c>
      <c r="K25" s="17">
        <f>H25*'02_SCENARIOS'!$I$7</f>
        <v>0.80666666666666675</v>
      </c>
      <c r="L25" s="17">
        <v>2</v>
      </c>
      <c r="M25" s="22">
        <v>0.94868329805051377</v>
      </c>
      <c r="N25" s="22">
        <v>0.94868329805051377</v>
      </c>
      <c r="O25" s="22">
        <f t="shared" si="0"/>
        <v>0.89999999999999991</v>
      </c>
      <c r="P25" s="3" t="s">
        <v>805</v>
      </c>
    </row>
    <row r="26" spans="1:16" ht="15" customHeight="1">
      <c r="A26" s="3" t="s">
        <v>670</v>
      </c>
      <c r="B26" s="3" t="s">
        <v>806</v>
      </c>
      <c r="C26" s="17">
        <f>F26*'02_SCENARIOS'!$I$5</f>
        <v>7.3333333333333348E-2</v>
      </c>
      <c r="D26" s="17">
        <f>G26*'02_SCENARIOS'!$I$5</f>
        <v>7.3333333333333348E-2</v>
      </c>
      <c r="E26" s="17">
        <f>H26*'02_SCENARIOS'!$I$5</f>
        <v>0.29333333333333339</v>
      </c>
      <c r="F26" s="17">
        <v>9.1666666666666674E-2</v>
      </c>
      <c r="G26" s="17">
        <v>9.1666666666666674E-2</v>
      </c>
      <c r="H26" s="17">
        <v>0.3666666666666667</v>
      </c>
      <c r="I26" s="17">
        <f>F26*'02_SCENARIOS'!$I$7</f>
        <v>0.10083333333333334</v>
      </c>
      <c r="J26" s="17">
        <f>G26*'02_SCENARIOS'!$I$7</f>
        <v>0.10083333333333334</v>
      </c>
      <c r="K26" s="17">
        <f>H26*'02_SCENARIOS'!$I$7</f>
        <v>0.40333333333333338</v>
      </c>
      <c r="L26" s="17">
        <v>4</v>
      </c>
      <c r="M26" s="22">
        <v>0.94868329805051377</v>
      </c>
      <c r="N26" s="22">
        <v>0.94868329805051377</v>
      </c>
      <c r="O26" s="22">
        <f t="shared" si="0"/>
        <v>0.89999999999999991</v>
      </c>
      <c r="P26" s="3" t="s">
        <v>805</v>
      </c>
    </row>
    <row r="27" spans="1:16" ht="15" customHeight="1">
      <c r="A27" s="3" t="s">
        <v>670</v>
      </c>
      <c r="B27" s="3" t="s">
        <v>807</v>
      </c>
      <c r="C27" s="17">
        <f>F27*'02_SCENARIOS'!$I$5</f>
        <v>0</v>
      </c>
      <c r="D27" s="17">
        <f>G27*'02_SCENARIOS'!$I$5</f>
        <v>0</v>
      </c>
      <c r="E27" s="17">
        <f>H27*'02_SCENARIOS'!$I$5</f>
        <v>0</v>
      </c>
      <c r="F27" s="17">
        <v>0</v>
      </c>
      <c r="G27" s="17">
        <v>0</v>
      </c>
      <c r="H27" s="17">
        <v>0</v>
      </c>
      <c r="I27" s="17">
        <f>F27*'02_SCENARIOS'!$I$7</f>
        <v>0</v>
      </c>
      <c r="J27" s="17">
        <f>G27*'02_SCENARIOS'!$I$7</f>
        <v>0</v>
      </c>
      <c r="K27" s="17">
        <f>H27*'02_SCENARIOS'!$I$7</f>
        <v>0</v>
      </c>
      <c r="L27" s="17">
        <v>4</v>
      </c>
      <c r="M27" s="22">
        <v>0.94868329805051377</v>
      </c>
      <c r="N27" s="22">
        <v>0.94868329805051377</v>
      </c>
      <c r="O27" s="22">
        <f t="shared" si="0"/>
        <v>0.89999999999999991</v>
      </c>
      <c r="P27" s="3" t="s">
        <v>805</v>
      </c>
    </row>
    <row r="28" spans="1:16" ht="15" customHeight="1">
      <c r="A28" s="3" t="s">
        <v>670</v>
      </c>
      <c r="B28" s="3" t="s">
        <v>808</v>
      </c>
      <c r="C28" s="17">
        <f>F28*'02_SCENARIOS'!$I$5</f>
        <v>3.6100000000000003</v>
      </c>
      <c r="D28" s="17">
        <f>G28*'02_SCENARIOS'!$I$5</f>
        <v>3.6100000000000003</v>
      </c>
      <c r="E28" s="17">
        <f>H28*'02_SCENARIOS'!$I$5</f>
        <v>28.880000000000003</v>
      </c>
      <c r="F28" s="17">
        <v>4.5125000000000002</v>
      </c>
      <c r="G28" s="17">
        <v>4.5125000000000002</v>
      </c>
      <c r="H28" s="17">
        <v>36.1</v>
      </c>
      <c r="I28" s="17">
        <f>F28*'02_SCENARIOS'!$I$7</f>
        <v>4.963750000000001</v>
      </c>
      <c r="J28" s="17">
        <f>G28*'02_SCENARIOS'!$I$7</f>
        <v>4.963750000000001</v>
      </c>
      <c r="K28" s="17">
        <f>H28*'02_SCENARIOS'!$I$7</f>
        <v>39.710000000000008</v>
      </c>
      <c r="L28" s="17">
        <v>8</v>
      </c>
      <c r="M28" s="22">
        <v>0.94868329805051377</v>
      </c>
      <c r="N28" s="22">
        <v>0.94868329805051377</v>
      </c>
      <c r="O28" s="22">
        <f t="shared" si="0"/>
        <v>0.89999999999999991</v>
      </c>
      <c r="P28" s="3" t="s">
        <v>809</v>
      </c>
    </row>
    <row r="29" spans="1:16" ht="15" customHeight="1">
      <c r="A29" s="3" t="s">
        <v>674</v>
      </c>
      <c r="B29" s="3" t="s">
        <v>804</v>
      </c>
      <c r="C29" s="17">
        <f>F29*'02_SCENARIOS'!$I$5</f>
        <v>0.16000000000000003</v>
      </c>
      <c r="D29" s="17">
        <f>G29*'02_SCENARIOS'!$I$5</f>
        <v>0.16000000000000003</v>
      </c>
      <c r="E29" s="17">
        <f>H29*'02_SCENARIOS'!$I$5</f>
        <v>0.32000000000000006</v>
      </c>
      <c r="F29" s="17">
        <v>0.2</v>
      </c>
      <c r="G29" s="17">
        <v>0.2</v>
      </c>
      <c r="H29" s="17">
        <v>0.4</v>
      </c>
      <c r="I29" s="17">
        <f>F29*'02_SCENARIOS'!$I$7</f>
        <v>0.22000000000000003</v>
      </c>
      <c r="J29" s="17">
        <f>G29*'02_SCENARIOS'!$I$7</f>
        <v>0.22000000000000003</v>
      </c>
      <c r="K29" s="17">
        <f>H29*'02_SCENARIOS'!$I$7</f>
        <v>0.44000000000000006</v>
      </c>
      <c r="L29" s="17">
        <v>2</v>
      </c>
      <c r="M29" s="22">
        <v>0.94868329805051377</v>
      </c>
      <c r="N29" s="22">
        <v>0.94868329805051377</v>
      </c>
      <c r="O29" s="22">
        <f t="shared" si="0"/>
        <v>0.89999999999999991</v>
      </c>
      <c r="P29" s="3" t="s">
        <v>805</v>
      </c>
    </row>
    <row r="30" spans="1:16" ht="15" customHeight="1">
      <c r="A30" s="3" t="s">
        <v>674</v>
      </c>
      <c r="B30" s="3" t="s">
        <v>806</v>
      </c>
      <c r="C30" s="17">
        <f>F30*'02_SCENARIOS'!$I$5</f>
        <v>4.0000000000000008E-2</v>
      </c>
      <c r="D30" s="17">
        <f>G30*'02_SCENARIOS'!$I$5</f>
        <v>4.0000000000000008E-2</v>
      </c>
      <c r="E30" s="17">
        <f>H30*'02_SCENARIOS'!$I$5</f>
        <v>0.16000000000000003</v>
      </c>
      <c r="F30" s="17">
        <v>0.05</v>
      </c>
      <c r="G30" s="17">
        <v>0.05</v>
      </c>
      <c r="H30" s="17">
        <v>0.2</v>
      </c>
      <c r="I30" s="17">
        <f>F30*'02_SCENARIOS'!$I$7</f>
        <v>5.5000000000000007E-2</v>
      </c>
      <c r="J30" s="17">
        <f>G30*'02_SCENARIOS'!$I$7</f>
        <v>5.5000000000000007E-2</v>
      </c>
      <c r="K30" s="17">
        <f>H30*'02_SCENARIOS'!$I$7</f>
        <v>0.22000000000000003</v>
      </c>
      <c r="L30" s="17">
        <v>4</v>
      </c>
      <c r="M30" s="22">
        <v>0.94868329805051377</v>
      </c>
      <c r="N30" s="22">
        <v>0.94868329805051377</v>
      </c>
      <c r="O30" s="22">
        <f t="shared" si="0"/>
        <v>0.89999999999999991</v>
      </c>
      <c r="P30" s="3" t="s">
        <v>805</v>
      </c>
    </row>
    <row r="31" spans="1:16" ht="15" customHeight="1">
      <c r="A31" s="3" t="s">
        <v>674</v>
      </c>
      <c r="B31" s="3" t="s">
        <v>807</v>
      </c>
      <c r="C31" s="17">
        <f>F31*'02_SCENARIOS'!$I$5</f>
        <v>0.64000000000000012</v>
      </c>
      <c r="D31" s="17">
        <f>G31*'02_SCENARIOS'!$I$5</f>
        <v>0.64000000000000012</v>
      </c>
      <c r="E31" s="17">
        <f>H31*'02_SCENARIOS'!$I$5</f>
        <v>2.5600000000000005</v>
      </c>
      <c r="F31" s="17">
        <v>0.8</v>
      </c>
      <c r="G31" s="17">
        <v>0.8</v>
      </c>
      <c r="H31" s="17">
        <v>3.2</v>
      </c>
      <c r="I31" s="17">
        <f>F31*'02_SCENARIOS'!$I$7</f>
        <v>0.88000000000000012</v>
      </c>
      <c r="J31" s="17">
        <f>G31*'02_SCENARIOS'!$I$7</f>
        <v>0.88000000000000012</v>
      </c>
      <c r="K31" s="17">
        <f>H31*'02_SCENARIOS'!$I$7</f>
        <v>3.5200000000000005</v>
      </c>
      <c r="L31" s="17">
        <v>4</v>
      </c>
      <c r="M31" s="22">
        <v>0.94868329805051377</v>
      </c>
      <c r="N31" s="22">
        <v>0.94868329805051377</v>
      </c>
      <c r="O31" s="22">
        <f t="shared" si="0"/>
        <v>0.89999999999999991</v>
      </c>
      <c r="P31" s="3" t="s">
        <v>805</v>
      </c>
    </row>
    <row r="32" spans="1:16" ht="15" customHeight="1">
      <c r="A32" s="3" t="s">
        <v>674</v>
      </c>
      <c r="B32" s="3" t="s">
        <v>808</v>
      </c>
      <c r="C32" s="17">
        <f>F32*'02_SCENARIOS'!$I$5</f>
        <v>2.0300000000000002</v>
      </c>
      <c r="D32" s="17">
        <f>G32*'02_SCENARIOS'!$I$5</f>
        <v>2.0300000000000002</v>
      </c>
      <c r="E32" s="17">
        <f>H32*'02_SCENARIOS'!$I$5</f>
        <v>16.240000000000002</v>
      </c>
      <c r="F32" s="17">
        <v>2.5375000000000001</v>
      </c>
      <c r="G32" s="17">
        <v>2.5375000000000001</v>
      </c>
      <c r="H32" s="17">
        <v>20.3</v>
      </c>
      <c r="I32" s="17">
        <f>F32*'02_SCENARIOS'!$I$7</f>
        <v>2.7912500000000002</v>
      </c>
      <c r="J32" s="17">
        <f>G32*'02_SCENARIOS'!$I$7</f>
        <v>2.7912500000000002</v>
      </c>
      <c r="K32" s="17">
        <f>H32*'02_SCENARIOS'!$I$7</f>
        <v>22.330000000000002</v>
      </c>
      <c r="L32" s="17">
        <v>8</v>
      </c>
      <c r="M32" s="22">
        <v>0.94868329805051377</v>
      </c>
      <c r="N32" s="22">
        <v>0.94868329805051377</v>
      </c>
      <c r="O32" s="22">
        <f t="shared" si="0"/>
        <v>0.89999999999999991</v>
      </c>
      <c r="P32" s="3" t="s">
        <v>809</v>
      </c>
    </row>
    <row r="33" spans="1:16" ht="15" customHeight="1">
      <c r="A33" s="19" t="s">
        <v>742</v>
      </c>
      <c r="B33" s="19" t="s">
        <v>810</v>
      </c>
      <c r="C33" s="20">
        <f t="shared" ref="C33:K33" si="1">SUM(C5:C32)</f>
        <v>21.813333333333336</v>
      </c>
      <c r="D33" s="20">
        <f t="shared" si="1"/>
        <v>21.813333333333336</v>
      </c>
      <c r="E33" s="20">
        <f t="shared" si="1"/>
        <v>133.12000000000003</v>
      </c>
      <c r="F33" s="20">
        <f t="shared" si="1"/>
        <v>27.266666666666669</v>
      </c>
      <c r="G33" s="20">
        <f t="shared" si="1"/>
        <v>27.266666666666669</v>
      </c>
      <c r="H33" s="20">
        <f t="shared" si="1"/>
        <v>166.4</v>
      </c>
      <c r="I33" s="20">
        <f t="shared" si="1"/>
        <v>29.993333333333332</v>
      </c>
      <c r="J33" s="20">
        <f t="shared" si="1"/>
        <v>29.993333333333332</v>
      </c>
      <c r="K33" s="20">
        <f t="shared" si="1"/>
        <v>183.04000000000002</v>
      </c>
      <c r="L33" s="20"/>
      <c r="M33" s="23">
        <v>0.94868329805051377</v>
      </c>
      <c r="N33" s="23">
        <v>0.94868329805051377</v>
      </c>
      <c r="O33" s="23">
        <f t="shared" si="0"/>
        <v>0.89999999999999991</v>
      </c>
      <c r="P33" s="19" t="s">
        <v>811</v>
      </c>
    </row>
    <row r="34" spans="1:16" ht="15" customHeight="1"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4"/>
      <c r="N34" s="24"/>
      <c r="O34" s="24"/>
    </row>
    <row r="35" spans="1:16" ht="15" customHeight="1"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24"/>
      <c r="N35" s="24"/>
      <c r="O35" s="24"/>
    </row>
    <row r="36" spans="1:16" ht="15" customHeight="1">
      <c r="A36" s="59" t="s">
        <v>812</v>
      </c>
      <c r="B36" s="59" t="s">
        <v>812</v>
      </c>
      <c r="C36" s="60" t="s">
        <v>812</v>
      </c>
      <c r="D36" s="60" t="s">
        <v>812</v>
      </c>
      <c r="E36" s="60" t="s">
        <v>812</v>
      </c>
      <c r="F36" s="60" t="s">
        <v>812</v>
      </c>
      <c r="G36" s="60" t="s">
        <v>812</v>
      </c>
      <c r="H36" s="60" t="s">
        <v>812</v>
      </c>
      <c r="I36" s="60" t="s">
        <v>812</v>
      </c>
      <c r="J36" s="60" t="s">
        <v>812</v>
      </c>
      <c r="K36" s="60" t="s">
        <v>812</v>
      </c>
      <c r="L36" s="60" t="s">
        <v>812</v>
      </c>
      <c r="M36" s="61" t="s">
        <v>812</v>
      </c>
      <c r="N36" s="61" t="s">
        <v>812</v>
      </c>
      <c r="O36" s="61" t="s">
        <v>812</v>
      </c>
      <c r="P36" s="59" t="s">
        <v>812</v>
      </c>
    </row>
    <row r="37" spans="1:16" ht="15" customHeight="1">
      <c r="A37" s="2" t="s">
        <v>722</v>
      </c>
      <c r="B37" s="2" t="s">
        <v>789</v>
      </c>
      <c r="C37" s="21" t="s">
        <v>790</v>
      </c>
      <c r="D37" s="21" t="s">
        <v>791</v>
      </c>
      <c r="E37" s="21" t="s">
        <v>792</v>
      </c>
      <c r="F37" s="21" t="s">
        <v>793</v>
      </c>
      <c r="G37" s="21" t="s">
        <v>794</v>
      </c>
      <c r="H37" s="21" t="s">
        <v>795</v>
      </c>
      <c r="I37" s="21" t="s">
        <v>796</v>
      </c>
      <c r="J37" s="21" t="s">
        <v>797</v>
      </c>
      <c r="K37" s="21" t="s">
        <v>798</v>
      </c>
      <c r="L37" s="21" t="s">
        <v>799</v>
      </c>
      <c r="M37" s="25" t="s">
        <v>800</v>
      </c>
      <c r="N37" s="25" t="s">
        <v>801</v>
      </c>
      <c r="O37" s="25" t="s">
        <v>802</v>
      </c>
      <c r="P37" s="2" t="s">
        <v>803</v>
      </c>
    </row>
    <row r="38" spans="1:16" ht="15" customHeight="1">
      <c r="A38" s="3" t="s">
        <v>614</v>
      </c>
      <c r="B38" s="3" t="s">
        <v>813</v>
      </c>
      <c r="C38" s="17">
        <f>F38*'02_SCENARIOS'!$I$8</f>
        <v>3.0412943555800696</v>
      </c>
      <c r="D38" s="17">
        <f>G38*'02_SCENARIOS'!$I$8</f>
        <v>3.0412943555800696</v>
      </c>
      <c r="E38" s="17">
        <f>H38*'02_SCENARIOS'!$I$8</f>
        <v>16.558158158158157</v>
      </c>
      <c r="F38" s="17">
        <v>3.8016179444750868</v>
      </c>
      <c r="G38" s="17">
        <v>3.8016179444750868</v>
      </c>
      <c r="H38" s="17">
        <v>20.697697697697695</v>
      </c>
      <c r="I38" s="17">
        <f>F38*'02_SCENARIOS'!$I$10</f>
        <v>4.1817797389225957</v>
      </c>
      <c r="J38" s="17">
        <f>G38*'02_SCENARIOS'!$I$10</f>
        <v>4.1817797389225957</v>
      </c>
      <c r="K38" s="17">
        <f>H38*'02_SCENARIOS'!$I$10</f>
        <v>22.767467467467466</v>
      </c>
      <c r="L38" s="17">
        <v>5.4444444444444446</v>
      </c>
      <c r="M38" s="22">
        <v>0.94868329805051377</v>
      </c>
      <c r="N38" s="22">
        <v>0.94868329805051377</v>
      </c>
      <c r="O38" s="22">
        <f t="shared" ref="O38:O45" si="2">M38*N38</f>
        <v>0.89999999999999991</v>
      </c>
      <c r="P38" s="3" t="s">
        <v>814</v>
      </c>
    </row>
    <row r="39" spans="1:16" ht="15" customHeight="1">
      <c r="A39" s="3" t="s">
        <v>639</v>
      </c>
      <c r="B39" s="3" t="s">
        <v>813</v>
      </c>
      <c r="C39" s="17">
        <f>F39*'02_SCENARIOS'!$I$8</f>
        <v>1.0487221915793343</v>
      </c>
      <c r="D39" s="17">
        <f>G39*'02_SCENARIOS'!$I$8</f>
        <v>1.0487221915793343</v>
      </c>
      <c r="E39" s="17">
        <f>H39*'02_SCENARIOS'!$I$8</f>
        <v>5.7097097097097098</v>
      </c>
      <c r="F39" s="17">
        <v>1.3109027394741679</v>
      </c>
      <c r="G39" s="17">
        <v>1.3109027394741679</v>
      </c>
      <c r="H39" s="17">
        <v>7.1371371371371373</v>
      </c>
      <c r="I39" s="17">
        <f>F39*'02_SCENARIOS'!$I$10</f>
        <v>1.4419930134215848</v>
      </c>
      <c r="J39" s="17">
        <f>G39*'02_SCENARIOS'!$I$10</f>
        <v>1.4419930134215848</v>
      </c>
      <c r="K39" s="17">
        <f>H39*'02_SCENARIOS'!$I$10</f>
        <v>7.8508508508508514</v>
      </c>
      <c r="L39" s="17">
        <v>5.4444444444444455</v>
      </c>
      <c r="M39" s="22">
        <v>0.94868329805051377</v>
      </c>
      <c r="N39" s="22">
        <v>0.94868329805051377</v>
      </c>
      <c r="O39" s="22">
        <f t="shared" si="2"/>
        <v>0.89999999999999991</v>
      </c>
      <c r="P39" s="3" t="s">
        <v>814</v>
      </c>
    </row>
    <row r="40" spans="1:16" ht="15" customHeight="1">
      <c r="A40" s="3" t="s">
        <v>646</v>
      </c>
      <c r="B40" s="3" t="s">
        <v>813</v>
      </c>
      <c r="C40" s="17">
        <f>F40*'02_SCENARIOS'!$I$8</f>
        <v>5.4953042838757122</v>
      </c>
      <c r="D40" s="17">
        <f>G40*'02_SCENARIOS'!$I$8</f>
        <v>5.4953042838757122</v>
      </c>
      <c r="E40" s="17">
        <f>H40*'02_SCENARIOS'!$I$8</f>
        <v>29.918878878878871</v>
      </c>
      <c r="F40" s="17">
        <v>6.8691303548446401</v>
      </c>
      <c r="G40" s="17">
        <v>6.8691303548446401</v>
      </c>
      <c r="H40" s="17">
        <v>37.398598598598589</v>
      </c>
      <c r="I40" s="17">
        <f>F40*'02_SCENARIOS'!$I$10</f>
        <v>7.5560433903291049</v>
      </c>
      <c r="J40" s="17">
        <f>G40*'02_SCENARIOS'!$I$10</f>
        <v>7.5560433903291049</v>
      </c>
      <c r="K40" s="17">
        <f>H40*'02_SCENARIOS'!$I$10</f>
        <v>41.138458458458452</v>
      </c>
      <c r="L40" s="17">
        <v>5.4444444444444438</v>
      </c>
      <c r="M40" s="22">
        <v>0.94868329805051377</v>
      </c>
      <c r="N40" s="22">
        <v>0.94868329805051377</v>
      </c>
      <c r="O40" s="22">
        <f t="shared" si="2"/>
        <v>0.89999999999999991</v>
      </c>
      <c r="P40" s="3" t="s">
        <v>814</v>
      </c>
    </row>
    <row r="41" spans="1:16" ht="15" customHeight="1">
      <c r="A41" s="3" t="s">
        <v>657</v>
      </c>
      <c r="B41" s="3" t="s">
        <v>813</v>
      </c>
      <c r="C41" s="17">
        <f>F41*'02_SCENARIOS'!$I$8</f>
        <v>10.214554145982717</v>
      </c>
      <c r="D41" s="17">
        <f>G41*'02_SCENARIOS'!$I$8</f>
        <v>10.214554145982717</v>
      </c>
      <c r="E41" s="17">
        <f>H41*'02_SCENARIOS'!$I$8</f>
        <v>55.612572572572574</v>
      </c>
      <c r="F41" s="17">
        <v>12.768192682478395</v>
      </c>
      <c r="G41" s="17">
        <v>12.768192682478395</v>
      </c>
      <c r="H41" s="17">
        <v>69.515715715715714</v>
      </c>
      <c r="I41" s="17">
        <f>F41*'02_SCENARIOS'!$I$10</f>
        <v>14.045011950726236</v>
      </c>
      <c r="J41" s="17">
        <f>G41*'02_SCENARIOS'!$I$10</f>
        <v>14.045011950726236</v>
      </c>
      <c r="K41" s="17">
        <f>H41*'02_SCENARIOS'!$I$10</f>
        <v>76.467287287287292</v>
      </c>
      <c r="L41" s="17">
        <v>5.4444444444444455</v>
      </c>
      <c r="M41" s="22">
        <v>0.94868329805051377</v>
      </c>
      <c r="N41" s="22">
        <v>0.94868329805051377</v>
      </c>
      <c r="O41" s="22">
        <f t="shared" si="2"/>
        <v>0.89999999999999991</v>
      </c>
      <c r="P41" s="3" t="s">
        <v>814</v>
      </c>
    </row>
    <row r="42" spans="1:16" ht="15" customHeight="1">
      <c r="A42" s="3" t="s">
        <v>666</v>
      </c>
      <c r="B42" s="3" t="s">
        <v>813</v>
      </c>
      <c r="C42" s="17">
        <f>F42*'02_SCENARIOS'!$I$8</f>
        <v>2.2652399338113627</v>
      </c>
      <c r="D42" s="17">
        <f>G42*'02_SCENARIOS'!$I$8</f>
        <v>2.2652399338113627</v>
      </c>
      <c r="E42" s="17">
        <f>H42*'02_SCENARIOS'!$I$8</f>
        <v>12.332972972972973</v>
      </c>
      <c r="F42" s="17">
        <v>2.8315499172642031</v>
      </c>
      <c r="G42" s="17">
        <v>2.8315499172642031</v>
      </c>
      <c r="H42" s="17">
        <v>15.416216216216215</v>
      </c>
      <c r="I42" s="17">
        <f>F42*'02_SCENARIOS'!$I$10</f>
        <v>3.1147049089906238</v>
      </c>
      <c r="J42" s="17">
        <f>G42*'02_SCENARIOS'!$I$10</f>
        <v>3.1147049089906238</v>
      </c>
      <c r="K42" s="17">
        <f>H42*'02_SCENARIOS'!$I$10</f>
        <v>16.95783783783784</v>
      </c>
      <c r="L42" s="17">
        <v>5.4444444444444438</v>
      </c>
      <c r="M42" s="22">
        <v>0.94868329805051377</v>
      </c>
      <c r="N42" s="22">
        <v>0.94868329805051377</v>
      </c>
      <c r="O42" s="22">
        <f t="shared" si="2"/>
        <v>0.89999999999999991</v>
      </c>
      <c r="P42" s="3" t="s">
        <v>814</v>
      </c>
    </row>
    <row r="43" spans="1:16" ht="15" customHeight="1">
      <c r="A43" s="3" t="s">
        <v>670</v>
      </c>
      <c r="B43" s="3" t="s">
        <v>813</v>
      </c>
      <c r="C43" s="17">
        <f>F43*'02_SCENARIOS'!$I$8</f>
        <v>7.8024931053502486</v>
      </c>
      <c r="D43" s="17">
        <f>G43*'02_SCENARIOS'!$I$8</f>
        <v>7.8024931053502486</v>
      </c>
      <c r="E43" s="17">
        <f>H43*'02_SCENARIOS'!$I$8</f>
        <v>42.480240240240249</v>
      </c>
      <c r="F43" s="17">
        <v>9.7531163816878106</v>
      </c>
      <c r="G43" s="17">
        <v>9.7531163816878106</v>
      </c>
      <c r="H43" s="17">
        <v>53.100300300300312</v>
      </c>
      <c r="I43" s="17">
        <f>F43*'02_SCENARIOS'!$I$10</f>
        <v>10.728428019856592</v>
      </c>
      <c r="J43" s="17">
        <f>G43*'02_SCENARIOS'!$I$10</f>
        <v>10.728428019856592</v>
      </c>
      <c r="K43" s="17">
        <f>H43*'02_SCENARIOS'!$I$10</f>
        <v>58.410330330330346</v>
      </c>
      <c r="L43" s="17">
        <v>5.4444444444444455</v>
      </c>
      <c r="M43" s="22">
        <v>0.94868329805051377</v>
      </c>
      <c r="N43" s="22">
        <v>0.94868329805051377</v>
      </c>
      <c r="O43" s="22">
        <f t="shared" si="2"/>
        <v>0.89999999999999991</v>
      </c>
      <c r="P43" s="3" t="s">
        <v>814</v>
      </c>
    </row>
    <row r="44" spans="1:16" ht="15" customHeight="1">
      <c r="A44" s="3" t="s">
        <v>674</v>
      </c>
      <c r="B44" s="3" t="s">
        <v>813</v>
      </c>
      <c r="C44" s="17">
        <f>F44*'02_SCENARIOS'!$I$8</f>
        <v>5.0548409634123921</v>
      </c>
      <c r="D44" s="17">
        <f>G44*'02_SCENARIOS'!$I$8</f>
        <v>5.0548409634123921</v>
      </c>
      <c r="E44" s="17">
        <f>H44*'02_SCENARIOS'!$I$8</f>
        <v>27.520800800800799</v>
      </c>
      <c r="F44" s="17">
        <v>6.3185512042654901</v>
      </c>
      <c r="G44" s="17">
        <v>6.3185512042654901</v>
      </c>
      <c r="H44" s="17">
        <v>34.401001001000999</v>
      </c>
      <c r="I44" s="17">
        <f>F44*'02_SCENARIOS'!$I$10</f>
        <v>6.9504063246920396</v>
      </c>
      <c r="J44" s="17">
        <f>G44*'02_SCENARIOS'!$I$10</f>
        <v>6.9504063246920396</v>
      </c>
      <c r="K44" s="17">
        <f>H44*'02_SCENARIOS'!$I$10</f>
        <v>37.841101101101103</v>
      </c>
      <c r="L44" s="17">
        <v>5.4444444444444438</v>
      </c>
      <c r="M44" s="22">
        <v>0.94868329805051377</v>
      </c>
      <c r="N44" s="22">
        <v>0.94868329805051377</v>
      </c>
      <c r="O44" s="22">
        <f t="shared" si="2"/>
        <v>0.89999999999999991</v>
      </c>
      <c r="P44" s="3" t="s">
        <v>814</v>
      </c>
    </row>
    <row r="45" spans="1:16" ht="15" customHeight="1">
      <c r="A45" s="19" t="s">
        <v>742</v>
      </c>
      <c r="B45" s="19" t="s">
        <v>815</v>
      </c>
      <c r="C45" s="20">
        <f t="shared" ref="C45:K45" si="3">SUM(C38:C44)</f>
        <v>34.922448979591834</v>
      </c>
      <c r="D45" s="20">
        <f t="shared" si="3"/>
        <v>34.922448979591834</v>
      </c>
      <c r="E45" s="20">
        <f t="shared" si="3"/>
        <v>190.13333333333333</v>
      </c>
      <c r="F45" s="20">
        <f t="shared" si="3"/>
        <v>43.653061224489797</v>
      </c>
      <c r="G45" s="20">
        <f t="shared" si="3"/>
        <v>43.653061224489797</v>
      </c>
      <c r="H45" s="20">
        <f t="shared" si="3"/>
        <v>237.66666666666666</v>
      </c>
      <c r="I45" s="20">
        <f t="shared" si="3"/>
        <v>48.018367346938781</v>
      </c>
      <c r="J45" s="20">
        <f t="shared" si="3"/>
        <v>48.018367346938781</v>
      </c>
      <c r="K45" s="20">
        <f t="shared" si="3"/>
        <v>261.43333333333334</v>
      </c>
      <c r="L45" s="20"/>
      <c r="M45" s="23">
        <v>0.94868329805051377</v>
      </c>
      <c r="N45" s="23">
        <v>0.94868329805051377</v>
      </c>
      <c r="O45" s="23">
        <f t="shared" si="2"/>
        <v>0.89999999999999991</v>
      </c>
      <c r="P45" s="19" t="s">
        <v>745</v>
      </c>
    </row>
    <row r="46" spans="1:16" ht="15" customHeight="1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24"/>
      <c r="N46" s="24"/>
      <c r="O46" s="24"/>
    </row>
    <row r="47" spans="1:16" ht="15" customHeight="1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24"/>
      <c r="N47" s="24"/>
      <c r="O47" s="24"/>
    </row>
    <row r="48" spans="1:16" ht="15" customHeight="1">
      <c r="A48" s="9" t="s">
        <v>742</v>
      </c>
      <c r="B48" s="9" t="s">
        <v>816</v>
      </c>
      <c r="C48" s="26">
        <f>F48*'02_SCENARIOS'!$I$5</f>
        <v>4.2</v>
      </c>
      <c r="D48" s="26">
        <f>G48*'02_SCENARIOS'!$I$5</f>
        <v>4.2</v>
      </c>
      <c r="E48" s="26">
        <f>H48*'02_SCENARIOS'!$I$5</f>
        <v>33.6</v>
      </c>
      <c r="F48" s="26">
        <v>5.25</v>
      </c>
      <c r="G48" s="26">
        <v>5.25</v>
      </c>
      <c r="H48" s="26">
        <v>42</v>
      </c>
      <c r="I48" s="26">
        <f>F48*'02_SCENARIOS'!$I$7</f>
        <v>5.7750000000000004</v>
      </c>
      <c r="J48" s="26">
        <f>G48*'02_SCENARIOS'!$I$7</f>
        <v>5.7750000000000004</v>
      </c>
      <c r="K48" s="26">
        <f>H48*'02_SCENARIOS'!$I$7</f>
        <v>46.2</v>
      </c>
      <c r="L48" s="26">
        <v>8</v>
      </c>
      <c r="M48" s="27">
        <v>0.94868329805051377</v>
      </c>
      <c r="N48" s="27">
        <v>0.94868329805051377</v>
      </c>
      <c r="O48" s="27">
        <f>M48*N48</f>
        <v>0.89999999999999991</v>
      </c>
      <c r="P48" s="9" t="s">
        <v>817</v>
      </c>
    </row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8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  <row r="63" s="1" customFormat="1" ht="15" customHeight="1"/>
    <row r="64" s="1" customFormat="1" ht="15" customHeight="1"/>
    <row r="65" s="1" customFormat="1" ht="15" customHeight="1"/>
  </sheetData>
  <mergeCells count="4">
    <mergeCell ref="A1:P1"/>
    <mergeCell ref="A2:P2"/>
    <mergeCell ref="A3:P3"/>
    <mergeCell ref="A36:P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8"/>
  <sheetViews>
    <sheetView showGridLines="0" workbookViewId="0">
      <selection activeCell="C14" sqref="C14"/>
    </sheetView>
  </sheetViews>
  <sheetFormatPr defaultRowHeight="14.4"/>
  <cols>
    <col min="1" max="1" width="14" style="1" customWidth="1"/>
    <col min="2" max="2" width="12" style="1" customWidth="1"/>
    <col min="3" max="3" width="11" style="1" customWidth="1"/>
    <col min="4" max="4" width="15" style="1" customWidth="1"/>
    <col min="5" max="6" width="14" style="1" customWidth="1"/>
    <col min="7" max="7" width="13" style="1" customWidth="1"/>
    <col min="8" max="9" width="14" style="1" customWidth="1"/>
    <col min="10" max="10" width="13" style="1" customWidth="1"/>
    <col min="11" max="12" width="14" style="1" customWidth="1"/>
    <col min="13" max="13" width="13" style="1" customWidth="1"/>
    <col min="14" max="14" width="45" style="1" customWidth="1"/>
    <col min="15" max="16384" width="8.796875" style="1"/>
  </cols>
  <sheetData>
    <row r="1" spans="1:14" ht="19.2" customHeight="1">
      <c r="A1" s="54" t="s">
        <v>818</v>
      </c>
      <c r="B1" s="54" t="s">
        <v>818</v>
      </c>
      <c r="C1" s="54" t="s">
        <v>818</v>
      </c>
      <c r="D1" s="54" t="s">
        <v>818</v>
      </c>
      <c r="E1" s="54" t="s">
        <v>818</v>
      </c>
      <c r="F1" s="54" t="s">
        <v>818</v>
      </c>
      <c r="G1" s="54" t="s">
        <v>818</v>
      </c>
      <c r="H1" s="54" t="s">
        <v>818</v>
      </c>
      <c r="I1" s="54" t="s">
        <v>818</v>
      </c>
      <c r="J1" s="54" t="s">
        <v>818</v>
      </c>
      <c r="K1" s="54" t="s">
        <v>818</v>
      </c>
      <c r="L1" s="54" t="s">
        <v>818</v>
      </c>
      <c r="M1" s="54" t="s">
        <v>818</v>
      </c>
      <c r="N1" s="54" t="s">
        <v>818</v>
      </c>
    </row>
    <row r="2" spans="1:14" ht="15" customHeight="1">
      <c r="A2" s="55" t="s">
        <v>819</v>
      </c>
      <c r="B2" s="55" t="s">
        <v>819</v>
      </c>
      <c r="C2" s="55" t="s">
        <v>819</v>
      </c>
      <c r="D2" s="55" t="s">
        <v>819</v>
      </c>
      <c r="E2" s="55" t="s">
        <v>819</v>
      </c>
      <c r="F2" s="55" t="s">
        <v>819</v>
      </c>
      <c r="G2" s="55" t="s">
        <v>819</v>
      </c>
      <c r="H2" s="55" t="s">
        <v>819</v>
      </c>
      <c r="I2" s="55" t="s">
        <v>819</v>
      </c>
      <c r="J2" s="55" t="s">
        <v>819</v>
      </c>
      <c r="K2" s="55" t="s">
        <v>819</v>
      </c>
      <c r="L2" s="55" t="s">
        <v>819</v>
      </c>
      <c r="M2" s="55" t="s">
        <v>819</v>
      </c>
      <c r="N2" s="55" t="s">
        <v>819</v>
      </c>
    </row>
    <row r="3" spans="1:14" ht="15" customHeight="1">
      <c r="A3" s="59" t="s">
        <v>820</v>
      </c>
      <c r="B3" s="59" t="s">
        <v>820</v>
      </c>
      <c r="C3" s="59" t="s">
        <v>820</v>
      </c>
      <c r="D3" s="59" t="s">
        <v>820</v>
      </c>
      <c r="E3" s="59" t="s">
        <v>820</v>
      </c>
      <c r="F3" s="59" t="s">
        <v>820</v>
      </c>
      <c r="G3" s="59" t="s">
        <v>820</v>
      </c>
      <c r="H3" s="59" t="s">
        <v>820</v>
      </c>
      <c r="I3" s="59" t="s">
        <v>820</v>
      </c>
      <c r="J3" s="59" t="s">
        <v>820</v>
      </c>
      <c r="K3" s="59" t="s">
        <v>820</v>
      </c>
      <c r="L3" s="59" t="s">
        <v>820</v>
      </c>
      <c r="M3" s="59" t="s">
        <v>820</v>
      </c>
      <c r="N3" s="59" t="s">
        <v>820</v>
      </c>
    </row>
    <row r="4" spans="1:14" ht="15" customHeight="1">
      <c r="A4" s="2" t="s">
        <v>821</v>
      </c>
      <c r="B4" s="2" t="s">
        <v>822</v>
      </c>
      <c r="C4" s="2" t="s">
        <v>823</v>
      </c>
      <c r="D4" s="2" t="s">
        <v>824</v>
      </c>
      <c r="E4" s="2" t="s">
        <v>825</v>
      </c>
      <c r="F4" s="2" t="s">
        <v>826</v>
      </c>
      <c r="G4" s="2" t="s">
        <v>827</v>
      </c>
      <c r="H4" s="2" t="s">
        <v>828</v>
      </c>
      <c r="I4" s="2" t="s">
        <v>829</v>
      </c>
      <c r="J4" s="2" t="s">
        <v>830</v>
      </c>
      <c r="K4" s="2" t="s">
        <v>831</v>
      </c>
      <c r="L4" s="2" t="s">
        <v>832</v>
      </c>
      <c r="M4" s="2" t="s">
        <v>833</v>
      </c>
      <c r="N4" s="2" t="s">
        <v>834</v>
      </c>
    </row>
    <row r="5" spans="1:14" ht="15" customHeight="1">
      <c r="A5" s="3" t="s">
        <v>666</v>
      </c>
      <c r="B5" s="3" t="s">
        <v>666</v>
      </c>
      <c r="C5" s="28">
        <v>11.1</v>
      </c>
      <c r="D5" s="29">
        <v>3.490566037735849E-2</v>
      </c>
      <c r="E5" s="30">
        <f t="shared" ref="E5:E11" si="0">F5+G5</f>
        <v>15.323584905660377</v>
      </c>
      <c r="F5" s="30">
        <f>'02_SCENARIOS'!$E$5*$D5</f>
        <v>14.363679245283018</v>
      </c>
      <c r="G5" s="30">
        <f>'02_SCENARIOS'!$F$5*$D5</f>
        <v>0.95990566037735847</v>
      </c>
      <c r="H5" s="30">
        <f t="shared" ref="H5:H11" si="1">I5+J5</f>
        <v>15.323584905660377</v>
      </c>
      <c r="I5" s="30">
        <f>'02_SCENARIOS'!$E$6*$D5</f>
        <v>14.363679245283018</v>
      </c>
      <c r="J5" s="30">
        <f>'02_SCENARIOS'!$F$6*$D5</f>
        <v>0.95990566037735847</v>
      </c>
      <c r="K5" s="30">
        <f t="shared" ref="K5:K11" si="2">L5+M5</f>
        <v>16.855943396226415</v>
      </c>
      <c r="L5" s="30">
        <f>'02_SCENARIOS'!$E$7*$D5</f>
        <v>15.800047169811322</v>
      </c>
      <c r="M5" s="30">
        <f>'02_SCENARIOS'!$F$7*$D5</f>
        <v>1.0558962264150944</v>
      </c>
      <c r="N5" s="3" t="s">
        <v>835</v>
      </c>
    </row>
    <row r="6" spans="1:14" ht="15" customHeight="1">
      <c r="A6" s="3" t="s">
        <v>836</v>
      </c>
      <c r="B6" s="3" t="s">
        <v>639</v>
      </c>
      <c r="C6" s="28">
        <v>30.2</v>
      </c>
      <c r="D6" s="29">
        <v>9.496855345911949E-2</v>
      </c>
      <c r="E6" s="30">
        <f t="shared" si="0"/>
        <v>41.691194968553454</v>
      </c>
      <c r="F6" s="30">
        <f>'02_SCENARIOS'!$E$5*$D6</f>
        <v>39.07955974842767</v>
      </c>
      <c r="G6" s="30">
        <f>'02_SCENARIOS'!$F$5*$D6</f>
        <v>2.6116352201257858</v>
      </c>
      <c r="H6" s="30">
        <f t="shared" si="1"/>
        <v>41.691194968553454</v>
      </c>
      <c r="I6" s="30">
        <f>'02_SCENARIOS'!$E$6*$D6</f>
        <v>39.07955974842767</v>
      </c>
      <c r="J6" s="30">
        <f>'02_SCENARIOS'!$F$6*$D6</f>
        <v>2.6116352201257858</v>
      </c>
      <c r="K6" s="30">
        <f t="shared" si="2"/>
        <v>45.860314465408806</v>
      </c>
      <c r="L6" s="30">
        <f>'02_SCENARIOS'!$E$7*$D6</f>
        <v>42.987515723270441</v>
      </c>
      <c r="M6" s="30">
        <f>'02_SCENARIOS'!$F$7*$D6</f>
        <v>2.8727987421383649</v>
      </c>
      <c r="N6" s="3" t="s">
        <v>835</v>
      </c>
    </row>
    <row r="7" spans="1:14" ht="15" customHeight="1">
      <c r="A7" s="3" t="s">
        <v>646</v>
      </c>
      <c r="B7" s="3" t="s">
        <v>646</v>
      </c>
      <c r="C7" s="28">
        <v>42.9</v>
      </c>
      <c r="D7" s="29">
        <v>0.13490566037735849</v>
      </c>
      <c r="E7" s="30">
        <f t="shared" si="0"/>
        <v>59.223584905660374</v>
      </c>
      <c r="F7" s="30">
        <f>'02_SCENARIOS'!$E$5*$D7</f>
        <v>55.513679245283015</v>
      </c>
      <c r="G7" s="30">
        <f>'02_SCENARIOS'!$F$5*$D7</f>
        <v>3.7099056603773586</v>
      </c>
      <c r="H7" s="30">
        <f t="shared" si="1"/>
        <v>59.223584905660374</v>
      </c>
      <c r="I7" s="30">
        <f>'02_SCENARIOS'!$E$6*$D7</f>
        <v>55.513679245283015</v>
      </c>
      <c r="J7" s="30">
        <f>'02_SCENARIOS'!$F$6*$D7</f>
        <v>3.7099056603773586</v>
      </c>
      <c r="K7" s="30">
        <f t="shared" si="2"/>
        <v>65.145943396226414</v>
      </c>
      <c r="L7" s="30">
        <f>'02_SCENARIOS'!$E$7*$D7</f>
        <v>61.065047169811322</v>
      </c>
      <c r="M7" s="30">
        <f>'02_SCENARIOS'!$F$7*$D7</f>
        <v>4.0808962264150948</v>
      </c>
      <c r="N7" s="3" t="s">
        <v>835</v>
      </c>
    </row>
    <row r="8" spans="1:14" ht="15" customHeight="1">
      <c r="A8" s="3" t="s">
        <v>614</v>
      </c>
      <c r="B8" s="3" t="s">
        <v>614</v>
      </c>
      <c r="C8" s="28">
        <v>173.3</v>
      </c>
      <c r="D8" s="29">
        <v>0.54496855345911954</v>
      </c>
      <c r="E8" s="30">
        <f t="shared" si="0"/>
        <v>239.24119496855346</v>
      </c>
      <c r="F8" s="30">
        <f>'02_SCENARIOS'!$E$5*$D8</f>
        <v>224.25455974842768</v>
      </c>
      <c r="G8" s="30">
        <f>'02_SCENARIOS'!$F$5*$D8</f>
        <v>14.986635220125788</v>
      </c>
      <c r="H8" s="30">
        <f t="shared" si="1"/>
        <v>239.24119496855346</v>
      </c>
      <c r="I8" s="30">
        <f>'02_SCENARIOS'!$E$6*$D8</f>
        <v>224.25455974842768</v>
      </c>
      <c r="J8" s="30">
        <f>'02_SCENARIOS'!$F$6*$D8</f>
        <v>14.986635220125788</v>
      </c>
      <c r="K8" s="30">
        <f t="shared" si="2"/>
        <v>263.16531446540887</v>
      </c>
      <c r="L8" s="30">
        <f>'02_SCENARIOS'!$E$7*$D8</f>
        <v>246.68001572327049</v>
      </c>
      <c r="M8" s="30">
        <f>'02_SCENARIOS'!$F$7*$D8</f>
        <v>16.485298742138369</v>
      </c>
      <c r="N8" s="3" t="s">
        <v>835</v>
      </c>
    </row>
    <row r="9" spans="1:14" ht="15" customHeight="1">
      <c r="A9" s="3" t="s">
        <v>674</v>
      </c>
      <c r="B9" s="3" t="s">
        <v>674</v>
      </c>
      <c r="C9" s="28">
        <v>8</v>
      </c>
      <c r="D9" s="29">
        <v>2.5157232704402517E-2</v>
      </c>
      <c r="E9" s="30">
        <f t="shared" si="0"/>
        <v>11.044025157232705</v>
      </c>
      <c r="F9" s="30">
        <f>'02_SCENARIOS'!$E$5*$D9</f>
        <v>10.352201257861635</v>
      </c>
      <c r="G9" s="30">
        <f>'02_SCENARIOS'!$F$5*$D9</f>
        <v>0.69182389937106925</v>
      </c>
      <c r="H9" s="30">
        <f t="shared" si="1"/>
        <v>11.044025157232705</v>
      </c>
      <c r="I9" s="30">
        <f>'02_SCENARIOS'!$E$6*$D9</f>
        <v>10.352201257861635</v>
      </c>
      <c r="J9" s="30">
        <f>'02_SCENARIOS'!$F$6*$D9</f>
        <v>0.69182389937106925</v>
      </c>
      <c r="K9" s="30">
        <f t="shared" si="2"/>
        <v>12.148427672955975</v>
      </c>
      <c r="L9" s="30">
        <f>'02_SCENARIOS'!$E$7*$D9</f>
        <v>11.3874213836478</v>
      </c>
      <c r="M9" s="30">
        <f>'02_SCENARIOS'!$F$7*$D9</f>
        <v>0.76100628930817626</v>
      </c>
      <c r="N9" s="3" t="s">
        <v>835</v>
      </c>
    </row>
    <row r="10" spans="1:14" ht="15" customHeight="1">
      <c r="A10" s="3" t="s">
        <v>670</v>
      </c>
      <c r="B10" s="3" t="s">
        <v>670</v>
      </c>
      <c r="C10" s="28">
        <v>22.3</v>
      </c>
      <c r="D10" s="29">
        <v>7.0125786163522011E-2</v>
      </c>
      <c r="E10" s="30">
        <f t="shared" si="0"/>
        <v>30.785220125786161</v>
      </c>
      <c r="F10" s="30">
        <f>'02_SCENARIOS'!$E$5*$D10</f>
        <v>28.856761006289307</v>
      </c>
      <c r="G10" s="30">
        <f>'02_SCENARIOS'!$F$5*$D10</f>
        <v>1.9284591194968552</v>
      </c>
      <c r="H10" s="30">
        <f t="shared" si="1"/>
        <v>30.785220125786161</v>
      </c>
      <c r="I10" s="30">
        <f>'02_SCENARIOS'!$E$6*$D10</f>
        <v>28.856761006289307</v>
      </c>
      <c r="J10" s="30">
        <f>'02_SCENARIOS'!$F$6*$D10</f>
        <v>1.9284591194968552</v>
      </c>
      <c r="K10" s="30">
        <f t="shared" si="2"/>
        <v>33.863742138364785</v>
      </c>
      <c r="L10" s="30">
        <f>'02_SCENARIOS'!$E$7*$D10</f>
        <v>31.742437106918242</v>
      </c>
      <c r="M10" s="30">
        <f>'02_SCENARIOS'!$F$7*$D10</f>
        <v>2.1213050314465409</v>
      </c>
      <c r="N10" s="3" t="s">
        <v>835</v>
      </c>
    </row>
    <row r="11" spans="1:14" ht="15" customHeight="1">
      <c r="A11" s="3" t="s">
        <v>657</v>
      </c>
      <c r="B11" s="3" t="s">
        <v>657</v>
      </c>
      <c r="C11" s="28">
        <v>30.2</v>
      </c>
      <c r="D11" s="29">
        <v>9.496855345911949E-2</v>
      </c>
      <c r="E11" s="30">
        <f t="shared" si="0"/>
        <v>41.691194968553454</v>
      </c>
      <c r="F11" s="30">
        <f>'02_SCENARIOS'!$E$5*$D11</f>
        <v>39.07955974842767</v>
      </c>
      <c r="G11" s="30">
        <f>'02_SCENARIOS'!$F$5*$D11</f>
        <v>2.6116352201257858</v>
      </c>
      <c r="H11" s="30">
        <f t="shared" si="1"/>
        <v>41.691194968553454</v>
      </c>
      <c r="I11" s="30">
        <f>'02_SCENARIOS'!$E$6*$D11</f>
        <v>39.07955974842767</v>
      </c>
      <c r="J11" s="30">
        <f>'02_SCENARIOS'!$F$6*$D11</f>
        <v>2.6116352201257858</v>
      </c>
      <c r="K11" s="30">
        <f t="shared" si="2"/>
        <v>45.860314465408806</v>
      </c>
      <c r="L11" s="30">
        <f>'02_SCENARIOS'!$E$7*$D11</f>
        <v>42.987515723270441</v>
      </c>
      <c r="M11" s="30">
        <f>'02_SCENARIOS'!$F$7*$D11</f>
        <v>2.8727987421383649</v>
      </c>
      <c r="N11" s="3" t="s">
        <v>835</v>
      </c>
    </row>
    <row r="12" spans="1:14" ht="15" customHeight="1">
      <c r="A12" s="19" t="s">
        <v>837</v>
      </c>
      <c r="B12" s="19" t="s">
        <v>838</v>
      </c>
      <c r="C12" s="31">
        <f t="shared" ref="C12:M12" si="3">SUM(C5:C11)</f>
        <v>318</v>
      </c>
      <c r="D12" s="32">
        <f t="shared" si="3"/>
        <v>1.0000000000000002</v>
      </c>
      <c r="E12" s="33">
        <f t="shared" si="3"/>
        <v>439</v>
      </c>
      <c r="F12" s="33">
        <f t="shared" si="3"/>
        <v>411.5</v>
      </c>
      <c r="G12" s="33">
        <f t="shared" si="3"/>
        <v>27.5</v>
      </c>
      <c r="H12" s="33">
        <f t="shared" si="3"/>
        <v>439</v>
      </c>
      <c r="I12" s="33">
        <f t="shared" si="3"/>
        <v>411.5</v>
      </c>
      <c r="J12" s="33">
        <f t="shared" si="3"/>
        <v>27.5</v>
      </c>
      <c r="K12" s="33">
        <f t="shared" si="3"/>
        <v>482.90000000000009</v>
      </c>
      <c r="L12" s="33">
        <f t="shared" si="3"/>
        <v>452.65000000000009</v>
      </c>
      <c r="M12" s="33">
        <f t="shared" si="3"/>
        <v>30.250000000000007</v>
      </c>
      <c r="N12" s="19" t="s">
        <v>745</v>
      </c>
    </row>
    <row r="13" spans="1:14" ht="15" customHeight="1">
      <c r="C13" s="34"/>
      <c r="D13" s="35"/>
      <c r="E13" s="36"/>
      <c r="F13" s="36"/>
      <c r="G13" s="36"/>
      <c r="H13" s="36"/>
      <c r="I13" s="36"/>
      <c r="J13" s="36"/>
      <c r="K13" s="36"/>
      <c r="L13" s="36"/>
      <c r="M13" s="36"/>
    </row>
    <row r="14" spans="1:14" ht="15" customHeight="1">
      <c r="C14" s="34"/>
      <c r="D14" s="35"/>
      <c r="E14" s="36"/>
      <c r="F14" s="36"/>
      <c r="G14" s="36"/>
      <c r="H14" s="36"/>
      <c r="I14" s="36"/>
      <c r="J14" s="36"/>
      <c r="K14" s="36"/>
      <c r="L14" s="36"/>
      <c r="M14" s="36"/>
    </row>
    <row r="15" spans="1:14" ht="15" customHeight="1">
      <c r="C15" s="34"/>
      <c r="D15" s="35"/>
      <c r="E15" s="36"/>
      <c r="F15" s="36"/>
      <c r="G15" s="36"/>
      <c r="H15" s="36"/>
      <c r="I15" s="36"/>
      <c r="J15" s="36"/>
      <c r="K15" s="36"/>
      <c r="L15" s="36"/>
      <c r="M15" s="36"/>
    </row>
    <row r="16" spans="1:14" ht="15" customHeight="1">
      <c r="A16" s="59" t="s">
        <v>405</v>
      </c>
      <c r="B16" s="59" t="s">
        <v>405</v>
      </c>
      <c r="C16" s="62" t="s">
        <v>405</v>
      </c>
      <c r="D16" s="63" t="s">
        <v>405</v>
      </c>
      <c r="E16" s="64" t="s">
        <v>405</v>
      </c>
      <c r="F16" s="64" t="s">
        <v>405</v>
      </c>
      <c r="G16" s="64" t="s">
        <v>405</v>
      </c>
      <c r="H16" s="64" t="s">
        <v>405</v>
      </c>
      <c r="I16" s="64" t="s">
        <v>405</v>
      </c>
      <c r="J16" s="64" t="s">
        <v>405</v>
      </c>
      <c r="K16" s="64" t="s">
        <v>405</v>
      </c>
      <c r="L16" s="64" t="s">
        <v>405</v>
      </c>
      <c r="M16" s="64" t="s">
        <v>405</v>
      </c>
      <c r="N16" s="59" t="s">
        <v>405</v>
      </c>
    </row>
    <row r="17" spans="1:14" ht="15" customHeight="1">
      <c r="A17" s="2" t="s">
        <v>821</v>
      </c>
      <c r="B17" s="2" t="s">
        <v>822</v>
      </c>
      <c r="C17" s="37" t="s">
        <v>823</v>
      </c>
      <c r="D17" s="38" t="s">
        <v>824</v>
      </c>
      <c r="E17" s="39" t="s">
        <v>825</v>
      </c>
      <c r="F17" s="39" t="s">
        <v>826</v>
      </c>
      <c r="G17" s="39" t="s">
        <v>827</v>
      </c>
      <c r="H17" s="39" t="s">
        <v>828</v>
      </c>
      <c r="I17" s="39" t="s">
        <v>829</v>
      </c>
      <c r="J17" s="39" t="s">
        <v>830</v>
      </c>
      <c r="K17" s="39" t="s">
        <v>831</v>
      </c>
      <c r="L17" s="39" t="s">
        <v>832</v>
      </c>
      <c r="M17" s="39" t="s">
        <v>833</v>
      </c>
      <c r="N17" s="2" t="s">
        <v>834</v>
      </c>
    </row>
    <row r="18" spans="1:14" ht="15" customHeight="1">
      <c r="A18" s="3" t="s">
        <v>666</v>
      </c>
      <c r="B18" s="3" t="s">
        <v>666</v>
      </c>
      <c r="C18" s="28">
        <v>11.1</v>
      </c>
      <c r="D18" s="29">
        <v>3.490566037735849E-2</v>
      </c>
      <c r="E18" s="30">
        <f t="shared" ref="E18:E24" si="4">F18+G18</f>
        <v>20.353490566037735</v>
      </c>
      <c r="F18" s="30">
        <f>'02_SCENARIOS'!$E$8*$D18</f>
        <v>17.50867924528302</v>
      </c>
      <c r="G18" s="30">
        <f>'02_SCENARIOS'!$F$8*$D18</f>
        <v>2.844811320754717</v>
      </c>
      <c r="H18" s="30">
        <f t="shared" ref="H18:H24" si="5">I18+J18</f>
        <v>20.353490566037735</v>
      </c>
      <c r="I18" s="30">
        <f>'02_SCENARIOS'!$E$9*$D18</f>
        <v>17.50867924528302</v>
      </c>
      <c r="J18" s="30">
        <f>'02_SCENARIOS'!$F$9*$D18</f>
        <v>2.844811320754717</v>
      </c>
      <c r="K18" s="30">
        <f t="shared" ref="K18:K24" si="6">L18+M18</f>
        <v>22.388839622641513</v>
      </c>
      <c r="L18" s="30">
        <f>'02_SCENARIOS'!$E$10*$D18</f>
        <v>19.259547169811324</v>
      </c>
      <c r="M18" s="30">
        <f>'02_SCENARIOS'!$F$10*$D18</f>
        <v>3.1292924528301889</v>
      </c>
      <c r="N18" s="3" t="s">
        <v>835</v>
      </c>
    </row>
    <row r="19" spans="1:14" ht="15" customHeight="1">
      <c r="A19" s="3" t="s">
        <v>836</v>
      </c>
      <c r="B19" s="3" t="s">
        <v>639</v>
      </c>
      <c r="C19" s="28">
        <v>30.2</v>
      </c>
      <c r="D19" s="29">
        <v>9.496855345911949E-2</v>
      </c>
      <c r="E19" s="30">
        <f t="shared" si="4"/>
        <v>55.376163522012575</v>
      </c>
      <c r="F19" s="30">
        <f>'02_SCENARIOS'!$E$8*$D19</f>
        <v>47.636226415094335</v>
      </c>
      <c r="G19" s="30">
        <f>'02_SCENARIOS'!$F$8*$D19</f>
        <v>7.7399371069182381</v>
      </c>
      <c r="H19" s="30">
        <f t="shared" si="5"/>
        <v>55.376163522012575</v>
      </c>
      <c r="I19" s="30">
        <f>'02_SCENARIOS'!$E$9*$D19</f>
        <v>47.636226415094335</v>
      </c>
      <c r="J19" s="30">
        <f>'02_SCENARIOS'!$F$9*$D19</f>
        <v>7.7399371069182381</v>
      </c>
      <c r="K19" s="30">
        <f t="shared" si="6"/>
        <v>60.913779874213844</v>
      </c>
      <c r="L19" s="30">
        <f>'02_SCENARIOS'!$E$10*$D19</f>
        <v>52.399849056603777</v>
      </c>
      <c r="M19" s="30">
        <f>'02_SCENARIOS'!$F$10*$D19</f>
        <v>8.5139308176100634</v>
      </c>
      <c r="N19" s="3" t="s">
        <v>835</v>
      </c>
    </row>
    <row r="20" spans="1:14" ht="15" customHeight="1">
      <c r="A20" s="3" t="s">
        <v>646</v>
      </c>
      <c r="B20" s="3" t="s">
        <v>646</v>
      </c>
      <c r="C20" s="28">
        <v>42.9</v>
      </c>
      <c r="D20" s="29">
        <v>0.13490566037735849</v>
      </c>
      <c r="E20" s="30">
        <f t="shared" si="4"/>
        <v>78.663490566037737</v>
      </c>
      <c r="F20" s="30">
        <f>'02_SCENARIOS'!$E$8*$D20</f>
        <v>67.668679245283016</v>
      </c>
      <c r="G20" s="30">
        <f>'02_SCENARIOS'!$F$8*$D20</f>
        <v>10.994811320754717</v>
      </c>
      <c r="H20" s="30">
        <f t="shared" si="5"/>
        <v>78.663490566037737</v>
      </c>
      <c r="I20" s="30">
        <f>'02_SCENARIOS'!$E$9*$D20</f>
        <v>67.668679245283016</v>
      </c>
      <c r="J20" s="30">
        <f>'02_SCENARIOS'!$F$9*$D20</f>
        <v>10.994811320754717</v>
      </c>
      <c r="K20" s="30">
        <f t="shared" si="6"/>
        <v>86.529839622641518</v>
      </c>
      <c r="L20" s="30">
        <f>'02_SCENARIOS'!$E$10*$D20</f>
        <v>74.435547169811329</v>
      </c>
      <c r="M20" s="30">
        <f>'02_SCENARIOS'!$F$10*$D20</f>
        <v>12.094292452830189</v>
      </c>
      <c r="N20" s="3" t="s">
        <v>835</v>
      </c>
    </row>
    <row r="21" spans="1:14" ht="15" customHeight="1">
      <c r="A21" s="3" t="s">
        <v>614</v>
      </c>
      <c r="B21" s="3" t="s">
        <v>614</v>
      </c>
      <c r="C21" s="28">
        <v>173.3</v>
      </c>
      <c r="D21" s="29">
        <v>0.54496855345911954</v>
      </c>
      <c r="E21" s="30">
        <f t="shared" si="4"/>
        <v>317.77116352201267</v>
      </c>
      <c r="F21" s="30">
        <f>'02_SCENARIOS'!$E$8*$D21</f>
        <v>273.3562264150944</v>
      </c>
      <c r="G21" s="30">
        <f>'02_SCENARIOS'!$F$8*$D21</f>
        <v>44.414937106918245</v>
      </c>
      <c r="H21" s="30">
        <f t="shared" si="5"/>
        <v>317.77116352201267</v>
      </c>
      <c r="I21" s="30">
        <f>'02_SCENARIOS'!$E$9*$D21</f>
        <v>273.3562264150944</v>
      </c>
      <c r="J21" s="30">
        <f>'02_SCENARIOS'!$F$9*$D21</f>
        <v>44.414937106918245</v>
      </c>
      <c r="K21" s="30">
        <f t="shared" si="6"/>
        <v>349.54827987421396</v>
      </c>
      <c r="L21" s="30">
        <f>'02_SCENARIOS'!$E$10*$D21</f>
        <v>300.69184905660387</v>
      </c>
      <c r="M21" s="30">
        <f>'02_SCENARIOS'!$F$10*$D21</f>
        <v>48.856430817610068</v>
      </c>
      <c r="N21" s="3" t="s">
        <v>835</v>
      </c>
    </row>
    <row r="22" spans="1:14" ht="15" customHeight="1">
      <c r="A22" s="3" t="s">
        <v>674</v>
      </c>
      <c r="B22" s="3" t="s">
        <v>674</v>
      </c>
      <c r="C22" s="28">
        <v>8</v>
      </c>
      <c r="D22" s="29">
        <v>2.5157232704402517E-2</v>
      </c>
      <c r="E22" s="30">
        <f t="shared" si="4"/>
        <v>14.669182389937108</v>
      </c>
      <c r="F22" s="30">
        <f>'02_SCENARIOS'!$E$8*$D22</f>
        <v>12.618867924528303</v>
      </c>
      <c r="G22" s="30">
        <f>'02_SCENARIOS'!$F$8*$D22</f>
        <v>2.050314465408805</v>
      </c>
      <c r="H22" s="30">
        <f t="shared" si="5"/>
        <v>14.669182389937108</v>
      </c>
      <c r="I22" s="30">
        <f>'02_SCENARIOS'!$E$9*$D22</f>
        <v>12.618867924528303</v>
      </c>
      <c r="J22" s="30">
        <f>'02_SCENARIOS'!$F$9*$D22</f>
        <v>2.050314465408805</v>
      </c>
      <c r="K22" s="30">
        <f t="shared" si="6"/>
        <v>16.136100628930819</v>
      </c>
      <c r="L22" s="30">
        <f>'02_SCENARIOS'!$E$10*$D22</f>
        <v>13.880754716981135</v>
      </c>
      <c r="M22" s="30">
        <f>'02_SCENARIOS'!$F$10*$D22</f>
        <v>2.2553459119496857</v>
      </c>
      <c r="N22" s="3" t="s">
        <v>835</v>
      </c>
    </row>
    <row r="23" spans="1:14" ht="15" customHeight="1">
      <c r="A23" s="3" t="s">
        <v>670</v>
      </c>
      <c r="B23" s="3" t="s">
        <v>670</v>
      </c>
      <c r="C23" s="28">
        <v>22.3</v>
      </c>
      <c r="D23" s="29">
        <v>7.0125786163522011E-2</v>
      </c>
      <c r="E23" s="30">
        <f t="shared" si="4"/>
        <v>40.89034591194968</v>
      </c>
      <c r="F23" s="30">
        <f>'02_SCENARIOS'!$E$8*$D23</f>
        <v>35.175094339622639</v>
      </c>
      <c r="G23" s="30">
        <f>'02_SCENARIOS'!$F$8*$D23</f>
        <v>5.7152515723270438</v>
      </c>
      <c r="H23" s="30">
        <f t="shared" si="5"/>
        <v>40.89034591194968</v>
      </c>
      <c r="I23" s="30">
        <f>'02_SCENARIOS'!$E$9*$D23</f>
        <v>35.175094339622639</v>
      </c>
      <c r="J23" s="30">
        <f>'02_SCENARIOS'!$F$9*$D23</f>
        <v>5.7152515723270438</v>
      </c>
      <c r="K23" s="30">
        <f t="shared" si="6"/>
        <v>44.979380503144661</v>
      </c>
      <c r="L23" s="30">
        <f>'02_SCENARIOS'!$E$10*$D23</f>
        <v>38.692603773584914</v>
      </c>
      <c r="M23" s="30">
        <f>'02_SCENARIOS'!$F$10*$D23</f>
        <v>6.2867767295597483</v>
      </c>
      <c r="N23" s="3" t="s">
        <v>835</v>
      </c>
    </row>
    <row r="24" spans="1:14" ht="15" customHeight="1">
      <c r="A24" s="3" t="s">
        <v>657</v>
      </c>
      <c r="B24" s="3" t="s">
        <v>657</v>
      </c>
      <c r="C24" s="28">
        <v>30.2</v>
      </c>
      <c r="D24" s="29">
        <v>9.496855345911949E-2</v>
      </c>
      <c r="E24" s="30">
        <f t="shared" si="4"/>
        <v>55.376163522012575</v>
      </c>
      <c r="F24" s="30">
        <f>'02_SCENARIOS'!$E$8*$D24</f>
        <v>47.636226415094335</v>
      </c>
      <c r="G24" s="30">
        <f>'02_SCENARIOS'!$F$8*$D24</f>
        <v>7.7399371069182381</v>
      </c>
      <c r="H24" s="30">
        <f t="shared" si="5"/>
        <v>55.376163522012575</v>
      </c>
      <c r="I24" s="30">
        <f>'02_SCENARIOS'!$E$9*$D24</f>
        <v>47.636226415094335</v>
      </c>
      <c r="J24" s="30">
        <f>'02_SCENARIOS'!$F$9*$D24</f>
        <v>7.7399371069182381</v>
      </c>
      <c r="K24" s="30">
        <f t="shared" si="6"/>
        <v>60.913779874213844</v>
      </c>
      <c r="L24" s="30">
        <f>'02_SCENARIOS'!$E$10*$D24</f>
        <v>52.399849056603777</v>
      </c>
      <c r="M24" s="30">
        <f>'02_SCENARIOS'!$F$10*$D24</f>
        <v>8.5139308176100634</v>
      </c>
      <c r="N24" s="3" t="s">
        <v>835</v>
      </c>
    </row>
    <row r="25" spans="1:14" ht="15" customHeight="1">
      <c r="A25" s="19" t="s">
        <v>837</v>
      </c>
      <c r="B25" s="19" t="s">
        <v>838</v>
      </c>
      <c r="C25" s="31">
        <f t="shared" ref="C25:M25" si="7">SUM(C18:C24)</f>
        <v>318</v>
      </c>
      <c r="D25" s="32">
        <f t="shared" si="7"/>
        <v>1.0000000000000002</v>
      </c>
      <c r="E25" s="33">
        <f t="shared" si="7"/>
        <v>583.10000000000014</v>
      </c>
      <c r="F25" s="33">
        <f t="shared" si="7"/>
        <v>501.60000000000008</v>
      </c>
      <c r="G25" s="33">
        <f t="shared" si="7"/>
        <v>81.5</v>
      </c>
      <c r="H25" s="33">
        <f t="shared" si="7"/>
        <v>583.10000000000014</v>
      </c>
      <c r="I25" s="33">
        <f t="shared" si="7"/>
        <v>501.60000000000008</v>
      </c>
      <c r="J25" s="33">
        <f t="shared" si="7"/>
        <v>81.5</v>
      </c>
      <c r="K25" s="33">
        <f t="shared" si="7"/>
        <v>641.41000000000008</v>
      </c>
      <c r="L25" s="33">
        <f t="shared" si="7"/>
        <v>551.7600000000001</v>
      </c>
      <c r="M25" s="33">
        <f t="shared" si="7"/>
        <v>89.65</v>
      </c>
      <c r="N25" s="19" t="s">
        <v>745</v>
      </c>
    </row>
    <row r="26" spans="1:14" ht="15" customHeight="1"/>
    <row r="28" spans="1:14" ht="24" customHeight="1">
      <c r="A28" s="55" t="s">
        <v>839</v>
      </c>
      <c r="B28" s="55" t="s">
        <v>839</v>
      </c>
      <c r="C28" s="55" t="s">
        <v>839</v>
      </c>
      <c r="D28" s="55" t="s">
        <v>839</v>
      </c>
      <c r="E28" s="55" t="s">
        <v>839</v>
      </c>
      <c r="F28" s="55" t="s">
        <v>839</v>
      </c>
      <c r="G28" s="55" t="s">
        <v>839</v>
      </c>
      <c r="H28" s="55" t="s">
        <v>839</v>
      </c>
      <c r="I28" s="55" t="s">
        <v>839</v>
      </c>
      <c r="J28" s="55" t="s">
        <v>839</v>
      </c>
      <c r="K28" s="55" t="s">
        <v>839</v>
      </c>
      <c r="L28" s="55" t="s">
        <v>839</v>
      </c>
      <c r="M28" s="55" t="s">
        <v>839</v>
      </c>
      <c r="N28" s="55" t="s">
        <v>839</v>
      </c>
    </row>
    <row r="29" spans="1:14" ht="37.950000000000003" customHeight="1">
      <c r="A29" s="55" t="s">
        <v>839</v>
      </c>
      <c r="B29" s="55" t="s">
        <v>839</v>
      </c>
      <c r="C29" s="55" t="s">
        <v>839</v>
      </c>
      <c r="D29" s="55" t="s">
        <v>839</v>
      </c>
      <c r="E29" s="55" t="s">
        <v>839</v>
      </c>
      <c r="F29" s="55" t="s">
        <v>839</v>
      </c>
      <c r="G29" s="55" t="s">
        <v>839</v>
      </c>
      <c r="H29" s="55" t="s">
        <v>839</v>
      </c>
      <c r="I29" s="55" t="s">
        <v>839</v>
      </c>
      <c r="J29" s="55" t="s">
        <v>839</v>
      </c>
      <c r="K29" s="55" t="s">
        <v>839</v>
      </c>
      <c r="L29" s="55" t="s">
        <v>839</v>
      </c>
      <c r="M29" s="55" t="s">
        <v>839</v>
      </c>
      <c r="N29" s="55" t="s">
        <v>839</v>
      </c>
    </row>
    <row r="30" spans="1:14" ht="15" customHeight="1"/>
    <row r="31" spans="1:14" ht="15" customHeight="1"/>
    <row r="32" spans="1:14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40" s="1" customFormat="1" ht="15" customHeight="1"/>
    <row r="41" s="1" customFormat="1" ht="15" customHeight="1"/>
    <row r="42" s="1" customFormat="1" ht="15" customHeight="1"/>
    <row r="43" s="1" customFormat="1" ht="15" customHeight="1"/>
    <row r="44" s="1" customFormat="1" ht="15" customHeight="1"/>
    <row r="46" s="1" customFormat="1" ht="15" customHeight="1"/>
    <row r="47" s="1" customFormat="1" ht="15" customHeight="1"/>
    <row r="48" s="1" customFormat="1" ht="15" customHeight="1"/>
    <row r="49" s="1" customFormat="1" ht="15" customHeight="1"/>
    <row r="50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7" s="1" customFormat="1" ht="15" customHeight="1"/>
    <row r="58" s="1" customFormat="1" ht="15" customHeight="1"/>
  </sheetData>
  <mergeCells count="5">
    <mergeCell ref="A1:N1"/>
    <mergeCell ref="A2:N2"/>
    <mergeCell ref="A3:N3"/>
    <mergeCell ref="A16:N16"/>
    <mergeCell ref="A28:N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3"/>
  <sheetViews>
    <sheetView showGridLines="0" topLeftCell="H1" workbookViewId="0">
      <selection activeCell="A16" sqref="A16"/>
    </sheetView>
  </sheetViews>
  <sheetFormatPr defaultRowHeight="14.4"/>
  <cols>
    <col min="1" max="2" width="11" style="1" customWidth="1"/>
    <col min="3" max="8" width="14" style="1" customWidth="1"/>
    <col min="9" max="9" width="13" style="1" customWidth="1"/>
    <col min="10" max="10" width="26" style="1" customWidth="1"/>
    <col min="11" max="12" width="34" style="1" customWidth="1"/>
    <col min="13" max="17" width="4" style="1" customWidth="1"/>
    <col min="18" max="16384" width="8.796875" style="1"/>
  </cols>
  <sheetData>
    <row r="1" spans="1:12" ht="19.2" customHeight="1">
      <c r="A1" s="54" t="s">
        <v>840</v>
      </c>
      <c r="B1" s="54" t="s">
        <v>840</v>
      </c>
      <c r="C1" s="54" t="s">
        <v>840</v>
      </c>
      <c r="D1" s="54" t="s">
        <v>840</v>
      </c>
      <c r="E1" s="54" t="s">
        <v>840</v>
      </c>
      <c r="F1" s="54" t="s">
        <v>840</v>
      </c>
      <c r="G1" s="54" t="s">
        <v>840</v>
      </c>
      <c r="H1" s="54" t="s">
        <v>840</v>
      </c>
      <c r="I1" s="54" t="s">
        <v>840</v>
      </c>
      <c r="J1" s="54" t="s">
        <v>840</v>
      </c>
      <c r="K1" s="54" t="s">
        <v>840</v>
      </c>
      <c r="L1" s="54" t="s">
        <v>840</v>
      </c>
    </row>
    <row r="2" spans="1:12" ht="15" customHeight="1">
      <c r="A2" s="55" t="s">
        <v>841</v>
      </c>
      <c r="B2" s="55" t="s">
        <v>841</v>
      </c>
      <c r="C2" s="55" t="s">
        <v>841</v>
      </c>
      <c r="D2" s="55" t="s">
        <v>841</v>
      </c>
      <c r="E2" s="55" t="s">
        <v>841</v>
      </c>
      <c r="F2" s="55" t="s">
        <v>841</v>
      </c>
      <c r="G2" s="55" t="s">
        <v>841</v>
      </c>
      <c r="H2" s="55" t="s">
        <v>841</v>
      </c>
      <c r="I2" s="55" t="s">
        <v>841</v>
      </c>
      <c r="J2" s="55" t="s">
        <v>841</v>
      </c>
      <c r="K2" s="55" t="s">
        <v>841</v>
      </c>
      <c r="L2" s="55" t="s">
        <v>841</v>
      </c>
    </row>
    <row r="4" spans="1:12" ht="15" customHeight="1">
      <c r="A4" s="2" t="s">
        <v>842</v>
      </c>
      <c r="B4" s="2" t="s">
        <v>843</v>
      </c>
      <c r="C4" s="2" t="s">
        <v>844</v>
      </c>
      <c r="D4" s="2" t="s">
        <v>845</v>
      </c>
      <c r="E4" s="2" t="s">
        <v>846</v>
      </c>
      <c r="F4" s="2" t="s">
        <v>847</v>
      </c>
      <c r="G4" s="2" t="s">
        <v>848</v>
      </c>
      <c r="H4" s="2" t="s">
        <v>849</v>
      </c>
      <c r="I4" s="2" t="s">
        <v>850</v>
      </c>
      <c r="J4" s="2" t="s">
        <v>851</v>
      </c>
      <c r="K4" s="2" t="s">
        <v>852</v>
      </c>
      <c r="L4" s="2" t="s">
        <v>853</v>
      </c>
    </row>
    <row r="5" spans="1:12" ht="21.6" customHeight="1">
      <c r="A5" s="3" t="s">
        <v>614</v>
      </c>
      <c r="B5" s="3" t="s">
        <v>639</v>
      </c>
      <c r="C5" s="40">
        <f t="shared" ref="C5:C28" si="0">D5-SUMIF($C$35:$C$83,A5&amp;"-&gt;"&amp;B5,$I$35:$I$83)</f>
        <v>6100</v>
      </c>
      <c r="D5" s="40">
        <v>6100</v>
      </c>
      <c r="E5" s="40">
        <f t="shared" ref="E5:E28" si="1">D5</f>
        <v>6100</v>
      </c>
      <c r="F5" s="40">
        <f t="shared" ref="F5:F28" si="2">C5</f>
        <v>6100</v>
      </c>
      <c r="G5" s="40">
        <f t="shared" ref="G5:G28" si="3">D5</f>
        <v>6100</v>
      </c>
      <c r="H5" s="40">
        <f t="shared" ref="H5:H28" si="4">G5</f>
        <v>6100</v>
      </c>
      <c r="I5" s="40">
        <f t="shared" ref="I5:I28" si="5">C5-D5</f>
        <v>0</v>
      </c>
      <c r="J5" s="3" t="s">
        <v>854</v>
      </c>
      <c r="K5" s="3" t="s">
        <v>855</v>
      </c>
      <c r="L5" s="3" t="s">
        <v>856</v>
      </c>
    </row>
    <row r="6" spans="1:12" ht="21.6" customHeight="1">
      <c r="A6" s="3" t="s">
        <v>639</v>
      </c>
      <c r="B6" s="3" t="s">
        <v>614</v>
      </c>
      <c r="C6" s="40">
        <f t="shared" si="0"/>
        <v>5300</v>
      </c>
      <c r="D6" s="40">
        <v>5300</v>
      </c>
      <c r="E6" s="40">
        <f t="shared" si="1"/>
        <v>5300</v>
      </c>
      <c r="F6" s="40">
        <f t="shared" si="2"/>
        <v>5300</v>
      </c>
      <c r="G6" s="40">
        <f t="shared" si="3"/>
        <v>5300</v>
      </c>
      <c r="H6" s="40">
        <f t="shared" si="4"/>
        <v>5300</v>
      </c>
      <c r="I6" s="40">
        <f t="shared" si="5"/>
        <v>0</v>
      </c>
      <c r="J6" s="3" t="s">
        <v>854</v>
      </c>
      <c r="K6" s="3" t="s">
        <v>855</v>
      </c>
      <c r="L6" s="3" t="s">
        <v>856</v>
      </c>
    </row>
    <row r="7" spans="1:12" ht="21.6" customHeight="1">
      <c r="A7" s="3" t="s">
        <v>639</v>
      </c>
      <c r="B7" s="3" t="s">
        <v>646</v>
      </c>
      <c r="C7" s="40">
        <f t="shared" si="0"/>
        <v>5400</v>
      </c>
      <c r="D7" s="40">
        <v>5400</v>
      </c>
      <c r="E7" s="40">
        <f t="shared" si="1"/>
        <v>5400</v>
      </c>
      <c r="F7" s="40">
        <f t="shared" si="2"/>
        <v>5400</v>
      </c>
      <c r="G7" s="40">
        <f t="shared" si="3"/>
        <v>5400</v>
      </c>
      <c r="H7" s="40">
        <f t="shared" si="4"/>
        <v>5400</v>
      </c>
      <c r="I7" s="40">
        <f t="shared" si="5"/>
        <v>0</v>
      </c>
      <c r="J7" s="3" t="s">
        <v>854</v>
      </c>
      <c r="K7" s="3" t="s">
        <v>855</v>
      </c>
      <c r="L7" s="3" t="s">
        <v>856</v>
      </c>
    </row>
    <row r="8" spans="1:12" ht="21.6" customHeight="1">
      <c r="A8" s="3" t="s">
        <v>646</v>
      </c>
      <c r="B8" s="3" t="s">
        <v>639</v>
      </c>
      <c r="C8" s="40">
        <f t="shared" si="0"/>
        <v>6100</v>
      </c>
      <c r="D8" s="40">
        <v>6100</v>
      </c>
      <c r="E8" s="40">
        <f t="shared" si="1"/>
        <v>6100</v>
      </c>
      <c r="F8" s="40">
        <f t="shared" si="2"/>
        <v>6100</v>
      </c>
      <c r="G8" s="40">
        <f t="shared" si="3"/>
        <v>6100</v>
      </c>
      <c r="H8" s="40">
        <f t="shared" si="4"/>
        <v>6100</v>
      </c>
      <c r="I8" s="40">
        <f t="shared" si="5"/>
        <v>0</v>
      </c>
      <c r="J8" s="3" t="s">
        <v>854</v>
      </c>
      <c r="K8" s="3" t="s">
        <v>855</v>
      </c>
      <c r="L8" s="3" t="s">
        <v>856</v>
      </c>
    </row>
    <row r="9" spans="1:12" ht="21.6" customHeight="1">
      <c r="A9" s="3" t="s">
        <v>646</v>
      </c>
      <c r="B9" s="3" t="s">
        <v>657</v>
      </c>
      <c r="C9" s="40">
        <f t="shared" si="0"/>
        <v>3900</v>
      </c>
      <c r="D9" s="40">
        <v>6300</v>
      </c>
      <c r="E9" s="40">
        <f t="shared" si="1"/>
        <v>6300</v>
      </c>
      <c r="F9" s="40">
        <f t="shared" si="2"/>
        <v>3900</v>
      </c>
      <c r="G9" s="40">
        <f t="shared" si="3"/>
        <v>6300</v>
      </c>
      <c r="H9" s="40">
        <f t="shared" si="4"/>
        <v>6300</v>
      </c>
      <c r="I9" s="40">
        <f t="shared" si="5"/>
        <v>-2400</v>
      </c>
      <c r="J9" s="3" t="s">
        <v>857</v>
      </c>
      <c r="K9" s="3" t="s">
        <v>855</v>
      </c>
      <c r="L9" s="3" t="s">
        <v>856</v>
      </c>
    </row>
    <row r="10" spans="1:12" ht="21.6" customHeight="1">
      <c r="A10" s="3" t="s">
        <v>657</v>
      </c>
      <c r="B10" s="3" t="s">
        <v>646</v>
      </c>
      <c r="C10" s="40">
        <f t="shared" si="0"/>
        <v>6700</v>
      </c>
      <c r="D10" s="40">
        <v>9100</v>
      </c>
      <c r="E10" s="40">
        <f t="shared" si="1"/>
        <v>9100</v>
      </c>
      <c r="F10" s="40">
        <f t="shared" si="2"/>
        <v>6700</v>
      </c>
      <c r="G10" s="40">
        <f t="shared" si="3"/>
        <v>9100</v>
      </c>
      <c r="H10" s="40">
        <f t="shared" si="4"/>
        <v>9100</v>
      </c>
      <c r="I10" s="40">
        <f t="shared" si="5"/>
        <v>-2400</v>
      </c>
      <c r="J10" s="3" t="s">
        <v>857</v>
      </c>
      <c r="K10" s="3" t="s">
        <v>855</v>
      </c>
      <c r="L10" s="3" t="s">
        <v>856</v>
      </c>
    </row>
    <row r="11" spans="1:12" ht="21.6" customHeight="1">
      <c r="A11" s="3" t="s">
        <v>657</v>
      </c>
      <c r="B11" s="3" t="s">
        <v>666</v>
      </c>
      <c r="C11" s="40">
        <f t="shared" si="0"/>
        <v>2000</v>
      </c>
      <c r="D11" s="40">
        <v>4100</v>
      </c>
      <c r="E11" s="40">
        <f t="shared" si="1"/>
        <v>4100</v>
      </c>
      <c r="F11" s="40">
        <f t="shared" si="2"/>
        <v>2000</v>
      </c>
      <c r="G11" s="40">
        <f t="shared" si="3"/>
        <v>4100</v>
      </c>
      <c r="H11" s="40">
        <f t="shared" si="4"/>
        <v>4100</v>
      </c>
      <c r="I11" s="40">
        <f t="shared" si="5"/>
        <v>-2100</v>
      </c>
      <c r="J11" s="3" t="s">
        <v>858</v>
      </c>
      <c r="K11" s="3" t="s">
        <v>855</v>
      </c>
      <c r="L11" s="3" t="s">
        <v>856</v>
      </c>
    </row>
    <row r="12" spans="1:12" ht="21.6" customHeight="1">
      <c r="A12" s="3" t="s">
        <v>666</v>
      </c>
      <c r="B12" s="3" t="s">
        <v>657</v>
      </c>
      <c r="C12" s="40">
        <f t="shared" si="0"/>
        <v>3250</v>
      </c>
      <c r="D12" s="40">
        <v>5350</v>
      </c>
      <c r="E12" s="40">
        <f t="shared" si="1"/>
        <v>5350</v>
      </c>
      <c r="F12" s="40">
        <f t="shared" si="2"/>
        <v>3250</v>
      </c>
      <c r="G12" s="40">
        <f t="shared" si="3"/>
        <v>5350</v>
      </c>
      <c r="H12" s="40">
        <f t="shared" si="4"/>
        <v>5350</v>
      </c>
      <c r="I12" s="40">
        <f t="shared" si="5"/>
        <v>-2100</v>
      </c>
      <c r="J12" s="3" t="s">
        <v>858</v>
      </c>
      <c r="K12" s="3" t="s">
        <v>855</v>
      </c>
      <c r="L12" s="3" t="s">
        <v>856</v>
      </c>
    </row>
    <row r="13" spans="1:12" ht="21.6" customHeight="1">
      <c r="A13" s="3" t="s">
        <v>666</v>
      </c>
      <c r="B13" s="3" t="s">
        <v>670</v>
      </c>
      <c r="C13" s="40">
        <f t="shared" si="0"/>
        <v>2050</v>
      </c>
      <c r="D13" s="40">
        <v>4150</v>
      </c>
      <c r="E13" s="40">
        <f t="shared" si="1"/>
        <v>4150</v>
      </c>
      <c r="F13" s="40">
        <f t="shared" si="2"/>
        <v>2050</v>
      </c>
      <c r="G13" s="40">
        <f t="shared" si="3"/>
        <v>4150</v>
      </c>
      <c r="H13" s="40">
        <f t="shared" si="4"/>
        <v>4150</v>
      </c>
      <c r="I13" s="40">
        <f t="shared" si="5"/>
        <v>-2100</v>
      </c>
      <c r="J13" s="3" t="s">
        <v>858</v>
      </c>
      <c r="K13" s="3" t="s">
        <v>855</v>
      </c>
      <c r="L13" s="3" t="s">
        <v>856</v>
      </c>
    </row>
    <row r="14" spans="1:12" ht="21.6" customHeight="1">
      <c r="A14" s="3" t="s">
        <v>670</v>
      </c>
      <c r="B14" s="3" t="s">
        <v>666</v>
      </c>
      <c r="C14" s="40">
        <f t="shared" si="0"/>
        <v>2000</v>
      </c>
      <c r="D14" s="40">
        <v>4100</v>
      </c>
      <c r="E14" s="40">
        <f t="shared" si="1"/>
        <v>4100</v>
      </c>
      <c r="F14" s="40">
        <f t="shared" si="2"/>
        <v>2000</v>
      </c>
      <c r="G14" s="40">
        <f t="shared" si="3"/>
        <v>4100</v>
      </c>
      <c r="H14" s="40">
        <f t="shared" si="4"/>
        <v>4100</v>
      </c>
      <c r="I14" s="40">
        <f t="shared" si="5"/>
        <v>-2100</v>
      </c>
      <c r="J14" s="3" t="s">
        <v>858</v>
      </c>
      <c r="K14" s="3" t="s">
        <v>855</v>
      </c>
      <c r="L14" s="3" t="s">
        <v>856</v>
      </c>
    </row>
    <row r="15" spans="1:12" ht="21.6" customHeight="1">
      <c r="A15" s="3" t="s">
        <v>646</v>
      </c>
      <c r="B15" s="3" t="s">
        <v>674</v>
      </c>
      <c r="C15" s="40">
        <f t="shared" si="0"/>
        <v>720</v>
      </c>
      <c r="D15" s="40">
        <v>1720</v>
      </c>
      <c r="E15" s="40">
        <f t="shared" si="1"/>
        <v>1720</v>
      </c>
      <c r="F15" s="40">
        <f t="shared" si="2"/>
        <v>720</v>
      </c>
      <c r="G15" s="40">
        <f t="shared" si="3"/>
        <v>1720</v>
      </c>
      <c r="H15" s="40">
        <f t="shared" si="4"/>
        <v>1720</v>
      </c>
      <c r="I15" s="40">
        <f t="shared" si="5"/>
        <v>-1000</v>
      </c>
      <c r="J15" s="3" t="s">
        <v>859</v>
      </c>
      <c r="K15" s="3" t="s">
        <v>855</v>
      </c>
      <c r="L15" s="3" t="s">
        <v>856</v>
      </c>
    </row>
    <row r="16" spans="1:12" ht="21.6" customHeight="1">
      <c r="A16" s="3" t="s">
        <v>674</v>
      </c>
      <c r="B16" s="3" t="s">
        <v>646</v>
      </c>
      <c r="C16" s="40">
        <f t="shared" si="0"/>
        <v>900</v>
      </c>
      <c r="D16" s="40">
        <v>1900</v>
      </c>
      <c r="E16" s="40">
        <f t="shared" si="1"/>
        <v>1900</v>
      </c>
      <c r="F16" s="40">
        <f t="shared" si="2"/>
        <v>900</v>
      </c>
      <c r="G16" s="40">
        <f t="shared" si="3"/>
        <v>1900</v>
      </c>
      <c r="H16" s="40">
        <f t="shared" si="4"/>
        <v>1900</v>
      </c>
      <c r="I16" s="40">
        <f t="shared" si="5"/>
        <v>-1000</v>
      </c>
      <c r="J16" s="3" t="s">
        <v>859</v>
      </c>
      <c r="K16" s="3" t="s">
        <v>855</v>
      </c>
      <c r="L16" s="3" t="s">
        <v>856</v>
      </c>
    </row>
    <row r="17" spans="1:12" ht="21.6" customHeight="1">
      <c r="A17" s="3" t="s">
        <v>639</v>
      </c>
      <c r="B17" s="3" t="s">
        <v>680</v>
      </c>
      <c r="C17" s="40">
        <f t="shared" si="0"/>
        <v>400</v>
      </c>
      <c r="D17" s="40">
        <v>400</v>
      </c>
      <c r="E17" s="40">
        <f t="shared" si="1"/>
        <v>400</v>
      </c>
      <c r="F17" s="40">
        <f t="shared" si="2"/>
        <v>400</v>
      </c>
      <c r="G17" s="40">
        <f t="shared" si="3"/>
        <v>400</v>
      </c>
      <c r="H17" s="40">
        <f t="shared" si="4"/>
        <v>400</v>
      </c>
      <c r="I17" s="40">
        <f t="shared" si="5"/>
        <v>0</v>
      </c>
      <c r="J17" s="3" t="s">
        <v>854</v>
      </c>
      <c r="K17" s="3" t="s">
        <v>855</v>
      </c>
      <c r="L17" s="3" t="s">
        <v>856</v>
      </c>
    </row>
    <row r="18" spans="1:12" ht="21.6" customHeight="1">
      <c r="A18" s="3" t="s">
        <v>680</v>
      </c>
      <c r="B18" s="3" t="s">
        <v>639</v>
      </c>
      <c r="C18" s="40">
        <f t="shared" si="0"/>
        <v>400</v>
      </c>
      <c r="D18" s="40">
        <v>400</v>
      </c>
      <c r="E18" s="40">
        <f t="shared" si="1"/>
        <v>400</v>
      </c>
      <c r="F18" s="40">
        <f t="shared" si="2"/>
        <v>400</v>
      </c>
      <c r="G18" s="40">
        <f t="shared" si="3"/>
        <v>400</v>
      </c>
      <c r="H18" s="40">
        <f t="shared" si="4"/>
        <v>400</v>
      </c>
      <c r="I18" s="40">
        <f t="shared" si="5"/>
        <v>0</v>
      </c>
      <c r="J18" s="3" t="s">
        <v>854</v>
      </c>
      <c r="K18" s="3" t="s">
        <v>855</v>
      </c>
      <c r="L18" s="3" t="s">
        <v>856</v>
      </c>
    </row>
    <row r="19" spans="1:12" ht="21.6" customHeight="1">
      <c r="A19" s="3" t="s">
        <v>680</v>
      </c>
      <c r="B19" s="3" t="s">
        <v>674</v>
      </c>
      <c r="C19" s="40">
        <f t="shared" si="0"/>
        <v>400</v>
      </c>
      <c r="D19" s="40">
        <v>400</v>
      </c>
      <c r="E19" s="40">
        <f t="shared" si="1"/>
        <v>400</v>
      </c>
      <c r="F19" s="40">
        <f t="shared" si="2"/>
        <v>400</v>
      </c>
      <c r="G19" s="40">
        <f t="shared" si="3"/>
        <v>400</v>
      </c>
      <c r="H19" s="40">
        <f t="shared" si="4"/>
        <v>400</v>
      </c>
      <c r="I19" s="40">
        <f t="shared" si="5"/>
        <v>0</v>
      </c>
      <c r="J19" s="3" t="s">
        <v>854</v>
      </c>
      <c r="K19" s="3" t="s">
        <v>855</v>
      </c>
      <c r="L19" s="3" t="s">
        <v>856</v>
      </c>
    </row>
    <row r="20" spans="1:12" ht="21.6" customHeight="1">
      <c r="A20" s="3" t="s">
        <v>674</v>
      </c>
      <c r="B20" s="3" t="s">
        <v>680</v>
      </c>
      <c r="C20" s="40">
        <f t="shared" si="0"/>
        <v>400</v>
      </c>
      <c r="D20" s="40">
        <v>400</v>
      </c>
      <c r="E20" s="40">
        <f t="shared" si="1"/>
        <v>400</v>
      </c>
      <c r="F20" s="40">
        <f t="shared" si="2"/>
        <v>400</v>
      </c>
      <c r="G20" s="40">
        <f t="shared" si="3"/>
        <v>400</v>
      </c>
      <c r="H20" s="40">
        <f t="shared" si="4"/>
        <v>400</v>
      </c>
      <c r="I20" s="40">
        <f t="shared" si="5"/>
        <v>0</v>
      </c>
      <c r="J20" s="3" t="s">
        <v>854</v>
      </c>
      <c r="K20" s="3" t="s">
        <v>855</v>
      </c>
      <c r="L20" s="3" t="s">
        <v>856</v>
      </c>
    </row>
    <row r="21" spans="1:12" ht="21.6" customHeight="1">
      <c r="A21" s="3" t="s">
        <v>614</v>
      </c>
      <c r="B21" s="3" t="s">
        <v>657</v>
      </c>
      <c r="C21" s="40">
        <f t="shared" si="0"/>
        <v>2100</v>
      </c>
      <c r="D21" s="40">
        <v>2100</v>
      </c>
      <c r="E21" s="40">
        <f t="shared" si="1"/>
        <v>2100</v>
      </c>
      <c r="F21" s="40">
        <f t="shared" si="2"/>
        <v>2100</v>
      </c>
      <c r="G21" s="40">
        <f t="shared" si="3"/>
        <v>2100</v>
      </c>
      <c r="H21" s="40">
        <f t="shared" si="4"/>
        <v>2100</v>
      </c>
      <c r="I21" s="40">
        <f t="shared" si="5"/>
        <v>0</v>
      </c>
      <c r="J21" s="3" t="s">
        <v>854</v>
      </c>
      <c r="K21" s="3" t="s">
        <v>855</v>
      </c>
      <c r="L21" s="3" t="s">
        <v>856</v>
      </c>
    </row>
    <row r="22" spans="1:12" ht="21.6" customHeight="1">
      <c r="A22" s="3" t="s">
        <v>657</v>
      </c>
      <c r="B22" s="3" t="s">
        <v>614</v>
      </c>
      <c r="C22" s="40">
        <f t="shared" si="0"/>
        <v>2100</v>
      </c>
      <c r="D22" s="40">
        <v>2100</v>
      </c>
      <c r="E22" s="40">
        <f t="shared" si="1"/>
        <v>2100</v>
      </c>
      <c r="F22" s="40">
        <f t="shared" si="2"/>
        <v>2100</v>
      </c>
      <c r="G22" s="40">
        <f t="shared" si="3"/>
        <v>2100</v>
      </c>
      <c r="H22" s="40">
        <f t="shared" si="4"/>
        <v>2100</v>
      </c>
      <c r="I22" s="40">
        <f t="shared" si="5"/>
        <v>0</v>
      </c>
      <c r="J22" s="3" t="s">
        <v>854</v>
      </c>
      <c r="K22" s="3" t="s">
        <v>855</v>
      </c>
      <c r="L22" s="3" t="s">
        <v>856</v>
      </c>
    </row>
    <row r="23" spans="1:12" ht="21.6" customHeight="1">
      <c r="A23" s="3" t="s">
        <v>614</v>
      </c>
      <c r="B23" s="3" t="s">
        <v>646</v>
      </c>
      <c r="C23" s="40">
        <f t="shared" si="0"/>
        <v>2100</v>
      </c>
      <c r="D23" s="40">
        <v>2100</v>
      </c>
      <c r="E23" s="40">
        <f t="shared" si="1"/>
        <v>2100</v>
      </c>
      <c r="F23" s="40">
        <f t="shared" si="2"/>
        <v>2100</v>
      </c>
      <c r="G23" s="40">
        <f t="shared" si="3"/>
        <v>2100</v>
      </c>
      <c r="H23" s="40">
        <f t="shared" si="4"/>
        <v>2100</v>
      </c>
      <c r="I23" s="40">
        <f t="shared" si="5"/>
        <v>0</v>
      </c>
      <c r="J23" s="3" t="s">
        <v>854</v>
      </c>
      <c r="K23" s="3" t="s">
        <v>855</v>
      </c>
      <c r="L23" s="3" t="s">
        <v>856</v>
      </c>
    </row>
    <row r="24" spans="1:12" ht="21.6" customHeight="1">
      <c r="A24" s="3" t="s">
        <v>646</v>
      </c>
      <c r="B24" s="3" t="s">
        <v>614</v>
      </c>
      <c r="C24" s="40">
        <f t="shared" si="0"/>
        <v>2100</v>
      </c>
      <c r="D24" s="40">
        <v>2100</v>
      </c>
      <c r="E24" s="40">
        <f t="shared" si="1"/>
        <v>2100</v>
      </c>
      <c r="F24" s="40">
        <f t="shared" si="2"/>
        <v>2100</v>
      </c>
      <c r="G24" s="40">
        <f t="shared" si="3"/>
        <v>2100</v>
      </c>
      <c r="H24" s="40">
        <f t="shared" si="4"/>
        <v>2100</v>
      </c>
      <c r="I24" s="40">
        <f t="shared" si="5"/>
        <v>0</v>
      </c>
      <c r="J24" s="3" t="s">
        <v>854</v>
      </c>
      <c r="K24" s="3" t="s">
        <v>855</v>
      </c>
      <c r="L24" s="3" t="s">
        <v>856</v>
      </c>
    </row>
    <row r="25" spans="1:12" ht="21.6" customHeight="1">
      <c r="A25" s="3" t="s">
        <v>646</v>
      </c>
      <c r="B25" s="3" t="s">
        <v>670</v>
      </c>
      <c r="C25" s="40">
        <f t="shared" si="0"/>
        <v>1000</v>
      </c>
      <c r="D25" s="40">
        <v>1000</v>
      </c>
      <c r="E25" s="40">
        <f t="shared" si="1"/>
        <v>1000</v>
      </c>
      <c r="F25" s="40">
        <f t="shared" si="2"/>
        <v>1000</v>
      </c>
      <c r="G25" s="40">
        <f t="shared" si="3"/>
        <v>1000</v>
      </c>
      <c r="H25" s="40">
        <f t="shared" si="4"/>
        <v>1000</v>
      </c>
      <c r="I25" s="40">
        <f t="shared" si="5"/>
        <v>0</v>
      </c>
      <c r="J25" s="3" t="s">
        <v>854</v>
      </c>
      <c r="K25" s="3" t="s">
        <v>855</v>
      </c>
      <c r="L25" s="3" t="s">
        <v>856</v>
      </c>
    </row>
    <row r="26" spans="1:12" ht="21.6" customHeight="1">
      <c r="A26" s="3" t="s">
        <v>670</v>
      </c>
      <c r="B26" s="3" t="s">
        <v>646</v>
      </c>
      <c r="C26" s="40">
        <f t="shared" si="0"/>
        <v>1000</v>
      </c>
      <c r="D26" s="40">
        <v>1000</v>
      </c>
      <c r="E26" s="40">
        <f t="shared" si="1"/>
        <v>1000</v>
      </c>
      <c r="F26" s="40">
        <f t="shared" si="2"/>
        <v>1000</v>
      </c>
      <c r="G26" s="40">
        <f t="shared" si="3"/>
        <v>1000</v>
      </c>
      <c r="H26" s="40">
        <f t="shared" si="4"/>
        <v>1000</v>
      </c>
      <c r="I26" s="40">
        <f t="shared" si="5"/>
        <v>0</v>
      </c>
      <c r="J26" s="3" t="s">
        <v>854</v>
      </c>
      <c r="K26" s="3" t="s">
        <v>855</v>
      </c>
      <c r="L26" s="3" t="s">
        <v>856</v>
      </c>
    </row>
    <row r="27" spans="1:12" ht="21.6" customHeight="1">
      <c r="A27" s="3" t="s">
        <v>674</v>
      </c>
      <c r="B27" s="3" t="s">
        <v>670</v>
      </c>
      <c r="C27" s="40">
        <f t="shared" si="0"/>
        <v>1000</v>
      </c>
      <c r="D27" s="40">
        <v>1000</v>
      </c>
      <c r="E27" s="40">
        <f t="shared" si="1"/>
        <v>1000</v>
      </c>
      <c r="F27" s="40">
        <f t="shared" si="2"/>
        <v>1000</v>
      </c>
      <c r="G27" s="40">
        <f t="shared" si="3"/>
        <v>1000</v>
      </c>
      <c r="H27" s="40">
        <f t="shared" si="4"/>
        <v>1000</v>
      </c>
      <c r="I27" s="40">
        <f t="shared" si="5"/>
        <v>0</v>
      </c>
      <c r="J27" s="3" t="s">
        <v>854</v>
      </c>
      <c r="K27" s="3" t="s">
        <v>855</v>
      </c>
      <c r="L27" s="3" t="s">
        <v>856</v>
      </c>
    </row>
    <row r="28" spans="1:12" ht="21.6" customHeight="1">
      <c r="A28" s="3" t="s">
        <v>670</v>
      </c>
      <c r="B28" s="3" t="s">
        <v>674</v>
      </c>
      <c r="C28" s="40">
        <f t="shared" si="0"/>
        <v>1000</v>
      </c>
      <c r="D28" s="40">
        <v>1000</v>
      </c>
      <c r="E28" s="40">
        <f t="shared" si="1"/>
        <v>1000</v>
      </c>
      <c r="F28" s="40">
        <f t="shared" si="2"/>
        <v>1000</v>
      </c>
      <c r="G28" s="40">
        <f t="shared" si="3"/>
        <v>1000</v>
      </c>
      <c r="H28" s="40">
        <f t="shared" si="4"/>
        <v>1000</v>
      </c>
      <c r="I28" s="40">
        <f t="shared" si="5"/>
        <v>0</v>
      </c>
      <c r="J28" s="3" t="s">
        <v>854</v>
      </c>
      <c r="K28" s="3" t="s">
        <v>855</v>
      </c>
      <c r="L28" s="3" t="s">
        <v>856</v>
      </c>
    </row>
    <row r="29" spans="1:12" ht="15" customHeight="1">
      <c r="C29" s="41"/>
      <c r="D29" s="41"/>
      <c r="E29" s="41"/>
      <c r="F29" s="41"/>
      <c r="G29" s="41"/>
      <c r="H29" s="41"/>
      <c r="I29" s="41"/>
    </row>
    <row r="30" spans="1:12" ht="15" customHeight="1">
      <c r="C30" s="41"/>
      <c r="D30" s="41"/>
      <c r="E30" s="41"/>
      <c r="F30" s="41"/>
      <c r="G30" s="41"/>
      <c r="H30" s="41"/>
      <c r="I30" s="41"/>
    </row>
    <row r="31" spans="1:12" ht="15" customHeight="1">
      <c r="A31" s="59" t="s">
        <v>860</v>
      </c>
      <c r="B31" s="59" t="s">
        <v>860</v>
      </c>
      <c r="C31" s="65" t="s">
        <v>860</v>
      </c>
      <c r="D31" s="65" t="s">
        <v>860</v>
      </c>
      <c r="E31" s="65" t="s">
        <v>860</v>
      </c>
      <c r="F31" s="65" t="s">
        <v>860</v>
      </c>
      <c r="G31" s="65" t="s">
        <v>860</v>
      </c>
      <c r="H31" s="65" t="s">
        <v>860</v>
      </c>
      <c r="I31" s="65" t="s">
        <v>860</v>
      </c>
      <c r="J31" s="59" t="s">
        <v>860</v>
      </c>
      <c r="K31" s="59" t="s">
        <v>860</v>
      </c>
    </row>
    <row r="32" spans="1:12" ht="15" customHeight="1">
      <c r="C32" s="41"/>
      <c r="D32" s="41"/>
      <c r="E32" s="41"/>
      <c r="F32" s="41"/>
      <c r="G32" s="41"/>
      <c r="H32" s="41"/>
      <c r="I32" s="41"/>
    </row>
    <row r="33" spans="1:11" ht="15" customHeight="1">
      <c r="C33" s="41"/>
      <c r="D33" s="41"/>
      <c r="E33" s="41"/>
      <c r="F33" s="41"/>
      <c r="G33" s="41"/>
      <c r="H33" s="41"/>
      <c r="I33" s="41"/>
    </row>
    <row r="34" spans="1:11" ht="15" customHeight="1">
      <c r="A34" s="2" t="s">
        <v>861</v>
      </c>
      <c r="B34" s="2" t="s">
        <v>862</v>
      </c>
      <c r="C34" s="42" t="s">
        <v>863</v>
      </c>
      <c r="D34" s="42" t="s">
        <v>864</v>
      </c>
      <c r="E34" s="42" t="s">
        <v>865</v>
      </c>
      <c r="F34" s="42" t="s">
        <v>866</v>
      </c>
      <c r="G34" s="42" t="s">
        <v>867</v>
      </c>
      <c r="H34" s="42" t="s">
        <v>868</v>
      </c>
      <c r="I34" s="42" t="s">
        <v>869</v>
      </c>
      <c r="J34" s="2" t="s">
        <v>762</v>
      </c>
      <c r="K34" s="2" t="s">
        <v>53</v>
      </c>
    </row>
    <row r="35" spans="1:11" ht="15" customHeight="1">
      <c r="A35" s="43" t="s">
        <v>870</v>
      </c>
      <c r="B35" s="43" t="s">
        <v>871</v>
      </c>
      <c r="C35" s="44" t="s">
        <v>872</v>
      </c>
      <c r="D35" s="44">
        <v>500</v>
      </c>
      <c r="E35" s="44" t="s">
        <v>873</v>
      </c>
      <c r="F35" s="44" t="s">
        <v>874</v>
      </c>
      <c r="G35" s="44">
        <v>1</v>
      </c>
      <c r="H35" s="44">
        <v>1</v>
      </c>
      <c r="I35" s="44">
        <f t="shared" ref="I35:I66" si="6">IF(AND(G35=1,H35=0),D35,0)</f>
        <v>0</v>
      </c>
      <c r="J35" s="43" t="s">
        <v>875</v>
      </c>
      <c r="K35" s="43"/>
    </row>
    <row r="36" spans="1:11" ht="15" customHeight="1">
      <c r="A36" s="43" t="s">
        <v>870</v>
      </c>
      <c r="B36" s="43" t="s">
        <v>871</v>
      </c>
      <c r="C36" s="44" t="s">
        <v>876</v>
      </c>
      <c r="D36" s="44">
        <v>500</v>
      </c>
      <c r="E36" s="44" t="s">
        <v>873</v>
      </c>
      <c r="F36" s="44" t="s">
        <v>874</v>
      </c>
      <c r="G36" s="44">
        <v>1</v>
      </c>
      <c r="H36" s="44">
        <v>1</v>
      </c>
      <c r="I36" s="44">
        <f t="shared" si="6"/>
        <v>0</v>
      </c>
      <c r="J36" s="43" t="s">
        <v>875</v>
      </c>
      <c r="K36" s="43"/>
    </row>
    <row r="37" spans="1:11" ht="15" customHeight="1">
      <c r="A37" s="43" t="s">
        <v>877</v>
      </c>
      <c r="B37" s="43" t="s">
        <v>878</v>
      </c>
      <c r="C37" s="44" t="s">
        <v>872</v>
      </c>
      <c r="D37" s="44">
        <v>600</v>
      </c>
      <c r="E37" s="44" t="s">
        <v>879</v>
      </c>
      <c r="F37" s="44" t="s">
        <v>880</v>
      </c>
      <c r="G37" s="44">
        <v>1</v>
      </c>
      <c r="H37" s="44">
        <v>1</v>
      </c>
      <c r="I37" s="44">
        <f t="shared" si="6"/>
        <v>0</v>
      </c>
      <c r="J37" s="43" t="s">
        <v>875</v>
      </c>
      <c r="K37" s="43"/>
    </row>
    <row r="38" spans="1:11" ht="15" customHeight="1">
      <c r="A38" s="43" t="s">
        <v>877</v>
      </c>
      <c r="B38" s="43" t="s">
        <v>878</v>
      </c>
      <c r="C38" s="44" t="s">
        <v>876</v>
      </c>
      <c r="D38" s="44">
        <v>1000</v>
      </c>
      <c r="E38" s="44" t="s">
        <v>879</v>
      </c>
      <c r="F38" s="44" t="s">
        <v>880</v>
      </c>
      <c r="G38" s="44">
        <v>1</v>
      </c>
      <c r="H38" s="44">
        <v>1</v>
      </c>
      <c r="I38" s="44">
        <f t="shared" si="6"/>
        <v>0</v>
      </c>
      <c r="J38" s="43" t="s">
        <v>875</v>
      </c>
      <c r="K38" s="43"/>
    </row>
    <row r="39" spans="1:11" ht="15" customHeight="1">
      <c r="A39" s="43" t="s">
        <v>881</v>
      </c>
      <c r="B39" s="43" t="s">
        <v>882</v>
      </c>
      <c r="C39" s="44" t="s">
        <v>872</v>
      </c>
      <c r="D39" s="44">
        <v>700</v>
      </c>
      <c r="E39" s="44" t="s">
        <v>883</v>
      </c>
      <c r="F39" s="44" t="s">
        <v>884</v>
      </c>
      <c r="G39" s="44">
        <v>1</v>
      </c>
      <c r="H39" s="44">
        <v>1</v>
      </c>
      <c r="I39" s="44">
        <f t="shared" si="6"/>
        <v>0</v>
      </c>
      <c r="J39" s="43" t="s">
        <v>875</v>
      </c>
      <c r="K39" s="43"/>
    </row>
    <row r="40" spans="1:11" ht="15" customHeight="1">
      <c r="A40" s="43" t="s">
        <v>881</v>
      </c>
      <c r="B40" s="43" t="s">
        <v>882</v>
      </c>
      <c r="C40" s="44" t="s">
        <v>876</v>
      </c>
      <c r="D40" s="44">
        <v>700</v>
      </c>
      <c r="E40" s="44" t="s">
        <v>883</v>
      </c>
      <c r="F40" s="44" t="s">
        <v>884</v>
      </c>
      <c r="G40" s="44">
        <v>1</v>
      </c>
      <c r="H40" s="44">
        <v>1</v>
      </c>
      <c r="I40" s="44">
        <f t="shared" si="6"/>
        <v>0</v>
      </c>
      <c r="J40" s="43" t="s">
        <v>875</v>
      </c>
      <c r="K40" s="43"/>
    </row>
    <row r="41" spans="1:11" ht="15" customHeight="1">
      <c r="A41" s="43" t="s">
        <v>881</v>
      </c>
      <c r="B41" s="43" t="s">
        <v>882</v>
      </c>
      <c r="C41" s="44" t="s">
        <v>885</v>
      </c>
      <c r="D41" s="44">
        <v>2100</v>
      </c>
      <c r="E41" s="44" t="s">
        <v>883</v>
      </c>
      <c r="F41" s="44" t="s">
        <v>884</v>
      </c>
      <c r="G41" s="44">
        <v>1</v>
      </c>
      <c r="H41" s="44">
        <v>1</v>
      </c>
      <c r="I41" s="44">
        <f t="shared" si="6"/>
        <v>0</v>
      </c>
      <c r="J41" s="43" t="s">
        <v>875</v>
      </c>
      <c r="K41" s="43"/>
    </row>
    <row r="42" spans="1:11" ht="15" customHeight="1">
      <c r="A42" s="43" t="s">
        <v>881</v>
      </c>
      <c r="B42" s="43" t="s">
        <v>882</v>
      </c>
      <c r="C42" s="44" t="s">
        <v>886</v>
      </c>
      <c r="D42" s="44">
        <v>2100</v>
      </c>
      <c r="E42" s="44" t="s">
        <v>883</v>
      </c>
      <c r="F42" s="44" t="s">
        <v>884</v>
      </c>
      <c r="G42" s="44">
        <v>1</v>
      </c>
      <c r="H42" s="44">
        <v>1</v>
      </c>
      <c r="I42" s="44">
        <f t="shared" si="6"/>
        <v>0</v>
      </c>
      <c r="J42" s="43" t="s">
        <v>875</v>
      </c>
      <c r="K42" s="43"/>
    </row>
    <row r="43" spans="1:11" ht="19.2" customHeight="1">
      <c r="A43" s="43" t="s">
        <v>887</v>
      </c>
      <c r="B43" s="43" t="s">
        <v>888</v>
      </c>
      <c r="C43" s="44" t="s">
        <v>889</v>
      </c>
      <c r="D43" s="44">
        <v>400</v>
      </c>
      <c r="E43" s="44" t="s">
        <v>873</v>
      </c>
      <c r="F43" s="44" t="s">
        <v>874</v>
      </c>
      <c r="G43" s="44">
        <v>1</v>
      </c>
      <c r="H43" s="44">
        <v>1</v>
      </c>
      <c r="I43" s="44">
        <f t="shared" si="6"/>
        <v>0</v>
      </c>
      <c r="J43" s="43" t="s">
        <v>875</v>
      </c>
      <c r="K43" s="43"/>
    </row>
    <row r="44" spans="1:11" ht="19.2" customHeight="1">
      <c r="A44" s="43" t="s">
        <v>887</v>
      </c>
      <c r="B44" s="43" t="s">
        <v>888</v>
      </c>
      <c r="C44" s="44" t="s">
        <v>890</v>
      </c>
      <c r="D44" s="44">
        <v>400</v>
      </c>
      <c r="E44" s="44" t="s">
        <v>873</v>
      </c>
      <c r="F44" s="44" t="s">
        <v>874</v>
      </c>
      <c r="G44" s="44">
        <v>1</v>
      </c>
      <c r="H44" s="44">
        <v>1</v>
      </c>
      <c r="I44" s="44">
        <f t="shared" si="6"/>
        <v>0</v>
      </c>
      <c r="J44" s="43" t="s">
        <v>875</v>
      </c>
      <c r="K44" s="43"/>
    </row>
    <row r="45" spans="1:11" ht="15" customHeight="1">
      <c r="A45" s="43" t="s">
        <v>877</v>
      </c>
      <c r="B45" s="43" t="s">
        <v>878</v>
      </c>
      <c r="C45" s="44" t="s">
        <v>889</v>
      </c>
      <c r="D45" s="44">
        <v>1000</v>
      </c>
      <c r="E45" s="44" t="s">
        <v>879</v>
      </c>
      <c r="F45" s="44" t="s">
        <v>880</v>
      </c>
      <c r="G45" s="44">
        <v>1</v>
      </c>
      <c r="H45" s="44">
        <v>1</v>
      </c>
      <c r="I45" s="44">
        <f t="shared" si="6"/>
        <v>0</v>
      </c>
      <c r="J45" s="43" t="s">
        <v>875</v>
      </c>
      <c r="K45" s="43"/>
    </row>
    <row r="46" spans="1:11" ht="15" customHeight="1">
      <c r="A46" s="43" t="s">
        <v>877</v>
      </c>
      <c r="B46" s="43" t="s">
        <v>878</v>
      </c>
      <c r="C46" s="44" t="s">
        <v>890</v>
      </c>
      <c r="D46" s="44">
        <v>1000</v>
      </c>
      <c r="E46" s="44" t="s">
        <v>879</v>
      </c>
      <c r="F46" s="44" t="s">
        <v>880</v>
      </c>
      <c r="G46" s="44">
        <v>1</v>
      </c>
      <c r="H46" s="44">
        <v>1</v>
      </c>
      <c r="I46" s="44">
        <f t="shared" si="6"/>
        <v>0</v>
      </c>
      <c r="J46" s="43" t="s">
        <v>875</v>
      </c>
      <c r="K46" s="43"/>
    </row>
    <row r="47" spans="1:11" ht="15" customHeight="1">
      <c r="A47" s="43" t="s">
        <v>891</v>
      </c>
      <c r="B47" s="43" t="s">
        <v>892</v>
      </c>
      <c r="C47" s="44" t="s">
        <v>890</v>
      </c>
      <c r="D47" s="44">
        <v>800</v>
      </c>
      <c r="E47" s="44" t="s">
        <v>883</v>
      </c>
      <c r="F47" s="44" t="s">
        <v>884</v>
      </c>
      <c r="G47" s="44">
        <v>1</v>
      </c>
      <c r="H47" s="44">
        <v>1</v>
      </c>
      <c r="I47" s="44">
        <f t="shared" si="6"/>
        <v>0</v>
      </c>
      <c r="J47" s="43" t="s">
        <v>875</v>
      </c>
      <c r="K47" s="43"/>
    </row>
    <row r="48" spans="1:11" ht="15" customHeight="1">
      <c r="A48" s="43" t="s">
        <v>893</v>
      </c>
      <c r="B48" s="43" t="s">
        <v>894</v>
      </c>
      <c r="C48" s="44" t="s">
        <v>889</v>
      </c>
      <c r="D48" s="44">
        <v>600</v>
      </c>
      <c r="E48" s="44" t="s">
        <v>880</v>
      </c>
      <c r="F48" s="44" t="s">
        <v>895</v>
      </c>
      <c r="G48" s="44">
        <v>1</v>
      </c>
      <c r="H48" s="44">
        <v>1</v>
      </c>
      <c r="I48" s="44">
        <f t="shared" si="6"/>
        <v>0</v>
      </c>
      <c r="J48" s="43" t="s">
        <v>875</v>
      </c>
      <c r="K48" s="43"/>
    </row>
    <row r="49" spans="1:11" ht="15" customHeight="1">
      <c r="A49" s="43" t="s">
        <v>893</v>
      </c>
      <c r="B49" s="43" t="s">
        <v>894</v>
      </c>
      <c r="C49" s="44" t="s">
        <v>890</v>
      </c>
      <c r="D49" s="44">
        <v>600</v>
      </c>
      <c r="E49" s="44" t="s">
        <v>880</v>
      </c>
      <c r="F49" s="44" t="s">
        <v>895</v>
      </c>
      <c r="G49" s="44">
        <v>1</v>
      </c>
      <c r="H49" s="44">
        <v>1</v>
      </c>
      <c r="I49" s="44">
        <f t="shared" si="6"/>
        <v>0</v>
      </c>
      <c r="J49" s="43" t="s">
        <v>875</v>
      </c>
      <c r="K49" s="43"/>
    </row>
    <row r="50" spans="1:11" ht="19.2" customHeight="1">
      <c r="A50" s="43" t="s">
        <v>896</v>
      </c>
      <c r="B50" s="43" t="s">
        <v>897</v>
      </c>
      <c r="C50" s="44" t="s">
        <v>889</v>
      </c>
      <c r="D50" s="44">
        <v>200</v>
      </c>
      <c r="E50" s="44" t="s">
        <v>898</v>
      </c>
      <c r="F50" s="44" t="s">
        <v>899</v>
      </c>
      <c r="G50" s="44">
        <v>1</v>
      </c>
      <c r="H50" s="44">
        <v>1</v>
      </c>
      <c r="I50" s="44">
        <f t="shared" si="6"/>
        <v>0</v>
      </c>
      <c r="J50" s="43" t="s">
        <v>875</v>
      </c>
      <c r="K50" s="43" t="s">
        <v>900</v>
      </c>
    </row>
    <row r="51" spans="1:11" ht="19.2" customHeight="1">
      <c r="A51" s="43" t="s">
        <v>896</v>
      </c>
      <c r="B51" s="43" t="s">
        <v>897</v>
      </c>
      <c r="C51" s="44" t="s">
        <v>890</v>
      </c>
      <c r="D51" s="44">
        <v>200</v>
      </c>
      <c r="E51" s="44" t="s">
        <v>898</v>
      </c>
      <c r="F51" s="44" t="s">
        <v>899</v>
      </c>
      <c r="G51" s="44">
        <v>1</v>
      </c>
      <c r="H51" s="44">
        <v>1</v>
      </c>
      <c r="I51" s="44">
        <f t="shared" si="6"/>
        <v>0</v>
      </c>
      <c r="J51" s="43" t="s">
        <v>875</v>
      </c>
      <c r="K51" s="43" t="s">
        <v>900</v>
      </c>
    </row>
    <row r="52" spans="1:11" ht="19.2" customHeight="1">
      <c r="A52" s="43" t="s">
        <v>901</v>
      </c>
      <c r="B52" s="43" t="s">
        <v>902</v>
      </c>
      <c r="C52" s="44" t="s">
        <v>889</v>
      </c>
      <c r="D52" s="44">
        <v>300</v>
      </c>
      <c r="E52" s="44" t="s">
        <v>202</v>
      </c>
      <c r="F52" s="44" t="s">
        <v>903</v>
      </c>
      <c r="G52" s="44">
        <v>1</v>
      </c>
      <c r="H52" s="44">
        <v>1</v>
      </c>
      <c r="I52" s="44">
        <f t="shared" si="6"/>
        <v>0</v>
      </c>
      <c r="J52" s="43" t="s">
        <v>875</v>
      </c>
      <c r="K52" s="43"/>
    </row>
    <row r="53" spans="1:11" ht="19.2" customHeight="1">
      <c r="A53" s="43" t="s">
        <v>901</v>
      </c>
      <c r="B53" s="43" t="s">
        <v>902</v>
      </c>
      <c r="C53" s="44" t="s">
        <v>890</v>
      </c>
      <c r="D53" s="44">
        <v>300</v>
      </c>
      <c r="E53" s="44" t="s">
        <v>202</v>
      </c>
      <c r="F53" s="44" t="s">
        <v>903</v>
      </c>
      <c r="G53" s="44">
        <v>1</v>
      </c>
      <c r="H53" s="44">
        <v>1</v>
      </c>
      <c r="I53" s="44">
        <f t="shared" si="6"/>
        <v>0</v>
      </c>
      <c r="J53" s="43" t="s">
        <v>875</v>
      </c>
      <c r="K53" s="43"/>
    </row>
    <row r="54" spans="1:11" ht="15" customHeight="1">
      <c r="A54" s="43" t="s">
        <v>904</v>
      </c>
      <c r="B54" s="43" t="s">
        <v>905</v>
      </c>
      <c r="C54" s="44" t="s">
        <v>906</v>
      </c>
      <c r="D54" s="44">
        <v>500</v>
      </c>
      <c r="E54" s="44" t="s">
        <v>879</v>
      </c>
      <c r="F54" s="44" t="s">
        <v>880</v>
      </c>
      <c r="G54" s="44">
        <v>1</v>
      </c>
      <c r="H54" s="44">
        <v>1</v>
      </c>
      <c r="I54" s="44">
        <f t="shared" si="6"/>
        <v>0</v>
      </c>
      <c r="J54" s="43" t="s">
        <v>875</v>
      </c>
      <c r="K54" s="43"/>
    </row>
    <row r="55" spans="1:11" ht="15" customHeight="1">
      <c r="A55" s="43" t="s">
        <v>904</v>
      </c>
      <c r="B55" s="43" t="s">
        <v>905</v>
      </c>
      <c r="C55" s="44" t="s">
        <v>907</v>
      </c>
      <c r="D55" s="44">
        <v>500</v>
      </c>
      <c r="E55" s="44" t="s">
        <v>879</v>
      </c>
      <c r="F55" s="44" t="s">
        <v>880</v>
      </c>
      <c r="G55" s="44">
        <v>1</v>
      </c>
      <c r="H55" s="44">
        <v>1</v>
      </c>
      <c r="I55" s="44">
        <f t="shared" si="6"/>
        <v>0</v>
      </c>
      <c r="J55" s="43" t="s">
        <v>875</v>
      </c>
      <c r="K55" s="43"/>
    </row>
    <row r="56" spans="1:11" ht="19.2" customHeight="1">
      <c r="A56" s="43" t="s">
        <v>908</v>
      </c>
      <c r="B56" s="43" t="s">
        <v>909</v>
      </c>
      <c r="C56" s="44" t="s">
        <v>906</v>
      </c>
      <c r="D56" s="44">
        <v>200</v>
      </c>
      <c r="E56" s="44" t="s">
        <v>910</v>
      </c>
      <c r="F56" s="44" t="s">
        <v>911</v>
      </c>
      <c r="G56" s="44">
        <v>1</v>
      </c>
      <c r="H56" s="44">
        <v>1</v>
      </c>
      <c r="I56" s="44">
        <f t="shared" si="6"/>
        <v>0</v>
      </c>
      <c r="J56" s="43" t="s">
        <v>875</v>
      </c>
      <c r="K56" s="43"/>
    </row>
    <row r="57" spans="1:11" ht="19.2" customHeight="1">
      <c r="A57" s="43" t="s">
        <v>908</v>
      </c>
      <c r="B57" s="43" t="s">
        <v>909</v>
      </c>
      <c r="C57" s="44" t="s">
        <v>907</v>
      </c>
      <c r="D57" s="44">
        <v>200</v>
      </c>
      <c r="E57" s="44" t="s">
        <v>910</v>
      </c>
      <c r="F57" s="44" t="s">
        <v>911</v>
      </c>
      <c r="G57" s="44">
        <v>1</v>
      </c>
      <c r="H57" s="44">
        <v>1</v>
      </c>
      <c r="I57" s="44">
        <f t="shared" si="6"/>
        <v>0</v>
      </c>
      <c r="J57" s="43" t="s">
        <v>875</v>
      </c>
      <c r="K57" s="43"/>
    </row>
    <row r="58" spans="1:11" ht="19.2" customHeight="1">
      <c r="A58" s="43" t="s">
        <v>912</v>
      </c>
      <c r="B58" s="43" t="s">
        <v>913</v>
      </c>
      <c r="C58" s="44" t="s">
        <v>906</v>
      </c>
      <c r="D58" s="44">
        <v>300</v>
      </c>
      <c r="E58" s="44" t="s">
        <v>820</v>
      </c>
      <c r="F58" s="44" t="s">
        <v>914</v>
      </c>
      <c r="G58" s="44">
        <v>1</v>
      </c>
      <c r="H58" s="44">
        <v>0</v>
      </c>
      <c r="I58" s="44">
        <f t="shared" si="6"/>
        <v>300</v>
      </c>
      <c r="J58" s="43" t="s">
        <v>875</v>
      </c>
      <c r="K58" s="43" t="s">
        <v>915</v>
      </c>
    </row>
    <row r="59" spans="1:11" ht="19.2" customHeight="1">
      <c r="A59" s="43" t="s">
        <v>912</v>
      </c>
      <c r="B59" s="43" t="s">
        <v>913</v>
      </c>
      <c r="C59" s="44" t="s">
        <v>907</v>
      </c>
      <c r="D59" s="44">
        <v>300</v>
      </c>
      <c r="E59" s="44" t="s">
        <v>820</v>
      </c>
      <c r="F59" s="44" t="s">
        <v>914</v>
      </c>
      <c r="G59" s="44">
        <v>1</v>
      </c>
      <c r="H59" s="44">
        <v>0</v>
      </c>
      <c r="I59" s="44">
        <f t="shared" si="6"/>
        <v>300</v>
      </c>
      <c r="J59" s="43" t="s">
        <v>875</v>
      </c>
      <c r="K59" s="43" t="s">
        <v>915</v>
      </c>
    </row>
    <row r="60" spans="1:11" ht="15" customHeight="1">
      <c r="A60" s="43" t="s">
        <v>916</v>
      </c>
      <c r="B60" s="43" t="s">
        <v>917</v>
      </c>
      <c r="C60" s="44" t="s">
        <v>907</v>
      </c>
      <c r="D60" s="44">
        <v>200</v>
      </c>
      <c r="E60" s="44" t="s">
        <v>918</v>
      </c>
      <c r="F60" s="44" t="s">
        <v>919</v>
      </c>
      <c r="G60" s="44">
        <v>1</v>
      </c>
      <c r="H60" s="44">
        <v>1</v>
      </c>
      <c r="I60" s="44">
        <f t="shared" si="6"/>
        <v>0</v>
      </c>
      <c r="J60" s="43" t="s">
        <v>875</v>
      </c>
      <c r="K60" s="43"/>
    </row>
    <row r="61" spans="1:11" ht="19.2" customHeight="1">
      <c r="A61" s="43" t="s">
        <v>858</v>
      </c>
      <c r="B61" s="43" t="s">
        <v>920</v>
      </c>
      <c r="C61" s="44" t="s">
        <v>906</v>
      </c>
      <c r="D61" s="44">
        <v>2100</v>
      </c>
      <c r="E61" s="44" t="s">
        <v>820</v>
      </c>
      <c r="F61" s="44" t="s">
        <v>914</v>
      </c>
      <c r="G61" s="44">
        <v>1</v>
      </c>
      <c r="H61" s="44">
        <v>0</v>
      </c>
      <c r="I61" s="44">
        <f t="shared" si="6"/>
        <v>2100</v>
      </c>
      <c r="J61" s="43" t="s">
        <v>875</v>
      </c>
      <c r="K61" s="43" t="s">
        <v>915</v>
      </c>
    </row>
    <row r="62" spans="1:11" ht="19.2" customHeight="1">
      <c r="A62" s="43" t="s">
        <v>858</v>
      </c>
      <c r="B62" s="43" t="s">
        <v>920</v>
      </c>
      <c r="C62" s="44" t="s">
        <v>907</v>
      </c>
      <c r="D62" s="44">
        <v>2100</v>
      </c>
      <c r="E62" s="44" t="s">
        <v>820</v>
      </c>
      <c r="F62" s="44" t="s">
        <v>914</v>
      </c>
      <c r="G62" s="44">
        <v>1</v>
      </c>
      <c r="H62" s="44">
        <v>0</v>
      </c>
      <c r="I62" s="44">
        <f t="shared" si="6"/>
        <v>2100</v>
      </c>
      <c r="J62" s="43" t="s">
        <v>875</v>
      </c>
      <c r="K62" s="43" t="s">
        <v>915</v>
      </c>
    </row>
    <row r="63" spans="1:11" ht="15" customHeight="1">
      <c r="A63" s="43" t="s">
        <v>881</v>
      </c>
      <c r="B63" s="43" t="s">
        <v>882</v>
      </c>
      <c r="C63" s="44" t="s">
        <v>906</v>
      </c>
      <c r="D63" s="44">
        <v>600</v>
      </c>
      <c r="E63" s="44" t="s">
        <v>883</v>
      </c>
      <c r="F63" s="44" t="s">
        <v>884</v>
      </c>
      <c r="G63" s="44">
        <v>1</v>
      </c>
      <c r="H63" s="44">
        <v>1</v>
      </c>
      <c r="I63" s="44">
        <f t="shared" si="6"/>
        <v>0</v>
      </c>
      <c r="J63" s="43" t="s">
        <v>875</v>
      </c>
      <c r="K63" s="43"/>
    </row>
    <row r="64" spans="1:11" ht="15" customHeight="1">
      <c r="A64" s="43" t="s">
        <v>881</v>
      </c>
      <c r="B64" s="43" t="s">
        <v>882</v>
      </c>
      <c r="C64" s="44" t="s">
        <v>907</v>
      </c>
      <c r="D64" s="44">
        <v>600</v>
      </c>
      <c r="E64" s="44" t="s">
        <v>883</v>
      </c>
      <c r="F64" s="44" t="s">
        <v>884</v>
      </c>
      <c r="G64" s="44">
        <v>1</v>
      </c>
      <c r="H64" s="44">
        <v>1</v>
      </c>
      <c r="I64" s="44">
        <f t="shared" si="6"/>
        <v>0</v>
      </c>
      <c r="J64" s="43" t="s">
        <v>875</v>
      </c>
      <c r="K64" s="43"/>
    </row>
    <row r="65" spans="1:11" ht="15" customHeight="1">
      <c r="A65" s="43" t="s">
        <v>921</v>
      </c>
      <c r="B65" s="43" t="s">
        <v>922</v>
      </c>
      <c r="C65" s="44" t="s">
        <v>923</v>
      </c>
      <c r="D65" s="44">
        <v>1000</v>
      </c>
      <c r="E65" s="44" t="s">
        <v>874</v>
      </c>
      <c r="F65" s="44" t="s">
        <v>924</v>
      </c>
      <c r="G65" s="44">
        <v>1</v>
      </c>
      <c r="H65" s="44">
        <v>1</v>
      </c>
      <c r="I65" s="44">
        <f t="shared" si="6"/>
        <v>0</v>
      </c>
      <c r="J65" s="43" t="s">
        <v>875</v>
      </c>
      <c r="K65" s="43"/>
    </row>
    <row r="66" spans="1:11" ht="15" customHeight="1">
      <c r="A66" s="43" t="s">
        <v>921</v>
      </c>
      <c r="B66" s="43" t="s">
        <v>922</v>
      </c>
      <c r="C66" s="44" t="s">
        <v>925</v>
      </c>
      <c r="D66" s="44">
        <v>1000</v>
      </c>
      <c r="E66" s="44" t="s">
        <v>874</v>
      </c>
      <c r="F66" s="44" t="s">
        <v>924</v>
      </c>
      <c r="G66" s="44">
        <v>1</v>
      </c>
      <c r="H66" s="44">
        <v>1</v>
      </c>
      <c r="I66" s="44">
        <f t="shared" si="6"/>
        <v>0</v>
      </c>
      <c r="J66" s="43" t="s">
        <v>875</v>
      </c>
      <c r="K66" s="43"/>
    </row>
    <row r="67" spans="1:11" ht="19.2" customHeight="1">
      <c r="A67" s="43" t="s">
        <v>926</v>
      </c>
      <c r="B67" s="43" t="s">
        <v>927</v>
      </c>
      <c r="C67" s="44" t="s">
        <v>928</v>
      </c>
      <c r="D67" s="44">
        <v>300</v>
      </c>
      <c r="E67" s="44" t="s">
        <v>929</v>
      </c>
      <c r="F67" s="44" t="s">
        <v>930</v>
      </c>
      <c r="G67" s="44">
        <v>1</v>
      </c>
      <c r="H67" s="44">
        <v>1</v>
      </c>
      <c r="I67" s="44">
        <f t="shared" ref="I67:I83" si="7">IF(AND(G67=1,H67=0),D67,0)</f>
        <v>0</v>
      </c>
      <c r="J67" s="43" t="s">
        <v>875</v>
      </c>
      <c r="K67" s="43"/>
    </row>
    <row r="68" spans="1:11" ht="19.2" customHeight="1">
      <c r="A68" s="43" t="s">
        <v>926</v>
      </c>
      <c r="B68" s="43" t="s">
        <v>927</v>
      </c>
      <c r="C68" s="44" t="s">
        <v>931</v>
      </c>
      <c r="D68" s="44">
        <v>300</v>
      </c>
      <c r="E68" s="44" t="s">
        <v>929</v>
      </c>
      <c r="F68" s="44" t="s">
        <v>930</v>
      </c>
      <c r="G68" s="44">
        <v>1</v>
      </c>
      <c r="H68" s="44">
        <v>1</v>
      </c>
      <c r="I68" s="44">
        <f t="shared" si="7"/>
        <v>0</v>
      </c>
      <c r="J68" s="43" t="s">
        <v>875</v>
      </c>
      <c r="K68" s="43"/>
    </row>
    <row r="69" spans="1:11" ht="19.2" customHeight="1">
      <c r="A69" s="43" t="s">
        <v>908</v>
      </c>
      <c r="B69" s="43" t="s">
        <v>909</v>
      </c>
      <c r="C69" s="44" t="s">
        <v>931</v>
      </c>
      <c r="D69" s="44">
        <v>600</v>
      </c>
      <c r="E69" s="44" t="s">
        <v>910</v>
      </c>
      <c r="F69" s="44" t="s">
        <v>911</v>
      </c>
      <c r="G69" s="44">
        <v>1</v>
      </c>
      <c r="H69" s="44">
        <v>1</v>
      </c>
      <c r="I69" s="44">
        <f t="shared" si="7"/>
        <v>0</v>
      </c>
      <c r="J69" s="43" t="s">
        <v>875</v>
      </c>
      <c r="K69" s="43" t="s">
        <v>932</v>
      </c>
    </row>
    <row r="70" spans="1:11" ht="19.2" customHeight="1">
      <c r="A70" s="43" t="s">
        <v>858</v>
      </c>
      <c r="B70" s="43" t="s">
        <v>920</v>
      </c>
      <c r="C70" s="44" t="s">
        <v>928</v>
      </c>
      <c r="D70" s="44">
        <v>2100</v>
      </c>
      <c r="E70" s="44" t="s">
        <v>820</v>
      </c>
      <c r="F70" s="44" t="s">
        <v>914</v>
      </c>
      <c r="G70" s="44">
        <v>1</v>
      </c>
      <c r="H70" s="44">
        <v>0</v>
      </c>
      <c r="I70" s="44">
        <f t="shared" si="7"/>
        <v>2100</v>
      </c>
      <c r="J70" s="43" t="s">
        <v>875</v>
      </c>
      <c r="K70" s="43" t="s">
        <v>915</v>
      </c>
    </row>
    <row r="71" spans="1:11" ht="19.2" customHeight="1">
      <c r="A71" s="43" t="s">
        <v>858</v>
      </c>
      <c r="B71" s="43" t="s">
        <v>920</v>
      </c>
      <c r="C71" s="44" t="s">
        <v>931</v>
      </c>
      <c r="D71" s="44">
        <v>2100</v>
      </c>
      <c r="E71" s="44" t="s">
        <v>820</v>
      </c>
      <c r="F71" s="44" t="s">
        <v>914</v>
      </c>
      <c r="G71" s="44">
        <v>1</v>
      </c>
      <c r="H71" s="44">
        <v>0</v>
      </c>
      <c r="I71" s="44">
        <f t="shared" si="7"/>
        <v>2100</v>
      </c>
      <c r="J71" s="43" t="s">
        <v>875</v>
      </c>
      <c r="K71" s="43" t="s">
        <v>915</v>
      </c>
    </row>
    <row r="72" spans="1:11" ht="15" customHeight="1">
      <c r="A72" s="43" t="s">
        <v>933</v>
      </c>
      <c r="B72" s="43" t="s">
        <v>934</v>
      </c>
      <c r="C72" s="44" t="s">
        <v>935</v>
      </c>
      <c r="D72" s="44">
        <v>700</v>
      </c>
      <c r="E72" s="44" t="s">
        <v>903</v>
      </c>
      <c r="F72" s="44" t="s">
        <v>879</v>
      </c>
      <c r="G72" s="44">
        <v>1</v>
      </c>
      <c r="H72" s="44">
        <v>1</v>
      </c>
      <c r="I72" s="44">
        <f t="shared" si="7"/>
        <v>0</v>
      </c>
      <c r="J72" s="43" t="s">
        <v>875</v>
      </c>
      <c r="K72" s="43" t="s">
        <v>936</v>
      </c>
    </row>
    <row r="73" spans="1:11" ht="15" customHeight="1">
      <c r="A73" s="43" t="s">
        <v>933</v>
      </c>
      <c r="B73" s="43" t="s">
        <v>934</v>
      </c>
      <c r="C73" s="44" t="s">
        <v>937</v>
      </c>
      <c r="D73" s="44">
        <v>500</v>
      </c>
      <c r="E73" s="44" t="s">
        <v>903</v>
      </c>
      <c r="F73" s="44" t="s">
        <v>879</v>
      </c>
      <c r="G73" s="44">
        <v>1</v>
      </c>
      <c r="H73" s="44">
        <v>1</v>
      </c>
      <c r="I73" s="44">
        <f t="shared" si="7"/>
        <v>0</v>
      </c>
      <c r="J73" s="43" t="s">
        <v>875</v>
      </c>
      <c r="K73" s="43" t="s">
        <v>936</v>
      </c>
    </row>
    <row r="74" spans="1:11" ht="19.2" customHeight="1">
      <c r="A74" s="43" t="s">
        <v>858</v>
      </c>
      <c r="B74" s="43" t="s">
        <v>920</v>
      </c>
      <c r="C74" s="44" t="s">
        <v>935</v>
      </c>
      <c r="D74" s="44">
        <v>2100</v>
      </c>
      <c r="E74" s="44" t="s">
        <v>820</v>
      </c>
      <c r="F74" s="44" t="s">
        <v>914</v>
      </c>
      <c r="G74" s="44">
        <v>1</v>
      </c>
      <c r="H74" s="44">
        <v>0</v>
      </c>
      <c r="I74" s="44">
        <f t="shared" si="7"/>
        <v>2100</v>
      </c>
      <c r="J74" s="43" t="s">
        <v>875</v>
      </c>
      <c r="K74" s="43" t="s">
        <v>915</v>
      </c>
    </row>
    <row r="75" spans="1:11" ht="19.2" customHeight="1">
      <c r="A75" s="43" t="s">
        <v>858</v>
      </c>
      <c r="B75" s="43" t="s">
        <v>920</v>
      </c>
      <c r="C75" s="44" t="s">
        <v>937</v>
      </c>
      <c r="D75" s="44">
        <v>2100</v>
      </c>
      <c r="E75" s="44" t="s">
        <v>820</v>
      </c>
      <c r="F75" s="44" t="s">
        <v>914</v>
      </c>
      <c r="G75" s="44">
        <v>1</v>
      </c>
      <c r="H75" s="44">
        <v>0</v>
      </c>
      <c r="I75" s="44">
        <f t="shared" si="7"/>
        <v>2100</v>
      </c>
      <c r="J75" s="43" t="s">
        <v>875</v>
      </c>
      <c r="K75" s="43" t="s">
        <v>915</v>
      </c>
    </row>
    <row r="76" spans="1:11" ht="15" customHeight="1">
      <c r="A76" s="43" t="s">
        <v>938</v>
      </c>
      <c r="B76" s="43" t="s">
        <v>939</v>
      </c>
      <c r="C76" s="44" t="s">
        <v>940</v>
      </c>
      <c r="D76" s="44">
        <v>100</v>
      </c>
      <c r="E76" s="44" t="s">
        <v>879</v>
      </c>
      <c r="F76" s="44" t="s">
        <v>880</v>
      </c>
      <c r="G76" s="44">
        <v>1</v>
      </c>
      <c r="H76" s="44">
        <v>1</v>
      </c>
      <c r="I76" s="44">
        <f t="shared" si="7"/>
        <v>0</v>
      </c>
      <c r="J76" s="43" t="s">
        <v>875</v>
      </c>
      <c r="K76" s="43" t="s">
        <v>941</v>
      </c>
    </row>
    <row r="77" spans="1:11" ht="15" customHeight="1">
      <c r="A77" s="43" t="s">
        <v>938</v>
      </c>
      <c r="B77" s="43" t="s">
        <v>939</v>
      </c>
      <c r="C77" s="44" t="s">
        <v>942</v>
      </c>
      <c r="D77" s="44">
        <v>100</v>
      </c>
      <c r="E77" s="44" t="s">
        <v>879</v>
      </c>
      <c r="F77" s="44" t="s">
        <v>880</v>
      </c>
      <c r="G77" s="44">
        <v>1</v>
      </c>
      <c r="H77" s="44">
        <v>1</v>
      </c>
      <c r="I77" s="44">
        <f t="shared" si="7"/>
        <v>0</v>
      </c>
      <c r="J77" s="43" t="s">
        <v>875</v>
      </c>
      <c r="K77" s="43" t="s">
        <v>941</v>
      </c>
    </row>
    <row r="78" spans="1:11" ht="15" customHeight="1">
      <c r="A78" s="43" t="s">
        <v>859</v>
      </c>
      <c r="B78" s="43" t="s">
        <v>943</v>
      </c>
      <c r="C78" s="44" t="s">
        <v>944</v>
      </c>
      <c r="D78" s="44">
        <v>1000</v>
      </c>
      <c r="E78" s="44" t="s">
        <v>820</v>
      </c>
      <c r="F78" s="44" t="s">
        <v>914</v>
      </c>
      <c r="G78" s="44">
        <v>1</v>
      </c>
      <c r="H78" s="44">
        <v>0</v>
      </c>
      <c r="I78" s="44">
        <f t="shared" si="7"/>
        <v>1000</v>
      </c>
      <c r="J78" s="43" t="s">
        <v>875</v>
      </c>
      <c r="K78" s="43" t="s">
        <v>915</v>
      </c>
    </row>
    <row r="79" spans="1:11" ht="15" customHeight="1">
      <c r="A79" s="43" t="s">
        <v>859</v>
      </c>
      <c r="B79" s="43" t="s">
        <v>943</v>
      </c>
      <c r="C79" s="44" t="s">
        <v>945</v>
      </c>
      <c r="D79" s="44">
        <v>1000</v>
      </c>
      <c r="E79" s="44" t="s">
        <v>820</v>
      </c>
      <c r="F79" s="44" t="s">
        <v>914</v>
      </c>
      <c r="G79" s="44">
        <v>1</v>
      </c>
      <c r="H79" s="44">
        <v>0</v>
      </c>
      <c r="I79" s="44">
        <f t="shared" si="7"/>
        <v>1000</v>
      </c>
      <c r="J79" s="43" t="s">
        <v>875</v>
      </c>
      <c r="K79" s="43" t="s">
        <v>915</v>
      </c>
    </row>
    <row r="80" spans="1:11" ht="15" customHeight="1">
      <c r="A80" s="43" t="s">
        <v>946</v>
      </c>
      <c r="B80" s="43" t="s">
        <v>947</v>
      </c>
      <c r="C80" s="44" t="s">
        <v>948</v>
      </c>
      <c r="D80" s="44">
        <v>1000</v>
      </c>
      <c r="E80" s="44" t="s">
        <v>903</v>
      </c>
      <c r="F80" s="44" t="s">
        <v>879</v>
      </c>
      <c r="G80" s="44">
        <v>1</v>
      </c>
      <c r="H80" s="44">
        <v>1</v>
      </c>
      <c r="I80" s="44">
        <f t="shared" si="7"/>
        <v>0</v>
      </c>
      <c r="J80" s="43" t="s">
        <v>875</v>
      </c>
      <c r="K80" s="43"/>
    </row>
    <row r="81" spans="1:11" ht="15" customHeight="1">
      <c r="A81" s="43" t="s">
        <v>946</v>
      </c>
      <c r="B81" s="43" t="s">
        <v>947</v>
      </c>
      <c r="C81" s="44" t="s">
        <v>949</v>
      </c>
      <c r="D81" s="44">
        <v>1000</v>
      </c>
      <c r="E81" s="44" t="s">
        <v>903</v>
      </c>
      <c r="F81" s="44" t="s">
        <v>879</v>
      </c>
      <c r="G81" s="44">
        <v>1</v>
      </c>
      <c r="H81" s="44">
        <v>1</v>
      </c>
      <c r="I81" s="44">
        <f t="shared" si="7"/>
        <v>0</v>
      </c>
      <c r="J81" s="43" t="s">
        <v>875</v>
      </c>
      <c r="K81" s="43"/>
    </row>
    <row r="82" spans="1:11" ht="15" customHeight="1">
      <c r="A82" s="43" t="s">
        <v>891</v>
      </c>
      <c r="B82" s="43" t="s">
        <v>892</v>
      </c>
      <c r="C82" s="44" t="s">
        <v>950</v>
      </c>
      <c r="D82" s="44">
        <v>2100</v>
      </c>
      <c r="E82" s="44" t="s">
        <v>883</v>
      </c>
      <c r="F82" s="44" t="s">
        <v>884</v>
      </c>
      <c r="G82" s="44">
        <v>1</v>
      </c>
      <c r="H82" s="44">
        <v>1</v>
      </c>
      <c r="I82" s="44">
        <f t="shared" si="7"/>
        <v>0</v>
      </c>
      <c r="J82" s="43" t="s">
        <v>875</v>
      </c>
      <c r="K82" s="43"/>
    </row>
    <row r="83" spans="1:11" ht="15" customHeight="1">
      <c r="A83" s="43" t="s">
        <v>891</v>
      </c>
      <c r="B83" s="43" t="s">
        <v>892</v>
      </c>
      <c r="C83" s="44" t="s">
        <v>951</v>
      </c>
      <c r="D83" s="44">
        <v>2100</v>
      </c>
      <c r="E83" s="44" t="s">
        <v>883</v>
      </c>
      <c r="F83" s="44" t="s">
        <v>884</v>
      </c>
      <c r="G83" s="44">
        <v>1</v>
      </c>
      <c r="H83" s="44">
        <v>1</v>
      </c>
      <c r="I83" s="44">
        <f t="shared" si="7"/>
        <v>0</v>
      </c>
      <c r="J83" s="43" t="s">
        <v>875</v>
      </c>
      <c r="K83" s="43"/>
    </row>
  </sheetData>
  <mergeCells count="3">
    <mergeCell ref="A1:L1"/>
    <mergeCell ref="A2:L2"/>
    <mergeCell ref="A31:K31"/>
  </mergeCells>
  <conditionalFormatting sqref="A35:K83">
    <cfRule type="expression" dxfId="0" priority="1">
      <formula>$I35&gt;0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2"/>
  <sheetViews>
    <sheetView showGridLines="0" workbookViewId="0">
      <selection activeCell="G23" sqref="G23"/>
    </sheetView>
  </sheetViews>
  <sheetFormatPr defaultRowHeight="14.4"/>
  <cols>
    <col min="1" max="1" width="15" style="1" customWidth="1"/>
    <col min="2" max="2" width="16" style="1" customWidth="1"/>
    <col min="3" max="8" width="14" style="1" customWidth="1"/>
    <col min="9" max="9" width="36" style="1" customWidth="1"/>
    <col min="10" max="10" width="25" style="1" customWidth="1"/>
    <col min="11" max="11" width="14" style="1" customWidth="1"/>
    <col min="12" max="12" width="12" style="1" customWidth="1"/>
    <col min="13" max="13" width="16" style="1" customWidth="1"/>
    <col min="14" max="14" width="11" style="1" customWidth="1"/>
    <col min="15" max="15" width="17" style="1" customWidth="1"/>
    <col min="16" max="17" width="26" style="1" customWidth="1"/>
    <col min="18" max="16384" width="8.796875" style="1"/>
  </cols>
  <sheetData>
    <row r="1" spans="1:17" ht="19.2" customHeight="1">
      <c r="A1" s="54" t="s">
        <v>952</v>
      </c>
      <c r="B1" s="54" t="s">
        <v>952</v>
      </c>
      <c r="C1" s="54" t="s">
        <v>952</v>
      </c>
      <c r="D1" s="54" t="s">
        <v>952</v>
      </c>
      <c r="E1" s="54" t="s">
        <v>952</v>
      </c>
      <c r="F1" s="54" t="s">
        <v>952</v>
      </c>
      <c r="G1" s="54" t="s">
        <v>952</v>
      </c>
      <c r="H1" s="54" t="s">
        <v>952</v>
      </c>
      <c r="I1" s="54" t="s">
        <v>952</v>
      </c>
      <c r="J1" s="54" t="s">
        <v>952</v>
      </c>
      <c r="K1" s="54" t="s">
        <v>952</v>
      </c>
      <c r="L1" s="54" t="s">
        <v>952</v>
      </c>
      <c r="M1" s="54" t="s">
        <v>952</v>
      </c>
      <c r="N1" s="54" t="s">
        <v>952</v>
      </c>
      <c r="O1" s="54" t="s">
        <v>952</v>
      </c>
      <c r="P1" s="54" t="s">
        <v>952</v>
      </c>
      <c r="Q1" s="54" t="s">
        <v>952</v>
      </c>
    </row>
    <row r="2" spans="1:17" ht="15" customHeight="1">
      <c r="A2" s="55" t="s">
        <v>953</v>
      </c>
      <c r="B2" s="55" t="s">
        <v>953</v>
      </c>
      <c r="C2" s="55" t="s">
        <v>953</v>
      </c>
      <c r="D2" s="55" t="s">
        <v>953</v>
      </c>
      <c r="E2" s="55" t="s">
        <v>953</v>
      </c>
      <c r="F2" s="55" t="s">
        <v>953</v>
      </c>
      <c r="G2" s="55" t="s">
        <v>953</v>
      </c>
      <c r="H2" s="55" t="s">
        <v>953</v>
      </c>
      <c r="I2" s="55" t="s">
        <v>953</v>
      </c>
      <c r="J2" s="55" t="s">
        <v>953</v>
      </c>
      <c r="K2" s="55" t="s">
        <v>953</v>
      </c>
      <c r="L2" s="55" t="s">
        <v>953</v>
      </c>
      <c r="M2" s="55" t="s">
        <v>953</v>
      </c>
      <c r="N2" s="55" t="s">
        <v>953</v>
      </c>
      <c r="O2" s="55" t="s">
        <v>953</v>
      </c>
      <c r="P2" s="55" t="s">
        <v>953</v>
      </c>
      <c r="Q2" s="55" t="s">
        <v>953</v>
      </c>
    </row>
    <row r="4" spans="1:17" ht="15" customHeight="1">
      <c r="A4" s="2" t="s">
        <v>954</v>
      </c>
      <c r="B4" s="2" t="s">
        <v>955</v>
      </c>
      <c r="C4" s="2" t="s">
        <v>844</v>
      </c>
      <c r="D4" s="2" t="s">
        <v>845</v>
      </c>
      <c r="E4" s="2" t="s">
        <v>846</v>
      </c>
      <c r="F4" s="2" t="s">
        <v>847</v>
      </c>
      <c r="G4" s="2" t="s">
        <v>848</v>
      </c>
      <c r="H4" s="2" t="s">
        <v>849</v>
      </c>
      <c r="I4" s="2" t="s">
        <v>763</v>
      </c>
      <c r="J4" s="2" t="s">
        <v>762</v>
      </c>
    </row>
    <row r="5" spans="1:17" ht="21.6" customHeight="1">
      <c r="A5" s="3" t="s">
        <v>364</v>
      </c>
      <c r="B5" s="3" t="s">
        <v>956</v>
      </c>
      <c r="C5" s="40">
        <f t="shared" ref="C5:C20" si="0">D5</f>
        <v>4500</v>
      </c>
      <c r="D5" s="40">
        <v>4500</v>
      </c>
      <c r="E5" s="40">
        <f t="shared" ref="E5:E20" si="1">D5</f>
        <v>4500</v>
      </c>
      <c r="F5" s="40">
        <f t="shared" ref="F5:F20" si="2">C5</f>
        <v>4500</v>
      </c>
      <c r="G5" s="40">
        <f t="shared" ref="G5:G20" si="3">D5</f>
        <v>4500</v>
      </c>
      <c r="H5" s="40">
        <f t="shared" ref="H5:H20" si="4">G5</f>
        <v>4500</v>
      </c>
      <c r="I5" s="3" t="s">
        <v>957</v>
      </c>
      <c r="J5" s="3" t="s">
        <v>958</v>
      </c>
    </row>
    <row r="6" spans="1:17" ht="21.6" customHeight="1">
      <c r="A6" s="3" t="s">
        <v>364</v>
      </c>
      <c r="B6" s="3" t="s">
        <v>959</v>
      </c>
      <c r="C6" s="40">
        <f t="shared" si="0"/>
        <v>2200</v>
      </c>
      <c r="D6" s="40">
        <v>2200</v>
      </c>
      <c r="E6" s="40">
        <f t="shared" si="1"/>
        <v>2200</v>
      </c>
      <c r="F6" s="40">
        <f t="shared" si="2"/>
        <v>2200</v>
      </c>
      <c r="G6" s="40">
        <f t="shared" si="3"/>
        <v>2200</v>
      </c>
      <c r="H6" s="40">
        <f t="shared" si="4"/>
        <v>2200</v>
      </c>
      <c r="I6" s="3" t="s">
        <v>957</v>
      </c>
      <c r="J6" s="3" t="s">
        <v>958</v>
      </c>
    </row>
    <row r="7" spans="1:17" ht="21.6" customHeight="1">
      <c r="A7" s="3" t="s">
        <v>702</v>
      </c>
      <c r="B7" s="3" t="s">
        <v>960</v>
      </c>
      <c r="C7" s="40">
        <f t="shared" si="0"/>
        <v>4600</v>
      </c>
      <c r="D7" s="40">
        <v>4600</v>
      </c>
      <c r="E7" s="40">
        <f t="shared" si="1"/>
        <v>4600</v>
      </c>
      <c r="F7" s="40">
        <f t="shared" si="2"/>
        <v>4600</v>
      </c>
      <c r="G7" s="40">
        <f t="shared" si="3"/>
        <v>4600</v>
      </c>
      <c r="H7" s="40">
        <f t="shared" si="4"/>
        <v>4600</v>
      </c>
      <c r="I7" s="3" t="s">
        <v>957</v>
      </c>
      <c r="J7" s="3" t="s">
        <v>958</v>
      </c>
    </row>
    <row r="8" spans="1:17" ht="21.6" customHeight="1">
      <c r="A8" s="3" t="s">
        <v>702</v>
      </c>
      <c r="B8" s="3" t="s">
        <v>961</v>
      </c>
      <c r="C8" s="40">
        <f t="shared" si="0"/>
        <v>1900</v>
      </c>
      <c r="D8" s="40">
        <v>1900</v>
      </c>
      <c r="E8" s="40">
        <f t="shared" si="1"/>
        <v>1900</v>
      </c>
      <c r="F8" s="40">
        <f t="shared" si="2"/>
        <v>1900</v>
      </c>
      <c r="G8" s="40">
        <f t="shared" si="3"/>
        <v>1900</v>
      </c>
      <c r="H8" s="40">
        <f t="shared" si="4"/>
        <v>1900</v>
      </c>
      <c r="I8" s="3" t="s">
        <v>957</v>
      </c>
      <c r="J8" s="3" t="s">
        <v>958</v>
      </c>
    </row>
    <row r="9" spans="1:17" ht="21.6" customHeight="1">
      <c r="A9" s="3" t="s">
        <v>705</v>
      </c>
      <c r="B9" s="3" t="s">
        <v>962</v>
      </c>
      <c r="C9" s="40">
        <f t="shared" si="0"/>
        <v>700</v>
      </c>
      <c r="D9" s="40">
        <v>700</v>
      </c>
      <c r="E9" s="40">
        <f t="shared" si="1"/>
        <v>700</v>
      </c>
      <c r="F9" s="40">
        <f t="shared" si="2"/>
        <v>700</v>
      </c>
      <c r="G9" s="40">
        <f t="shared" si="3"/>
        <v>700</v>
      </c>
      <c r="H9" s="40">
        <f t="shared" si="4"/>
        <v>700</v>
      </c>
      <c r="I9" s="3" t="s">
        <v>957</v>
      </c>
      <c r="J9" s="3" t="s">
        <v>958</v>
      </c>
    </row>
    <row r="10" spans="1:17" ht="21.6" customHeight="1">
      <c r="A10" s="3" t="s">
        <v>705</v>
      </c>
      <c r="B10" s="3" t="s">
        <v>963</v>
      </c>
      <c r="C10" s="40">
        <f t="shared" si="0"/>
        <v>300</v>
      </c>
      <c r="D10" s="40">
        <v>300</v>
      </c>
      <c r="E10" s="40">
        <f t="shared" si="1"/>
        <v>300</v>
      </c>
      <c r="F10" s="40">
        <f t="shared" si="2"/>
        <v>300</v>
      </c>
      <c r="G10" s="40">
        <f t="shared" si="3"/>
        <v>300</v>
      </c>
      <c r="H10" s="40">
        <f t="shared" si="4"/>
        <v>300</v>
      </c>
      <c r="I10" s="3" t="s">
        <v>957</v>
      </c>
      <c r="J10" s="3" t="s">
        <v>958</v>
      </c>
    </row>
    <row r="11" spans="1:17" ht="21.6" customHeight="1">
      <c r="A11" s="3" t="s">
        <v>708</v>
      </c>
      <c r="B11" s="3" t="s">
        <v>964</v>
      </c>
      <c r="C11" s="40">
        <f t="shared" si="0"/>
        <v>1100</v>
      </c>
      <c r="D11" s="40">
        <v>1100</v>
      </c>
      <c r="E11" s="40">
        <f t="shared" si="1"/>
        <v>1100</v>
      </c>
      <c r="F11" s="40">
        <f t="shared" si="2"/>
        <v>1100</v>
      </c>
      <c r="G11" s="40">
        <f t="shared" si="3"/>
        <v>1100</v>
      </c>
      <c r="H11" s="40">
        <f t="shared" si="4"/>
        <v>1100</v>
      </c>
      <c r="I11" s="3" t="s">
        <v>957</v>
      </c>
      <c r="J11" s="3" t="s">
        <v>958</v>
      </c>
    </row>
    <row r="12" spans="1:17" ht="21.6" customHeight="1">
      <c r="A12" s="3" t="s">
        <v>708</v>
      </c>
      <c r="B12" s="3" t="s">
        <v>965</v>
      </c>
      <c r="C12" s="40">
        <f t="shared" si="0"/>
        <v>1200</v>
      </c>
      <c r="D12" s="40">
        <v>1200</v>
      </c>
      <c r="E12" s="40">
        <f t="shared" si="1"/>
        <v>1200</v>
      </c>
      <c r="F12" s="40">
        <f t="shared" si="2"/>
        <v>1200</v>
      </c>
      <c r="G12" s="40">
        <f t="shared" si="3"/>
        <v>1200</v>
      </c>
      <c r="H12" s="40">
        <f t="shared" si="4"/>
        <v>1200</v>
      </c>
      <c r="I12" s="3" t="s">
        <v>957</v>
      </c>
      <c r="J12" s="3" t="s">
        <v>958</v>
      </c>
    </row>
    <row r="13" spans="1:17" ht="21.6" customHeight="1">
      <c r="A13" s="3" t="s">
        <v>711</v>
      </c>
      <c r="B13" s="3" t="s">
        <v>966</v>
      </c>
      <c r="C13" s="40">
        <f t="shared" si="0"/>
        <v>600</v>
      </c>
      <c r="D13" s="40">
        <v>600</v>
      </c>
      <c r="E13" s="40">
        <f t="shared" si="1"/>
        <v>600</v>
      </c>
      <c r="F13" s="40">
        <f t="shared" si="2"/>
        <v>600</v>
      </c>
      <c r="G13" s="40">
        <f t="shared" si="3"/>
        <v>600</v>
      </c>
      <c r="H13" s="40">
        <f t="shared" si="4"/>
        <v>600</v>
      </c>
      <c r="I13" s="3" t="s">
        <v>957</v>
      </c>
      <c r="J13" s="3" t="s">
        <v>958</v>
      </c>
    </row>
    <row r="14" spans="1:17" ht="21.6" customHeight="1">
      <c r="A14" s="3" t="s">
        <v>711</v>
      </c>
      <c r="B14" s="3" t="s">
        <v>967</v>
      </c>
      <c r="C14" s="40">
        <f t="shared" si="0"/>
        <v>600</v>
      </c>
      <c r="D14" s="40">
        <v>600</v>
      </c>
      <c r="E14" s="40">
        <f t="shared" si="1"/>
        <v>600</v>
      </c>
      <c r="F14" s="40">
        <f t="shared" si="2"/>
        <v>600</v>
      </c>
      <c r="G14" s="40">
        <f t="shared" si="3"/>
        <v>600</v>
      </c>
      <c r="H14" s="40">
        <f t="shared" si="4"/>
        <v>600</v>
      </c>
      <c r="I14" s="3" t="s">
        <v>957</v>
      </c>
      <c r="J14" s="3" t="s">
        <v>958</v>
      </c>
    </row>
    <row r="15" spans="1:17" ht="21.6" customHeight="1">
      <c r="A15" s="3" t="s">
        <v>714</v>
      </c>
      <c r="B15" s="3" t="s">
        <v>968</v>
      </c>
      <c r="C15" s="40">
        <f t="shared" si="0"/>
        <v>500</v>
      </c>
      <c r="D15" s="40">
        <v>500</v>
      </c>
      <c r="E15" s="40">
        <f t="shared" si="1"/>
        <v>500</v>
      </c>
      <c r="F15" s="40">
        <f t="shared" si="2"/>
        <v>500</v>
      </c>
      <c r="G15" s="40">
        <f t="shared" si="3"/>
        <v>500</v>
      </c>
      <c r="H15" s="40">
        <f t="shared" si="4"/>
        <v>500</v>
      </c>
      <c r="I15" s="3" t="s">
        <v>957</v>
      </c>
      <c r="J15" s="3" t="s">
        <v>958</v>
      </c>
    </row>
    <row r="16" spans="1:17" ht="21.6" customHeight="1">
      <c r="A16" s="3" t="s">
        <v>714</v>
      </c>
      <c r="B16" s="3" t="s">
        <v>969</v>
      </c>
      <c r="C16" s="40">
        <f t="shared" si="0"/>
        <v>500</v>
      </c>
      <c r="D16" s="40">
        <v>500</v>
      </c>
      <c r="E16" s="40">
        <f t="shared" si="1"/>
        <v>500</v>
      </c>
      <c r="F16" s="40">
        <f t="shared" si="2"/>
        <v>500</v>
      </c>
      <c r="G16" s="40">
        <f t="shared" si="3"/>
        <v>500</v>
      </c>
      <c r="H16" s="40">
        <f t="shared" si="4"/>
        <v>500</v>
      </c>
      <c r="I16" s="3" t="s">
        <v>957</v>
      </c>
      <c r="J16" s="3" t="s">
        <v>958</v>
      </c>
    </row>
    <row r="17" spans="1:17" ht="21.6" customHeight="1">
      <c r="A17" s="3" t="s">
        <v>717</v>
      </c>
      <c r="B17" s="3" t="s">
        <v>970</v>
      </c>
      <c r="C17" s="40">
        <f t="shared" si="0"/>
        <v>600</v>
      </c>
      <c r="D17" s="40">
        <v>600</v>
      </c>
      <c r="E17" s="40">
        <f t="shared" si="1"/>
        <v>600</v>
      </c>
      <c r="F17" s="40">
        <f t="shared" si="2"/>
        <v>600</v>
      </c>
      <c r="G17" s="40">
        <f t="shared" si="3"/>
        <v>600</v>
      </c>
      <c r="H17" s="40">
        <f t="shared" si="4"/>
        <v>600</v>
      </c>
      <c r="I17" s="3" t="s">
        <v>957</v>
      </c>
      <c r="J17" s="3" t="s">
        <v>958</v>
      </c>
    </row>
    <row r="18" spans="1:17" ht="21.6" customHeight="1">
      <c r="A18" s="3" t="s">
        <v>717</v>
      </c>
      <c r="B18" s="3" t="s">
        <v>971</v>
      </c>
      <c r="C18" s="40">
        <f t="shared" si="0"/>
        <v>600</v>
      </c>
      <c r="D18" s="40">
        <v>600</v>
      </c>
      <c r="E18" s="40">
        <f t="shared" si="1"/>
        <v>600</v>
      </c>
      <c r="F18" s="40">
        <f t="shared" si="2"/>
        <v>600</v>
      </c>
      <c r="G18" s="40">
        <f t="shared" si="3"/>
        <v>600</v>
      </c>
      <c r="H18" s="40">
        <f t="shared" si="4"/>
        <v>600</v>
      </c>
      <c r="I18" s="3" t="s">
        <v>957</v>
      </c>
      <c r="J18" s="3" t="s">
        <v>958</v>
      </c>
    </row>
    <row r="19" spans="1:17" ht="21.6" customHeight="1">
      <c r="A19" s="3" t="s">
        <v>695</v>
      </c>
      <c r="B19" s="3" t="s">
        <v>972</v>
      </c>
      <c r="C19" s="40">
        <f t="shared" si="0"/>
        <v>200</v>
      </c>
      <c r="D19" s="40">
        <v>200</v>
      </c>
      <c r="E19" s="40">
        <f t="shared" si="1"/>
        <v>200</v>
      </c>
      <c r="F19" s="40">
        <f t="shared" si="2"/>
        <v>200</v>
      </c>
      <c r="G19" s="40">
        <f t="shared" si="3"/>
        <v>200</v>
      </c>
      <c r="H19" s="40">
        <f t="shared" si="4"/>
        <v>200</v>
      </c>
      <c r="I19" s="3" t="s">
        <v>957</v>
      </c>
      <c r="J19" s="3" t="s">
        <v>958</v>
      </c>
    </row>
    <row r="20" spans="1:17" ht="21.6" customHeight="1">
      <c r="A20" s="3" t="s">
        <v>695</v>
      </c>
      <c r="B20" s="3" t="s">
        <v>973</v>
      </c>
      <c r="C20" s="40">
        <f t="shared" si="0"/>
        <v>200</v>
      </c>
      <c r="D20" s="40">
        <v>200</v>
      </c>
      <c r="E20" s="40">
        <f t="shared" si="1"/>
        <v>200</v>
      </c>
      <c r="F20" s="40">
        <f t="shared" si="2"/>
        <v>200</v>
      </c>
      <c r="G20" s="40">
        <f t="shared" si="3"/>
        <v>200</v>
      </c>
      <c r="H20" s="40">
        <f t="shared" si="4"/>
        <v>200</v>
      </c>
      <c r="I20" s="3" t="s">
        <v>957</v>
      </c>
      <c r="J20" s="3" t="s">
        <v>958</v>
      </c>
    </row>
    <row r="21" spans="1:17" ht="15" customHeight="1">
      <c r="C21" s="41"/>
      <c r="D21" s="41"/>
      <c r="E21" s="41"/>
      <c r="F21" s="41"/>
      <c r="G21" s="41"/>
      <c r="H21" s="41"/>
    </row>
    <row r="22" spans="1:17" ht="15" customHeight="1">
      <c r="C22" s="41"/>
      <c r="D22" s="41"/>
      <c r="E22" s="41"/>
      <c r="F22" s="41"/>
      <c r="G22" s="41"/>
      <c r="H22" s="41"/>
    </row>
    <row r="23" spans="1:17" ht="15" customHeight="1">
      <c r="C23" s="41"/>
      <c r="D23" s="41"/>
      <c r="E23" s="41"/>
      <c r="F23" s="41"/>
      <c r="G23" s="41"/>
      <c r="H23" s="41"/>
    </row>
    <row r="24" spans="1:17" ht="15" customHeight="1">
      <c r="A24" s="59" t="s">
        <v>974</v>
      </c>
      <c r="B24" s="59" t="s">
        <v>974</v>
      </c>
      <c r="C24" s="65" t="s">
        <v>974</v>
      </c>
      <c r="D24" s="65" t="s">
        <v>974</v>
      </c>
      <c r="E24" s="65" t="s">
        <v>974</v>
      </c>
      <c r="F24" s="65" t="s">
        <v>974</v>
      </c>
      <c r="G24" s="65" t="s">
        <v>974</v>
      </c>
      <c r="H24" s="65" t="s">
        <v>974</v>
      </c>
      <c r="I24" s="59" t="s">
        <v>974</v>
      </c>
      <c r="J24" s="59" t="s">
        <v>974</v>
      </c>
      <c r="K24" s="59" t="s">
        <v>974</v>
      </c>
      <c r="L24" s="59" t="s">
        <v>974</v>
      </c>
      <c r="M24" s="59" t="s">
        <v>974</v>
      </c>
      <c r="N24" s="59" t="s">
        <v>974</v>
      </c>
      <c r="O24" s="59" t="s">
        <v>974</v>
      </c>
      <c r="P24" s="59" t="s">
        <v>974</v>
      </c>
      <c r="Q24" s="59" t="s">
        <v>974</v>
      </c>
    </row>
    <row r="25" spans="1:17" ht="15" customHeight="1">
      <c r="C25" s="41"/>
      <c r="D25" s="41"/>
      <c r="E25" s="41"/>
      <c r="F25" s="41"/>
      <c r="G25" s="41"/>
      <c r="H25" s="41"/>
    </row>
    <row r="26" spans="1:17" ht="15" customHeight="1">
      <c r="A26" s="2" t="s">
        <v>861</v>
      </c>
      <c r="B26" s="2" t="s">
        <v>862</v>
      </c>
      <c r="C26" s="42" t="s">
        <v>975</v>
      </c>
      <c r="D26" s="42" t="s">
        <v>955</v>
      </c>
      <c r="E26" s="42" t="s">
        <v>864</v>
      </c>
      <c r="F26" s="42" t="s">
        <v>865</v>
      </c>
      <c r="G26" s="42" t="s">
        <v>866</v>
      </c>
      <c r="H26" s="42" t="s">
        <v>976</v>
      </c>
      <c r="I26" s="2" t="s">
        <v>977</v>
      </c>
      <c r="J26" s="2" t="s">
        <v>978</v>
      </c>
      <c r="K26" s="2" t="s">
        <v>979</v>
      </c>
      <c r="L26" s="2" t="s">
        <v>980</v>
      </c>
      <c r="M26" s="2" t="s">
        <v>762</v>
      </c>
      <c r="N26" s="2" t="s">
        <v>981</v>
      </c>
      <c r="O26" s="2" t="s">
        <v>552</v>
      </c>
      <c r="P26" s="2" t="s">
        <v>982</v>
      </c>
      <c r="Q26" s="2" t="s">
        <v>853</v>
      </c>
    </row>
    <row r="27" spans="1:17" ht="15" customHeight="1">
      <c r="A27" s="43" t="s">
        <v>983</v>
      </c>
      <c r="B27" s="43" t="s">
        <v>984</v>
      </c>
      <c r="C27" s="44" t="s">
        <v>703</v>
      </c>
      <c r="D27" s="44" t="s">
        <v>985</v>
      </c>
      <c r="E27" s="44">
        <v>1000</v>
      </c>
      <c r="F27" s="44" t="s">
        <v>986</v>
      </c>
      <c r="G27" s="44" t="s">
        <v>987</v>
      </c>
      <c r="H27" s="44" t="s">
        <v>988</v>
      </c>
      <c r="I27" s="43" t="s">
        <v>989</v>
      </c>
      <c r="J27" s="43">
        <v>0</v>
      </c>
      <c r="K27" s="43">
        <v>0</v>
      </c>
      <c r="L27" s="43" t="s">
        <v>990</v>
      </c>
      <c r="M27" s="43" t="s">
        <v>875</v>
      </c>
      <c r="N27" s="43" t="s">
        <v>991</v>
      </c>
      <c r="O27" s="43" t="s">
        <v>992</v>
      </c>
      <c r="P27" s="43" t="s">
        <v>993</v>
      </c>
      <c r="Q27" s="43" t="s">
        <v>994</v>
      </c>
    </row>
    <row r="28" spans="1:17" ht="15" customHeight="1">
      <c r="A28" s="43" t="s">
        <v>995</v>
      </c>
      <c r="B28" s="43" t="s">
        <v>996</v>
      </c>
      <c r="C28" s="44" t="s">
        <v>706</v>
      </c>
      <c r="D28" s="44" t="s">
        <v>985</v>
      </c>
      <c r="E28" s="44">
        <v>100</v>
      </c>
      <c r="F28" s="44" t="s">
        <v>986</v>
      </c>
      <c r="G28" s="44" t="s">
        <v>987</v>
      </c>
      <c r="H28" s="44" t="s">
        <v>988</v>
      </c>
      <c r="I28" s="43" t="s">
        <v>989</v>
      </c>
      <c r="J28" s="43">
        <v>0</v>
      </c>
      <c r="K28" s="43">
        <v>0</v>
      </c>
      <c r="L28" s="43" t="s">
        <v>990</v>
      </c>
      <c r="M28" s="43" t="s">
        <v>875</v>
      </c>
      <c r="N28" s="43" t="s">
        <v>991</v>
      </c>
      <c r="O28" s="43" t="s">
        <v>997</v>
      </c>
      <c r="P28" s="43" t="s">
        <v>993</v>
      </c>
      <c r="Q28" s="43" t="s">
        <v>994</v>
      </c>
    </row>
    <row r="29" spans="1:17" ht="15" customHeight="1">
      <c r="A29" s="43" t="s">
        <v>998</v>
      </c>
      <c r="B29" s="43" t="s">
        <v>999</v>
      </c>
      <c r="C29" s="44" t="s">
        <v>706</v>
      </c>
      <c r="D29" s="44" t="s">
        <v>985</v>
      </c>
      <c r="E29" s="44">
        <v>160</v>
      </c>
      <c r="F29" s="44" t="s">
        <v>986</v>
      </c>
      <c r="G29" s="44" t="s">
        <v>987</v>
      </c>
      <c r="H29" s="44" t="s">
        <v>988</v>
      </c>
      <c r="I29" s="43" t="s">
        <v>989</v>
      </c>
      <c r="J29" s="43">
        <v>0</v>
      </c>
      <c r="K29" s="43">
        <v>0</v>
      </c>
      <c r="L29" s="43" t="s">
        <v>990</v>
      </c>
      <c r="M29" s="43" t="s">
        <v>875</v>
      </c>
      <c r="N29" s="43" t="s">
        <v>991</v>
      </c>
      <c r="O29" s="43" t="s">
        <v>997</v>
      </c>
      <c r="P29" s="43" t="s">
        <v>993</v>
      </c>
      <c r="Q29" s="43" t="s">
        <v>994</v>
      </c>
    </row>
    <row r="30" spans="1:17" ht="15" customHeight="1">
      <c r="A30" s="43" t="s">
        <v>1000</v>
      </c>
      <c r="B30" s="43" t="s">
        <v>1001</v>
      </c>
      <c r="C30" s="44" t="s">
        <v>706</v>
      </c>
      <c r="D30" s="44" t="s">
        <v>985</v>
      </c>
      <c r="E30" s="44">
        <v>500</v>
      </c>
      <c r="F30" s="44" t="s">
        <v>986</v>
      </c>
      <c r="G30" s="44" t="s">
        <v>987</v>
      </c>
      <c r="H30" s="44" t="s">
        <v>988</v>
      </c>
      <c r="I30" s="43" t="s">
        <v>989</v>
      </c>
      <c r="J30" s="43">
        <v>0</v>
      </c>
      <c r="K30" s="43">
        <v>0</v>
      </c>
      <c r="L30" s="43" t="s">
        <v>990</v>
      </c>
      <c r="M30" s="43" t="s">
        <v>875</v>
      </c>
      <c r="N30" s="43" t="s">
        <v>991</v>
      </c>
      <c r="O30" s="43" t="s">
        <v>992</v>
      </c>
      <c r="P30" s="43" t="s">
        <v>993</v>
      </c>
      <c r="Q30" s="43" t="s">
        <v>994</v>
      </c>
    </row>
    <row r="31" spans="1:17" ht="15" customHeight="1">
      <c r="A31" s="43" t="s">
        <v>1002</v>
      </c>
      <c r="B31" s="43" t="s">
        <v>1003</v>
      </c>
      <c r="C31" s="44" t="s">
        <v>709</v>
      </c>
      <c r="D31" s="44" t="s">
        <v>985</v>
      </c>
      <c r="E31" s="44">
        <v>400</v>
      </c>
      <c r="F31" s="44" t="s">
        <v>986</v>
      </c>
      <c r="G31" s="44" t="s">
        <v>987</v>
      </c>
      <c r="H31" s="44" t="s">
        <v>988</v>
      </c>
      <c r="I31" s="43" t="s">
        <v>989</v>
      </c>
      <c r="J31" s="43">
        <v>0</v>
      </c>
      <c r="K31" s="43">
        <v>0</v>
      </c>
      <c r="L31" s="43" t="s">
        <v>990</v>
      </c>
      <c r="M31" s="43" t="s">
        <v>875</v>
      </c>
      <c r="N31" s="43" t="s">
        <v>991</v>
      </c>
      <c r="O31" s="43" t="s">
        <v>1004</v>
      </c>
      <c r="P31" s="43" t="s">
        <v>993</v>
      </c>
      <c r="Q31" s="43" t="s">
        <v>994</v>
      </c>
    </row>
    <row r="32" spans="1:17" ht="19.2" customHeight="1">
      <c r="A32" s="43" t="s">
        <v>1005</v>
      </c>
      <c r="B32" s="43" t="s">
        <v>1006</v>
      </c>
      <c r="C32" s="44" t="s">
        <v>715</v>
      </c>
      <c r="D32" s="44" t="s">
        <v>985</v>
      </c>
      <c r="E32" s="44">
        <v>1000</v>
      </c>
      <c r="F32" s="44" t="s">
        <v>1007</v>
      </c>
      <c r="G32" s="44" t="s">
        <v>1008</v>
      </c>
      <c r="H32" s="44" t="s">
        <v>988</v>
      </c>
      <c r="I32" s="43" t="s">
        <v>989</v>
      </c>
      <c r="J32" s="43">
        <v>0</v>
      </c>
      <c r="K32" s="43">
        <v>0</v>
      </c>
      <c r="L32" s="43" t="s">
        <v>990</v>
      </c>
      <c r="M32" s="43" t="s">
        <v>875</v>
      </c>
      <c r="N32" s="43" t="s">
        <v>991</v>
      </c>
      <c r="O32" s="43" t="s">
        <v>1004</v>
      </c>
      <c r="P32" s="43" t="s">
        <v>1009</v>
      </c>
      <c r="Q32" s="43" t="s">
        <v>994</v>
      </c>
    </row>
    <row r="33" spans="1:17" ht="15" customHeight="1">
      <c r="A33" s="43" t="s">
        <v>1010</v>
      </c>
      <c r="B33" s="43" t="s">
        <v>1011</v>
      </c>
      <c r="C33" s="44" t="s">
        <v>718</v>
      </c>
      <c r="D33" s="44" t="s">
        <v>985</v>
      </c>
      <c r="E33" s="44">
        <v>600</v>
      </c>
      <c r="F33" s="44" t="s">
        <v>874</v>
      </c>
      <c r="G33" s="44" t="s">
        <v>924</v>
      </c>
      <c r="H33" s="44" t="s">
        <v>1012</v>
      </c>
      <c r="I33" s="43" t="s">
        <v>1012</v>
      </c>
      <c r="J33" s="43">
        <v>600</v>
      </c>
      <c r="K33" s="43">
        <v>600</v>
      </c>
      <c r="L33" s="43" t="s">
        <v>1013</v>
      </c>
      <c r="M33" s="43" t="s">
        <v>1014</v>
      </c>
      <c r="N33" s="43" t="s">
        <v>1015</v>
      </c>
      <c r="O33" s="43" t="s">
        <v>1016</v>
      </c>
      <c r="P33" s="43" t="s">
        <v>1017</v>
      </c>
      <c r="Q33" s="43" t="s">
        <v>1018</v>
      </c>
    </row>
    <row r="34" spans="1:17" ht="15" customHeight="1">
      <c r="A34" s="43" t="s">
        <v>1019</v>
      </c>
      <c r="B34" s="43" t="s">
        <v>1020</v>
      </c>
      <c r="C34" s="44" t="s">
        <v>712</v>
      </c>
      <c r="D34" s="44" t="s">
        <v>985</v>
      </c>
      <c r="E34" s="44">
        <v>600</v>
      </c>
      <c r="F34" s="44" t="s">
        <v>985</v>
      </c>
      <c r="G34" s="44" t="s">
        <v>985</v>
      </c>
      <c r="H34" s="44" t="s">
        <v>1021</v>
      </c>
      <c r="I34" s="43" t="s">
        <v>989</v>
      </c>
      <c r="J34" s="43">
        <v>0</v>
      </c>
      <c r="K34" s="43">
        <v>0</v>
      </c>
      <c r="L34" s="43" t="s">
        <v>990</v>
      </c>
      <c r="M34" s="43" t="s">
        <v>875</v>
      </c>
      <c r="N34" s="43" t="s">
        <v>991</v>
      </c>
      <c r="O34" s="43" t="s">
        <v>1022</v>
      </c>
      <c r="P34" s="43" t="s">
        <v>1023</v>
      </c>
      <c r="Q34" s="43" t="s">
        <v>994</v>
      </c>
    </row>
    <row r="35" spans="1:17" ht="15" customHeight="1">
      <c r="A35" s="43" t="s">
        <v>1024</v>
      </c>
      <c r="B35" s="43" t="s">
        <v>1025</v>
      </c>
      <c r="C35" s="44" t="s">
        <v>700</v>
      </c>
      <c r="D35" s="44" t="s">
        <v>956</v>
      </c>
      <c r="E35" s="44">
        <v>1200</v>
      </c>
      <c r="F35" s="44" t="s">
        <v>1026</v>
      </c>
      <c r="G35" s="44" t="s">
        <v>1027</v>
      </c>
      <c r="H35" s="44" t="s">
        <v>1012</v>
      </c>
      <c r="I35" s="43" t="s">
        <v>1012</v>
      </c>
      <c r="J35" s="43">
        <v>1200</v>
      </c>
      <c r="K35" s="43">
        <v>1200</v>
      </c>
      <c r="L35" s="43" t="s">
        <v>1013</v>
      </c>
      <c r="M35" s="43" t="s">
        <v>101</v>
      </c>
      <c r="N35" s="43" t="s">
        <v>1028</v>
      </c>
      <c r="O35" s="43" t="s">
        <v>1029</v>
      </c>
      <c r="P35" s="43" t="s">
        <v>1030</v>
      </c>
      <c r="Q35" s="43" t="s">
        <v>1018</v>
      </c>
    </row>
    <row r="36" spans="1:17" ht="15" customHeight="1">
      <c r="A36" s="43" t="s">
        <v>1024</v>
      </c>
      <c r="B36" s="43" t="s">
        <v>1025</v>
      </c>
      <c r="C36" s="44" t="s">
        <v>700</v>
      </c>
      <c r="D36" s="44" t="s">
        <v>959</v>
      </c>
      <c r="E36" s="44">
        <v>1000</v>
      </c>
      <c r="F36" s="44" t="s">
        <v>1026</v>
      </c>
      <c r="G36" s="44" t="s">
        <v>1027</v>
      </c>
      <c r="H36" s="44" t="s">
        <v>1012</v>
      </c>
      <c r="I36" s="43" t="s">
        <v>1012</v>
      </c>
      <c r="J36" s="43">
        <v>1000</v>
      </c>
      <c r="K36" s="43">
        <v>1000</v>
      </c>
      <c r="L36" s="43" t="s">
        <v>1013</v>
      </c>
      <c r="M36" s="43" t="s">
        <v>101</v>
      </c>
      <c r="N36" s="43" t="s">
        <v>1028</v>
      </c>
      <c r="O36" s="43" t="s">
        <v>1029</v>
      </c>
      <c r="P36" s="43" t="s">
        <v>1030</v>
      </c>
      <c r="Q36" s="43" t="s">
        <v>1018</v>
      </c>
    </row>
    <row r="38" spans="1:17" ht="15" customHeight="1"/>
    <row r="39" spans="1:17" ht="37.950000000000003" customHeight="1">
      <c r="A39" s="55" t="s">
        <v>1031</v>
      </c>
      <c r="B39" s="55" t="s">
        <v>1031</v>
      </c>
      <c r="C39" s="55" t="s">
        <v>1031</v>
      </c>
      <c r="D39" s="55" t="s">
        <v>1031</v>
      </c>
      <c r="E39" s="55" t="s">
        <v>1031</v>
      </c>
      <c r="F39" s="55" t="s">
        <v>1031</v>
      </c>
      <c r="G39" s="55" t="s">
        <v>1031</v>
      </c>
      <c r="H39" s="55" t="s">
        <v>1031</v>
      </c>
      <c r="I39" s="55" t="s">
        <v>1031</v>
      </c>
      <c r="J39" s="55" t="s">
        <v>1031</v>
      </c>
      <c r="K39" s="55" t="s">
        <v>1031</v>
      </c>
      <c r="L39" s="55" t="s">
        <v>1031</v>
      </c>
      <c r="M39" s="55" t="s">
        <v>1031</v>
      </c>
      <c r="N39" s="55" t="s">
        <v>1031</v>
      </c>
      <c r="O39" s="55" t="s">
        <v>1031</v>
      </c>
      <c r="P39" s="55" t="s">
        <v>1031</v>
      </c>
      <c r="Q39" s="55" t="s">
        <v>1031</v>
      </c>
    </row>
    <row r="40" spans="1:17" ht="28.05" customHeight="1">
      <c r="A40" s="55" t="s">
        <v>1031</v>
      </c>
      <c r="B40" s="55" t="s">
        <v>1031</v>
      </c>
      <c r="C40" s="55" t="s">
        <v>1031</v>
      </c>
      <c r="D40" s="55" t="s">
        <v>1031</v>
      </c>
      <c r="E40" s="55" t="s">
        <v>1031</v>
      </c>
      <c r="F40" s="55" t="s">
        <v>1031</v>
      </c>
      <c r="G40" s="55" t="s">
        <v>1031</v>
      </c>
      <c r="H40" s="55" t="s">
        <v>1031</v>
      </c>
      <c r="I40" s="55" t="s">
        <v>1031</v>
      </c>
      <c r="J40" s="55" t="s">
        <v>1031</v>
      </c>
      <c r="K40" s="55" t="s">
        <v>1031</v>
      </c>
      <c r="L40" s="55" t="s">
        <v>1031</v>
      </c>
      <c r="M40" s="55" t="s">
        <v>1031</v>
      </c>
      <c r="N40" s="55" t="s">
        <v>1031</v>
      </c>
      <c r="O40" s="55" t="s">
        <v>1031</v>
      </c>
      <c r="P40" s="55" t="s">
        <v>1031</v>
      </c>
      <c r="Q40" s="55" t="s">
        <v>1031</v>
      </c>
    </row>
    <row r="41" spans="1:17">
      <c r="A41" s="55" t="s">
        <v>1031</v>
      </c>
      <c r="B41" s="55" t="s">
        <v>1031</v>
      </c>
      <c r="C41" s="55" t="s">
        <v>1031</v>
      </c>
      <c r="D41" s="55" t="s">
        <v>1031</v>
      </c>
      <c r="E41" s="55" t="s">
        <v>1031</v>
      </c>
      <c r="F41" s="55" t="s">
        <v>1031</v>
      </c>
      <c r="G41" s="55" t="s">
        <v>1031</v>
      </c>
      <c r="H41" s="55" t="s">
        <v>1031</v>
      </c>
      <c r="I41" s="55" t="s">
        <v>1031</v>
      </c>
      <c r="J41" s="55" t="s">
        <v>1031</v>
      </c>
      <c r="K41" s="55" t="s">
        <v>1031</v>
      </c>
      <c r="L41" s="55" t="s">
        <v>1031</v>
      </c>
      <c r="M41" s="55" t="s">
        <v>1031</v>
      </c>
      <c r="N41" s="55" t="s">
        <v>1031</v>
      </c>
      <c r="O41" s="55" t="s">
        <v>1031</v>
      </c>
      <c r="P41" s="55" t="s">
        <v>1031</v>
      </c>
      <c r="Q41" s="55" t="s">
        <v>1031</v>
      </c>
    </row>
    <row r="42" spans="1:17" ht="15" customHeight="1"/>
    <row r="43" spans="1:17" ht="15" customHeight="1"/>
    <row r="44" spans="1:17" ht="15" customHeight="1"/>
    <row r="45" spans="1:17" ht="15" customHeight="1"/>
    <row r="46" spans="1:17" ht="15" customHeight="1"/>
    <row r="47" spans="1:17" ht="15" customHeight="1"/>
    <row r="48" spans="1:17" ht="15" customHeight="1"/>
    <row r="50" s="1" customFormat="1" ht="15" customHeight="1"/>
    <row r="51" s="1" customFormat="1" ht="15" customHeight="1"/>
    <row r="52" s="1" customFormat="1" ht="15" customHeight="1"/>
  </sheetData>
  <mergeCells count="4">
    <mergeCell ref="A1:Q1"/>
    <mergeCell ref="A2:Q2"/>
    <mergeCell ref="A24:Q24"/>
    <mergeCell ref="A39:Q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9"/>
  <sheetViews>
    <sheetView topLeftCell="D14" workbookViewId="0">
      <selection activeCell="C21" sqref="C21"/>
    </sheetView>
  </sheetViews>
  <sheetFormatPr defaultRowHeight="14.4"/>
  <cols>
    <col min="1" max="1" width="14" style="1" customWidth="1"/>
    <col min="2" max="2" width="18" style="1" customWidth="1"/>
    <col min="3" max="3" width="24" style="1" customWidth="1"/>
    <col min="4" max="6" width="22" style="1" customWidth="1"/>
    <col min="7" max="7" width="42" style="1" customWidth="1"/>
    <col min="8" max="8" width="18" style="1" customWidth="1"/>
    <col min="9" max="9" width="20" style="1" customWidth="1"/>
    <col min="10" max="10" width="26" style="1" customWidth="1"/>
    <col min="11" max="16384" width="8.796875" style="1"/>
  </cols>
  <sheetData>
    <row r="1" spans="1:10" ht="27.15" customHeight="1">
      <c r="A1" s="57" t="s">
        <v>1032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5.65" customHeight="1">
      <c r="A2" s="58" t="s">
        <v>1033</v>
      </c>
      <c r="B2" s="58"/>
      <c r="C2" s="58"/>
      <c r="D2" s="58"/>
      <c r="E2" s="58"/>
      <c r="F2" s="58"/>
      <c r="G2" s="58"/>
      <c r="H2" s="58"/>
      <c r="I2" s="58"/>
      <c r="J2" s="58"/>
    </row>
    <row r="4" spans="1:10" ht="19.2" customHeight="1">
      <c r="A4" s="66" t="s">
        <v>1034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30.45" customHeight="1">
      <c r="A5" s="6" t="s">
        <v>548</v>
      </c>
      <c r="B5" s="6" t="s">
        <v>756</v>
      </c>
      <c r="C5" s="6" t="s">
        <v>759</v>
      </c>
      <c r="D5" s="6" t="s">
        <v>754</v>
      </c>
      <c r="E5" s="6" t="s">
        <v>1035</v>
      </c>
    </row>
    <row r="6" spans="1:10" ht="22.35" customHeight="1">
      <c r="A6" s="7" t="s">
        <v>1036</v>
      </c>
      <c r="B6" s="46">
        <v>0.59</v>
      </c>
      <c r="C6" s="46">
        <v>0.6</v>
      </c>
      <c r="D6" s="7" t="s">
        <v>1037</v>
      </c>
      <c r="E6" s="7" t="s">
        <v>1038</v>
      </c>
    </row>
    <row r="7" spans="1:10" ht="22.35" customHeight="1">
      <c r="A7" s="7" t="s">
        <v>1039</v>
      </c>
      <c r="B7" s="46">
        <v>5.4767999999999999</v>
      </c>
      <c r="C7" s="46">
        <v>5.3432000000000004</v>
      </c>
      <c r="D7" s="7" t="s">
        <v>1040</v>
      </c>
      <c r="E7" s="7" t="s">
        <v>1041</v>
      </c>
    </row>
    <row r="8" spans="1:10" ht="22.35" customHeight="1">
      <c r="A8" s="7" t="s">
        <v>1042</v>
      </c>
      <c r="B8" s="46">
        <v>0.42</v>
      </c>
      <c r="C8" s="46">
        <v>0.43</v>
      </c>
      <c r="D8" s="7" t="s">
        <v>1037</v>
      </c>
      <c r="E8" s="7" t="s">
        <v>1041</v>
      </c>
    </row>
    <row r="9" spans="1:10" ht="22.35" customHeight="1">
      <c r="A9" s="7" t="s">
        <v>1043</v>
      </c>
      <c r="B9" s="46">
        <v>6.0110999999999999</v>
      </c>
      <c r="C9" s="46">
        <v>6.0110999999999999</v>
      </c>
      <c r="D9" s="7" t="s">
        <v>1040</v>
      </c>
      <c r="E9" s="7" t="s">
        <v>1041</v>
      </c>
    </row>
    <row r="10" spans="1:10" ht="22.35" customHeight="1">
      <c r="A10" s="7" t="s">
        <v>1044</v>
      </c>
      <c r="B10" s="46">
        <v>0.19800000000000001</v>
      </c>
      <c r="C10" s="46">
        <v>0.19800000000000001</v>
      </c>
      <c r="D10" s="7" t="s">
        <v>1045</v>
      </c>
      <c r="E10" s="7" t="s">
        <v>1046</v>
      </c>
    </row>
    <row r="11" spans="1:10" ht="22.35" customHeight="1">
      <c r="A11" s="7" t="s">
        <v>1047</v>
      </c>
      <c r="B11" s="46">
        <v>0.94868329809999996</v>
      </c>
      <c r="C11" s="46">
        <v>0.94868329809999996</v>
      </c>
      <c r="D11" s="7" t="s">
        <v>1037</v>
      </c>
      <c r="E11" s="7" t="s">
        <v>1048</v>
      </c>
    </row>
    <row r="12" spans="1:10" ht="22.35" customHeight="1">
      <c r="A12" s="7" t="s">
        <v>1049</v>
      </c>
      <c r="B12" s="46">
        <v>0.86602540380000004</v>
      </c>
      <c r="C12" s="46">
        <v>0.86602540380000004</v>
      </c>
      <c r="D12" s="7" t="s">
        <v>1037</v>
      </c>
      <c r="E12" s="7" t="s">
        <v>1050</v>
      </c>
    </row>
    <row r="13" spans="1:10" ht="22.35" customHeight="1">
      <c r="A13" s="7" t="s">
        <v>1051</v>
      </c>
      <c r="B13" s="46"/>
      <c r="C13" s="46">
        <v>0.36</v>
      </c>
      <c r="D13" s="7" t="s">
        <v>1037</v>
      </c>
      <c r="E13" s="7" t="s">
        <v>1052</v>
      </c>
    </row>
    <row r="14" spans="1:10" ht="22.35" customHeight="1">
      <c r="A14" s="7" t="s">
        <v>1053</v>
      </c>
      <c r="B14" s="46"/>
      <c r="C14" s="46">
        <v>4.4589999999999996</v>
      </c>
      <c r="D14" s="7" t="s">
        <v>1040</v>
      </c>
      <c r="E14" s="7" t="s">
        <v>1052</v>
      </c>
    </row>
    <row r="15" spans="1:10" ht="22.35" customHeight="1">
      <c r="A15" s="7" t="s">
        <v>1054</v>
      </c>
      <c r="B15" s="46"/>
      <c r="C15" s="46">
        <v>7.4535999999999998</v>
      </c>
      <c r="D15" s="7" t="s">
        <v>1055</v>
      </c>
      <c r="E15" s="7" t="s">
        <v>1052</v>
      </c>
    </row>
    <row r="18" spans="1:10" ht="19.2" customHeight="1">
      <c r="A18" s="66" t="s">
        <v>1056</v>
      </c>
      <c r="B18" s="66"/>
      <c r="C18" s="66"/>
      <c r="D18" s="66"/>
      <c r="E18" s="66"/>
      <c r="F18" s="66"/>
      <c r="G18" s="66"/>
      <c r="H18" s="66"/>
      <c r="I18" s="66"/>
      <c r="J18" s="66"/>
    </row>
    <row r="19" spans="1:10" ht="30.45" customHeight="1">
      <c r="A19" s="6" t="s">
        <v>1057</v>
      </c>
      <c r="B19" s="6" t="s">
        <v>723</v>
      </c>
      <c r="C19" s="6" t="s">
        <v>1058</v>
      </c>
      <c r="D19" s="6" t="s">
        <v>1059</v>
      </c>
      <c r="E19" s="6" t="s">
        <v>1060</v>
      </c>
      <c r="F19" s="6" t="s">
        <v>1061</v>
      </c>
      <c r="G19" s="6" t="s">
        <v>1062</v>
      </c>
      <c r="H19" s="6" t="s">
        <v>1063</v>
      </c>
      <c r="I19" s="6" t="s">
        <v>1064</v>
      </c>
      <c r="J19" s="6" t="s">
        <v>762</v>
      </c>
    </row>
    <row r="20" spans="1:10" ht="22.35" customHeight="1">
      <c r="A20" s="7">
        <v>2040</v>
      </c>
      <c r="B20" s="7" t="s">
        <v>299</v>
      </c>
      <c r="C20" s="47">
        <v>38.0563456</v>
      </c>
      <c r="D20" s="48">
        <v>104.5504</v>
      </c>
      <c r="E20" s="47">
        <v>0.59</v>
      </c>
      <c r="F20" s="47">
        <v>5.4767999999999999</v>
      </c>
      <c r="G20" s="47">
        <v>64.502280677966112</v>
      </c>
      <c r="H20" s="47">
        <v>35.086405423728813</v>
      </c>
      <c r="I20" s="47">
        <v>105.06548610169492</v>
      </c>
      <c r="J20" s="7" t="s">
        <v>1065</v>
      </c>
    </row>
    <row r="21" spans="1:10" ht="22.35" customHeight="1">
      <c r="A21" s="7">
        <v>2040</v>
      </c>
      <c r="B21" s="7" t="s">
        <v>1066</v>
      </c>
      <c r="C21" s="47">
        <v>38.0563456</v>
      </c>
      <c r="D21" s="48">
        <v>104.5504</v>
      </c>
      <c r="E21" s="47">
        <v>0.42</v>
      </c>
      <c r="F21" s="47">
        <v>6.0110999999999999</v>
      </c>
      <c r="G21" s="47">
        <v>90.610346666666672</v>
      </c>
      <c r="H21" s="47">
        <v>49.288045714285715</v>
      </c>
      <c r="I21" s="47">
        <v>145.90949238095237</v>
      </c>
      <c r="J21" s="7" t="s">
        <v>1065</v>
      </c>
    </row>
    <row r="22" spans="1:10" ht="22.35" customHeight="1">
      <c r="A22" s="7">
        <v>2050</v>
      </c>
      <c r="B22" s="7" t="s">
        <v>299</v>
      </c>
      <c r="C22" s="47">
        <v>22.7578</v>
      </c>
      <c r="D22" s="48">
        <v>400</v>
      </c>
      <c r="E22" s="47">
        <v>0.6</v>
      </c>
      <c r="F22" s="47">
        <v>5.3432000000000004</v>
      </c>
      <c r="G22" s="47">
        <v>37.92966666666667</v>
      </c>
      <c r="H22" s="47">
        <v>132</v>
      </c>
      <c r="I22" s="47">
        <v>175.27286666666666</v>
      </c>
      <c r="J22" s="7" t="s">
        <v>1067</v>
      </c>
    </row>
    <row r="23" spans="1:10" ht="22.35" customHeight="1">
      <c r="A23" s="7">
        <v>2050</v>
      </c>
      <c r="B23" s="7" t="s">
        <v>1066</v>
      </c>
      <c r="C23" s="47">
        <v>22.7578</v>
      </c>
      <c r="D23" s="48">
        <v>400</v>
      </c>
      <c r="E23" s="47">
        <v>0.43</v>
      </c>
      <c r="F23" s="47">
        <v>6.0110999999999999</v>
      </c>
      <c r="G23" s="47">
        <v>52.925116279069769</v>
      </c>
      <c r="H23" s="47">
        <v>184.18604651162792</v>
      </c>
      <c r="I23" s="47">
        <v>243.12226279069768</v>
      </c>
      <c r="J23" s="7" t="s">
        <v>1067</v>
      </c>
    </row>
    <row r="27" spans="1:10" ht="19.2" customHeight="1">
      <c r="A27" s="66" t="s">
        <v>1068</v>
      </c>
      <c r="B27" s="66"/>
      <c r="C27" s="66"/>
      <c r="D27" s="66"/>
      <c r="E27" s="66"/>
      <c r="F27" s="66"/>
      <c r="G27" s="66"/>
      <c r="H27" s="66"/>
      <c r="I27" s="66"/>
      <c r="J27" s="66"/>
    </row>
    <row r="28" spans="1:10" ht="30.45" customHeight="1">
      <c r="A28" s="6" t="s">
        <v>1069</v>
      </c>
      <c r="B28" s="6" t="s">
        <v>1070</v>
      </c>
      <c r="C28" s="6" t="s">
        <v>1071</v>
      </c>
      <c r="D28" s="6" t="s">
        <v>553</v>
      </c>
    </row>
    <row r="29" spans="1:10" ht="22.35" customHeight="1">
      <c r="A29" s="7" t="s">
        <v>1072</v>
      </c>
      <c r="B29" s="49">
        <v>175</v>
      </c>
      <c r="C29" s="7" t="s">
        <v>1073</v>
      </c>
      <c r="D29" s="7" t="s">
        <v>1074</v>
      </c>
    </row>
    <row r="30" spans="1:10" ht="22.35" customHeight="1">
      <c r="A30" s="7" t="s">
        <v>522</v>
      </c>
      <c r="B30" s="49">
        <v>400</v>
      </c>
      <c r="C30" s="7" t="s">
        <v>1075</v>
      </c>
      <c r="D30" s="7" t="s">
        <v>1076</v>
      </c>
    </row>
    <row r="31" spans="1:10" ht="22.35" customHeight="1">
      <c r="A31" s="7" t="s">
        <v>529</v>
      </c>
      <c r="B31" s="49">
        <v>550</v>
      </c>
      <c r="C31" s="7" t="s">
        <v>1077</v>
      </c>
      <c r="D31" s="7" t="s">
        <v>1074</v>
      </c>
    </row>
    <row r="32" spans="1:10" ht="22.35" customHeight="1">
      <c r="A32" s="7" t="s">
        <v>1078</v>
      </c>
      <c r="B32" s="49">
        <v>1000</v>
      </c>
      <c r="C32" s="7" t="s">
        <v>1079</v>
      </c>
      <c r="D32" s="7" t="s">
        <v>1080</v>
      </c>
    </row>
    <row r="35" spans="1:10" ht="19.2" customHeight="1">
      <c r="A35" s="66" t="s">
        <v>1081</v>
      </c>
      <c r="B35" s="66"/>
      <c r="C35" s="66"/>
      <c r="D35" s="66"/>
      <c r="E35" s="66"/>
      <c r="F35" s="66"/>
      <c r="G35" s="66"/>
      <c r="H35" s="66"/>
      <c r="I35" s="66"/>
      <c r="J35" s="66"/>
    </row>
    <row r="36" spans="1:10" ht="30.45" customHeight="1">
      <c r="A36" s="6" t="s">
        <v>722</v>
      </c>
      <c r="B36" s="6" t="s">
        <v>1082</v>
      </c>
      <c r="C36" s="6" t="s">
        <v>1083</v>
      </c>
      <c r="D36" s="6" t="s">
        <v>1084</v>
      </c>
      <c r="E36" s="6" t="s">
        <v>1085</v>
      </c>
      <c r="F36" s="6" t="s">
        <v>1086</v>
      </c>
      <c r="G36" s="6" t="s">
        <v>1087</v>
      </c>
    </row>
    <row r="37" spans="1:10" ht="22.35" customHeight="1">
      <c r="A37" s="7" t="s">
        <v>614</v>
      </c>
      <c r="B37" s="50">
        <v>0.22</v>
      </c>
      <c r="C37" s="50">
        <v>0.78</v>
      </c>
      <c r="D37" s="7" t="s">
        <v>1088</v>
      </c>
      <c r="E37" s="7" t="s">
        <v>1089</v>
      </c>
      <c r="F37" s="7" t="s">
        <v>1090</v>
      </c>
      <c r="G37" s="7" t="s">
        <v>1091</v>
      </c>
    </row>
    <row r="38" spans="1:10" ht="22.35" customHeight="1">
      <c r="A38" s="7" t="s">
        <v>639</v>
      </c>
      <c r="B38" s="50">
        <v>0.31</v>
      </c>
      <c r="C38" s="50">
        <v>0.69</v>
      </c>
      <c r="D38" s="7" t="s">
        <v>1088</v>
      </c>
      <c r="E38" s="7" t="s">
        <v>1089</v>
      </c>
      <c r="F38" s="7" t="s">
        <v>1090</v>
      </c>
      <c r="G38" s="7" t="s">
        <v>1091</v>
      </c>
    </row>
    <row r="39" spans="1:10" ht="22.35" customHeight="1">
      <c r="A39" s="7" t="s">
        <v>646</v>
      </c>
      <c r="B39" s="50">
        <v>0.24</v>
      </c>
      <c r="C39" s="50">
        <v>0.76</v>
      </c>
      <c r="D39" s="7" t="s">
        <v>1088</v>
      </c>
      <c r="E39" s="7" t="s">
        <v>1089</v>
      </c>
      <c r="F39" s="7" t="s">
        <v>1090</v>
      </c>
      <c r="G39" s="7" t="s">
        <v>1091</v>
      </c>
    </row>
    <row r="40" spans="1:10" ht="22.35" customHeight="1">
      <c r="A40" s="7" t="s">
        <v>657</v>
      </c>
      <c r="B40" s="50">
        <v>0.23</v>
      </c>
      <c r="C40" s="50">
        <v>0.77</v>
      </c>
      <c r="D40" s="7" t="s">
        <v>1088</v>
      </c>
      <c r="E40" s="7" t="s">
        <v>1089</v>
      </c>
      <c r="F40" s="7" t="s">
        <v>1090</v>
      </c>
      <c r="G40" s="7" t="s">
        <v>1091</v>
      </c>
    </row>
    <row r="41" spans="1:10" ht="22.35" customHeight="1">
      <c r="A41" s="7" t="s">
        <v>666</v>
      </c>
      <c r="B41" s="50">
        <v>0.17</v>
      </c>
      <c r="C41" s="50">
        <v>0.83</v>
      </c>
      <c r="D41" s="7" t="s">
        <v>1088</v>
      </c>
      <c r="E41" s="7" t="s">
        <v>1089</v>
      </c>
      <c r="F41" s="7" t="s">
        <v>1090</v>
      </c>
      <c r="G41" s="7" t="s">
        <v>1091</v>
      </c>
    </row>
    <row r="42" spans="1:10" ht="22.35" customHeight="1">
      <c r="A42" s="7" t="s">
        <v>670</v>
      </c>
      <c r="B42" s="50">
        <v>0.25</v>
      </c>
      <c r="C42" s="50">
        <v>0.75</v>
      </c>
      <c r="D42" s="7" t="s">
        <v>1088</v>
      </c>
      <c r="E42" s="7" t="s">
        <v>1089</v>
      </c>
      <c r="F42" s="7" t="s">
        <v>1090</v>
      </c>
      <c r="G42" s="7" t="s">
        <v>1091</v>
      </c>
    </row>
    <row r="43" spans="1:10" ht="22.35" customHeight="1">
      <c r="A43" s="7" t="s">
        <v>674</v>
      </c>
      <c r="B43" s="50">
        <v>0.26</v>
      </c>
      <c r="C43" s="50">
        <v>0.74</v>
      </c>
      <c r="D43" s="7" t="s">
        <v>1088</v>
      </c>
      <c r="E43" s="7" t="s">
        <v>1089</v>
      </c>
      <c r="F43" s="7" t="s">
        <v>1090</v>
      </c>
      <c r="G43" s="7" t="s">
        <v>1091</v>
      </c>
    </row>
    <row r="46" spans="1:10">
      <c r="A46" s="67" t="s">
        <v>1092</v>
      </c>
      <c r="B46" s="67"/>
      <c r="C46" s="67"/>
      <c r="D46" s="67"/>
      <c r="E46" s="67"/>
      <c r="F46" s="67"/>
      <c r="G46" s="67"/>
      <c r="H46" s="67"/>
      <c r="I46" s="67"/>
      <c r="J46" s="67"/>
    </row>
    <row r="47" spans="1:10">
      <c r="A47" s="67"/>
      <c r="B47" s="67"/>
      <c r="C47" s="67"/>
      <c r="D47" s="67"/>
      <c r="E47" s="67"/>
      <c r="F47" s="67"/>
      <c r="G47" s="67"/>
      <c r="H47" s="67"/>
      <c r="I47" s="67"/>
      <c r="J47" s="67"/>
    </row>
    <row r="48" spans="1:10">
      <c r="A48" s="67"/>
      <c r="B48" s="67"/>
      <c r="C48" s="67"/>
      <c r="D48" s="67"/>
      <c r="E48" s="67"/>
      <c r="F48" s="67"/>
      <c r="G48" s="67"/>
      <c r="H48" s="67"/>
      <c r="I48" s="67"/>
      <c r="J48" s="67"/>
    </row>
    <row r="49" spans="1:10">
      <c r="A49" s="67"/>
      <c r="B49" s="67"/>
      <c r="C49" s="67"/>
      <c r="D49" s="67"/>
      <c r="E49" s="67"/>
      <c r="F49" s="67"/>
      <c r="G49" s="67"/>
      <c r="H49" s="67"/>
      <c r="I49" s="67"/>
      <c r="J49" s="67"/>
    </row>
  </sheetData>
  <mergeCells count="7">
    <mergeCell ref="A35:J35"/>
    <mergeCell ref="A46:J49"/>
    <mergeCell ref="A1:J1"/>
    <mergeCell ref="A2:J2"/>
    <mergeCell ref="A4:J4"/>
    <mergeCell ref="A18:J18"/>
    <mergeCell ref="A27:J2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workbookViewId="0">
      <selection activeCell="A14" sqref="A14"/>
    </sheetView>
  </sheetViews>
  <sheetFormatPr defaultRowHeight="14.4"/>
  <cols>
    <col min="1" max="1" width="23" style="1" customWidth="1"/>
    <col min="2" max="2" width="10" style="1" customWidth="1"/>
    <col min="3" max="3" width="13" style="1" customWidth="1"/>
    <col min="4" max="6" width="12" style="1" customWidth="1"/>
    <col min="7" max="7" width="17" style="1" customWidth="1"/>
    <col min="8" max="8" width="19" style="1" customWidth="1"/>
    <col min="9" max="9" width="30" style="1" customWidth="1"/>
    <col min="10" max="10" width="38" style="1" customWidth="1"/>
    <col min="11" max="16384" width="8.796875" style="1"/>
  </cols>
  <sheetData>
    <row r="1" spans="1:12" ht="21.6" customHeight="1">
      <c r="A1" s="54" t="s">
        <v>1093</v>
      </c>
      <c r="B1" s="54" t="s">
        <v>1093</v>
      </c>
      <c r="C1" s="54" t="s">
        <v>1093</v>
      </c>
      <c r="D1" s="54" t="s">
        <v>1093</v>
      </c>
      <c r="E1" s="54" t="s">
        <v>1093</v>
      </c>
      <c r="F1" s="54" t="s">
        <v>1093</v>
      </c>
      <c r="G1" s="54" t="s">
        <v>1093</v>
      </c>
      <c r="H1" s="54" t="s">
        <v>1093</v>
      </c>
      <c r="I1" s="54" t="s">
        <v>1093</v>
      </c>
      <c r="J1" s="54" t="s">
        <v>1093</v>
      </c>
      <c r="K1" s="4"/>
      <c r="L1" s="4"/>
    </row>
    <row r="2" spans="1:12" ht="15" customHeight="1">
      <c r="A2" s="55" t="s">
        <v>1094</v>
      </c>
      <c r="B2" s="55" t="s">
        <v>1094</v>
      </c>
      <c r="C2" s="55" t="s">
        <v>1094</v>
      </c>
      <c r="D2" s="55" t="s">
        <v>1094</v>
      </c>
      <c r="E2" s="55" t="s">
        <v>1094</v>
      </c>
      <c r="F2" s="55" t="s">
        <v>1094</v>
      </c>
      <c r="G2" s="55" t="s">
        <v>1094</v>
      </c>
      <c r="H2" s="55" t="s">
        <v>1094</v>
      </c>
      <c r="I2" s="55" t="s">
        <v>1094</v>
      </c>
      <c r="J2" s="55" t="s">
        <v>1094</v>
      </c>
      <c r="K2" s="5"/>
      <c r="L2" s="5"/>
    </row>
    <row r="4" spans="1:12" ht="15" customHeight="1">
      <c r="A4" s="2" t="s">
        <v>498</v>
      </c>
      <c r="B4" s="2" t="s">
        <v>499</v>
      </c>
      <c r="C4" s="2" t="s">
        <v>510</v>
      </c>
      <c r="D4" s="2" t="s">
        <v>1095</v>
      </c>
      <c r="E4" s="2" t="s">
        <v>1096</v>
      </c>
      <c r="F4" s="2" t="s">
        <v>1097</v>
      </c>
      <c r="G4" s="2" t="s">
        <v>1098</v>
      </c>
      <c r="H4" s="2" t="s">
        <v>1099</v>
      </c>
      <c r="I4" s="2" t="s">
        <v>512</v>
      </c>
      <c r="J4" s="2" t="s">
        <v>763</v>
      </c>
      <c r="K4" s="45"/>
      <c r="L4" s="45"/>
    </row>
    <row r="5" spans="1:12" ht="15" customHeight="1">
      <c r="A5" s="3" t="s">
        <v>514</v>
      </c>
      <c r="B5" s="3">
        <v>2040</v>
      </c>
      <c r="C5" s="17">
        <f t="shared" ref="C5:C10" si="0">D5+E5</f>
        <v>0</v>
      </c>
      <c r="D5" s="17">
        <v>0</v>
      </c>
      <c r="E5" s="17">
        <v>0</v>
      </c>
      <c r="F5" s="52">
        <v>0</v>
      </c>
      <c r="G5" s="17">
        <f t="shared" ref="G5:G10" si="1">C5*8760*F5/1000</f>
        <v>0</v>
      </c>
      <c r="H5" s="17"/>
      <c r="I5" s="3" t="s">
        <v>1100</v>
      </c>
      <c r="J5" s="3" t="s">
        <v>1101</v>
      </c>
    </row>
    <row r="6" spans="1:12" ht="15" customHeight="1">
      <c r="A6" s="3" t="s">
        <v>521</v>
      </c>
      <c r="B6" s="3">
        <v>2040</v>
      </c>
      <c r="C6" s="17">
        <f t="shared" si="0"/>
        <v>0</v>
      </c>
      <c r="D6" s="17">
        <v>0</v>
      </c>
      <c r="E6" s="17">
        <v>0</v>
      </c>
      <c r="F6" s="52">
        <v>0</v>
      </c>
      <c r="G6" s="17">
        <f t="shared" si="1"/>
        <v>0</v>
      </c>
      <c r="H6" s="17"/>
      <c r="I6" s="3" t="s">
        <v>1100</v>
      </c>
      <c r="J6" s="3" t="s">
        <v>1101</v>
      </c>
    </row>
    <row r="7" spans="1:12" ht="15" customHeight="1">
      <c r="A7" s="3" t="s">
        <v>528</v>
      </c>
      <c r="B7" s="3">
        <v>2040</v>
      </c>
      <c r="C7" s="17">
        <f t="shared" si="0"/>
        <v>0</v>
      </c>
      <c r="D7" s="17">
        <v>0</v>
      </c>
      <c r="E7" s="17">
        <v>0</v>
      </c>
      <c r="F7" s="52">
        <v>0</v>
      </c>
      <c r="G7" s="17">
        <f t="shared" si="1"/>
        <v>0</v>
      </c>
      <c r="H7" s="17"/>
      <c r="I7" s="3" t="s">
        <v>1100</v>
      </c>
      <c r="J7" s="3" t="s">
        <v>1101</v>
      </c>
    </row>
    <row r="8" spans="1:12" ht="15" customHeight="1">
      <c r="A8" s="3" t="s">
        <v>533</v>
      </c>
      <c r="B8" s="3">
        <v>2050</v>
      </c>
      <c r="C8" s="17">
        <f t="shared" si="0"/>
        <v>8</v>
      </c>
      <c r="D8" s="17">
        <v>5</v>
      </c>
      <c r="E8" s="17">
        <v>3</v>
      </c>
      <c r="F8" s="52">
        <v>0.92449999999999999</v>
      </c>
      <c r="G8" s="17">
        <f t="shared" si="1"/>
        <v>64.788960000000003</v>
      </c>
      <c r="H8" s="17"/>
      <c r="I8" s="3" t="s">
        <v>1102</v>
      </c>
      <c r="J8" s="3" t="s">
        <v>1103</v>
      </c>
    </row>
    <row r="9" spans="1:12" ht="15" customHeight="1">
      <c r="A9" s="3" t="s">
        <v>538</v>
      </c>
      <c r="B9" s="3">
        <v>2050</v>
      </c>
      <c r="C9" s="17">
        <f t="shared" si="0"/>
        <v>8</v>
      </c>
      <c r="D9" s="17">
        <v>5</v>
      </c>
      <c r="E9" s="17">
        <v>3</v>
      </c>
      <c r="F9" s="52">
        <v>0.92449999999999999</v>
      </c>
      <c r="G9" s="17">
        <f t="shared" si="1"/>
        <v>64.788960000000003</v>
      </c>
      <c r="H9" s="17">
        <v>64.2</v>
      </c>
      <c r="I9" s="3" t="s">
        <v>1102</v>
      </c>
      <c r="J9" s="3" t="s">
        <v>1103</v>
      </c>
    </row>
    <row r="10" spans="1:12" ht="15" customHeight="1">
      <c r="A10" s="3" t="s">
        <v>543</v>
      </c>
      <c r="B10" s="3">
        <v>2050</v>
      </c>
      <c r="C10" s="17">
        <f t="shared" si="0"/>
        <v>8</v>
      </c>
      <c r="D10" s="17">
        <v>5</v>
      </c>
      <c r="E10" s="17">
        <v>3</v>
      </c>
      <c r="F10" s="52">
        <v>0.92449999999999999</v>
      </c>
      <c r="G10" s="17">
        <f t="shared" si="1"/>
        <v>64.788960000000003</v>
      </c>
      <c r="H10" s="17"/>
      <c r="I10" s="3" t="s">
        <v>1102</v>
      </c>
      <c r="J10" s="3" t="s">
        <v>1103</v>
      </c>
    </row>
    <row r="11" spans="1:12" ht="15" customHeight="1">
      <c r="C11" s="18"/>
      <c r="D11" s="18"/>
      <c r="E11" s="18"/>
      <c r="F11" s="53"/>
      <c r="G11" s="18"/>
      <c r="H11" s="18"/>
      <c r="K11" s="45"/>
      <c r="L11" s="45"/>
    </row>
    <row r="12" spans="1:12" ht="15" customHeight="1">
      <c r="C12" s="18"/>
      <c r="D12" s="18"/>
      <c r="E12" s="18"/>
      <c r="F12" s="53"/>
      <c r="G12" s="18"/>
      <c r="H12" s="18"/>
    </row>
    <row r="13" spans="1:12" ht="15" customHeight="1">
      <c r="A13" s="59" t="s">
        <v>1231</v>
      </c>
      <c r="B13" s="59" t="s">
        <v>1104</v>
      </c>
      <c r="C13" s="60" t="s">
        <v>1104</v>
      </c>
      <c r="D13" s="60" t="s">
        <v>1104</v>
      </c>
      <c r="E13" s="60" t="s">
        <v>1104</v>
      </c>
      <c r="F13" s="68" t="s">
        <v>1104</v>
      </c>
      <c r="G13" s="60" t="s">
        <v>1104</v>
      </c>
      <c r="H13" s="60" t="s">
        <v>1104</v>
      </c>
      <c r="I13" s="59" t="s">
        <v>1104</v>
      </c>
      <c r="J13" s="59" t="s">
        <v>1104</v>
      </c>
    </row>
    <row r="14" spans="1:12" ht="15" customHeight="1">
      <c r="A14" s="2" t="s">
        <v>566</v>
      </c>
      <c r="B14" s="2" t="s">
        <v>1097</v>
      </c>
      <c r="C14" s="21" t="s">
        <v>1105</v>
      </c>
      <c r="D14" s="21" t="s">
        <v>553</v>
      </c>
      <c r="E14" s="18"/>
      <c r="F14" s="53"/>
      <c r="G14" s="18"/>
      <c r="H14" s="18"/>
    </row>
    <row r="15" spans="1:12" ht="21.6" customHeight="1">
      <c r="A15" s="3" t="s">
        <v>1106</v>
      </c>
      <c r="B15" s="3">
        <v>0.92449999999999999</v>
      </c>
      <c r="C15" s="17">
        <f>8*8760*B15/1000</f>
        <v>64.788960000000003</v>
      </c>
      <c r="D15" s="17" t="s">
        <v>1107</v>
      </c>
      <c r="E15" s="18"/>
      <c r="F15" s="53"/>
      <c r="G15" s="18"/>
      <c r="H15" s="18"/>
    </row>
    <row r="16" spans="1:12" ht="15" customHeight="1">
      <c r="A16" s="3" t="s">
        <v>522</v>
      </c>
      <c r="B16" s="3">
        <v>0.92449999999999999</v>
      </c>
      <c r="C16" s="17">
        <f>8*8760*B16/1000</f>
        <v>64.788960000000003</v>
      </c>
      <c r="D16" s="17" t="s">
        <v>1107</v>
      </c>
      <c r="E16" s="18"/>
      <c r="F16" s="53"/>
      <c r="G16" s="18"/>
      <c r="H16" s="18"/>
    </row>
    <row r="17" spans="1:12" ht="21.6" customHeight="1">
      <c r="A17" s="3" t="s">
        <v>529</v>
      </c>
      <c r="B17" s="3">
        <v>0.92449999999999999</v>
      </c>
      <c r="C17" s="17">
        <f>8*8760*B17/1000</f>
        <v>64.788960000000003</v>
      </c>
      <c r="D17" s="17" t="s">
        <v>1107</v>
      </c>
      <c r="E17" s="18"/>
      <c r="F17" s="53"/>
      <c r="G17" s="18"/>
      <c r="H17" s="18"/>
    </row>
    <row r="20" spans="1:12" ht="15" customHeight="1">
      <c r="A20" s="55" t="s">
        <v>1108</v>
      </c>
      <c r="B20" s="55" t="s">
        <v>1108</v>
      </c>
      <c r="C20" s="55" t="s">
        <v>1108</v>
      </c>
      <c r="D20" s="55" t="s">
        <v>1108</v>
      </c>
      <c r="E20" s="55" t="s">
        <v>1108</v>
      </c>
      <c r="F20" s="55" t="s">
        <v>1108</v>
      </c>
      <c r="G20" s="55" t="s">
        <v>1108</v>
      </c>
      <c r="H20" s="55" t="s">
        <v>1108</v>
      </c>
      <c r="I20" s="55" t="s">
        <v>1108</v>
      </c>
      <c r="J20" s="55" t="s">
        <v>1108</v>
      </c>
      <c r="K20" s="45"/>
      <c r="L20" s="45"/>
    </row>
    <row r="21" spans="1:12" ht="37.950000000000003" customHeight="1">
      <c r="A21" s="55" t="s">
        <v>1108</v>
      </c>
      <c r="B21" s="55" t="s">
        <v>1108</v>
      </c>
      <c r="C21" s="55" t="s">
        <v>1108</v>
      </c>
      <c r="D21" s="55" t="s">
        <v>1108</v>
      </c>
      <c r="E21" s="55" t="s">
        <v>1108</v>
      </c>
      <c r="F21" s="55" t="s">
        <v>1108</v>
      </c>
      <c r="G21" s="55" t="s">
        <v>1108</v>
      </c>
      <c r="H21" s="55" t="s">
        <v>1108</v>
      </c>
      <c r="I21" s="55" t="s">
        <v>1108</v>
      </c>
      <c r="J21" s="55" t="s">
        <v>1108</v>
      </c>
    </row>
    <row r="22" spans="1:12" ht="28.05" customHeight="1">
      <c r="A22" s="55" t="s">
        <v>1108</v>
      </c>
      <c r="B22" s="55" t="s">
        <v>1108</v>
      </c>
      <c r="C22" s="55" t="s">
        <v>1108</v>
      </c>
      <c r="D22" s="55" t="s">
        <v>1108</v>
      </c>
      <c r="E22" s="55" t="s">
        <v>1108</v>
      </c>
      <c r="F22" s="55" t="s">
        <v>1108</v>
      </c>
      <c r="G22" s="55" t="s">
        <v>1108</v>
      </c>
      <c r="H22" s="55" t="s">
        <v>1108</v>
      </c>
      <c r="I22" s="55" t="s">
        <v>1108</v>
      </c>
      <c r="J22" s="55" t="s">
        <v>1108</v>
      </c>
    </row>
    <row r="23" spans="1:12" ht="15" customHeight="1"/>
    <row r="24" spans="1:12" ht="15" customHeight="1"/>
    <row r="25" spans="1:12" ht="15" customHeight="1"/>
    <row r="29" spans="1:12" ht="15" customHeight="1">
      <c r="K29" s="45"/>
      <c r="L29" s="45"/>
    </row>
    <row r="30" spans="1:12" ht="15" customHeight="1"/>
    <row r="31" spans="1:12" ht="15" customHeight="1"/>
    <row r="32" spans="1:12" ht="15" customHeight="1"/>
    <row r="33" spans="11:12" ht="15" customHeight="1"/>
    <row r="34" spans="11:12" ht="15" customHeight="1"/>
    <row r="35" spans="11:12" ht="15" customHeight="1"/>
    <row r="36" spans="11:12" ht="15" customHeight="1"/>
    <row r="37" spans="11:12" ht="15" customHeight="1"/>
    <row r="40" spans="11:12" ht="15" customHeight="1">
      <c r="K40" s="51"/>
      <c r="L40" s="51"/>
    </row>
    <row r="41" spans="11:12" ht="15" customHeight="1">
      <c r="K41" s="51"/>
      <c r="L41" s="51"/>
    </row>
    <row r="42" spans="11:12" ht="15" customHeight="1">
      <c r="K42" s="51"/>
      <c r="L42" s="51"/>
    </row>
    <row r="43" spans="11:12" ht="15" customHeight="1">
      <c r="K43" s="51"/>
      <c r="L43" s="51"/>
    </row>
  </sheetData>
  <mergeCells count="4">
    <mergeCell ref="A1:J1"/>
    <mergeCell ref="A2:J2"/>
    <mergeCell ref="A13:J13"/>
    <mergeCell ref="A20:J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0"/>
  <sheetViews>
    <sheetView showGridLines="0" workbookViewId="0">
      <selection activeCell="B12" sqref="B12"/>
    </sheetView>
  </sheetViews>
  <sheetFormatPr defaultRowHeight="14.4"/>
  <cols>
    <col min="1" max="1" width="25" style="1" customWidth="1"/>
    <col min="2" max="2" width="30" style="1" customWidth="1"/>
    <col min="3" max="3" width="25" style="1" customWidth="1"/>
    <col min="4" max="4" width="22" style="1" customWidth="1"/>
    <col min="5" max="5" width="16" style="1" customWidth="1"/>
    <col min="6" max="7" width="20" style="1" customWidth="1"/>
    <col min="8" max="8" width="44" style="1" customWidth="1"/>
    <col min="9" max="9" width="28" style="1" customWidth="1"/>
    <col min="10" max="10" width="23" style="1" customWidth="1"/>
    <col min="11" max="11" width="26" style="1" customWidth="1"/>
    <col min="12" max="12" width="48" style="1" customWidth="1"/>
    <col min="13" max="16384" width="8.796875" style="1"/>
  </cols>
  <sheetData>
    <row r="1" spans="1:12" ht="19.2" customHeight="1">
      <c r="A1" s="54" t="s">
        <v>1109</v>
      </c>
      <c r="B1" s="54" t="s">
        <v>1109</v>
      </c>
      <c r="C1" s="54" t="s">
        <v>1109</v>
      </c>
      <c r="D1" s="54" t="s">
        <v>1109</v>
      </c>
      <c r="E1" s="54" t="s">
        <v>1109</v>
      </c>
      <c r="F1" s="54" t="s">
        <v>1109</v>
      </c>
      <c r="G1" s="54" t="s">
        <v>1109</v>
      </c>
      <c r="H1" s="54" t="s">
        <v>1109</v>
      </c>
      <c r="I1" s="54" t="s">
        <v>1109</v>
      </c>
      <c r="J1" s="54" t="s">
        <v>1109</v>
      </c>
      <c r="K1" s="54" t="s">
        <v>1109</v>
      </c>
      <c r="L1" s="54" t="s">
        <v>1109</v>
      </c>
    </row>
    <row r="2" spans="1:12" ht="15" customHeight="1">
      <c r="A2" s="55" t="s">
        <v>1110</v>
      </c>
      <c r="B2" s="55" t="s">
        <v>1110</v>
      </c>
      <c r="C2" s="55" t="s">
        <v>1110</v>
      </c>
      <c r="D2" s="55" t="s">
        <v>1110</v>
      </c>
      <c r="E2" s="55" t="s">
        <v>1110</v>
      </c>
      <c r="F2" s="55" t="s">
        <v>1110</v>
      </c>
      <c r="G2" s="55" t="s">
        <v>1110</v>
      </c>
      <c r="H2" s="55" t="s">
        <v>1110</v>
      </c>
      <c r="I2" s="55" t="s">
        <v>1110</v>
      </c>
      <c r="J2" s="55" t="s">
        <v>1110</v>
      </c>
      <c r="K2" s="55" t="s">
        <v>1110</v>
      </c>
      <c r="L2" s="55" t="s">
        <v>1110</v>
      </c>
    </row>
    <row r="4" spans="1:12" ht="15" customHeight="1">
      <c r="A4" s="2" t="s">
        <v>1111</v>
      </c>
      <c r="B4" s="2" t="s">
        <v>1112</v>
      </c>
      <c r="C4" s="2" t="s">
        <v>1113</v>
      </c>
      <c r="D4" s="2" t="s">
        <v>1114</v>
      </c>
      <c r="E4" s="2" t="s">
        <v>1115</v>
      </c>
      <c r="F4" s="2" t="s">
        <v>14</v>
      </c>
      <c r="G4" s="2" t="s">
        <v>17</v>
      </c>
      <c r="H4" s="2" t="s">
        <v>1116</v>
      </c>
      <c r="I4" s="2" t="s">
        <v>761</v>
      </c>
      <c r="J4" s="2" t="s">
        <v>1117</v>
      </c>
      <c r="K4" s="2" t="s">
        <v>746</v>
      </c>
      <c r="L4" s="2" t="s">
        <v>1118</v>
      </c>
    </row>
    <row r="5" spans="1:12" ht="15" customHeight="1">
      <c r="A5" s="3" t="s">
        <v>1119</v>
      </c>
      <c r="B5" s="3" t="s">
        <v>1120</v>
      </c>
      <c r="C5" s="3" t="s">
        <v>1121</v>
      </c>
      <c r="D5" s="3" t="s">
        <v>1122</v>
      </c>
      <c r="E5" s="3" t="s">
        <v>1123</v>
      </c>
      <c r="F5" s="3" t="s">
        <v>1123</v>
      </c>
      <c r="G5" s="3" t="s">
        <v>1123</v>
      </c>
      <c r="H5" s="3" t="s">
        <v>1124</v>
      </c>
      <c r="I5" s="3" t="s">
        <v>1125</v>
      </c>
      <c r="J5" s="3" t="s">
        <v>990</v>
      </c>
      <c r="K5" s="3" t="s">
        <v>1126</v>
      </c>
      <c r="L5" s="3" t="s">
        <v>1127</v>
      </c>
    </row>
    <row r="6" spans="1:12" ht="15" customHeight="1">
      <c r="A6" s="3" t="s">
        <v>1128</v>
      </c>
      <c r="B6" s="3" t="s">
        <v>1129</v>
      </c>
      <c r="C6" s="3" t="s">
        <v>1130</v>
      </c>
      <c r="D6" s="3" t="s">
        <v>1131</v>
      </c>
      <c r="E6" s="3" t="s">
        <v>1115</v>
      </c>
      <c r="F6" s="3" t="s">
        <v>1115</v>
      </c>
      <c r="G6" s="3" t="s">
        <v>1132</v>
      </c>
      <c r="H6" s="3" t="s">
        <v>1133</v>
      </c>
      <c r="I6" s="3" t="s">
        <v>1134</v>
      </c>
      <c r="J6" s="3" t="s">
        <v>990</v>
      </c>
      <c r="K6" s="3" t="s">
        <v>1135</v>
      </c>
      <c r="L6" s="3" t="s">
        <v>1136</v>
      </c>
    </row>
    <row r="7" spans="1:12" ht="15" customHeight="1">
      <c r="A7" s="3" t="s">
        <v>1137</v>
      </c>
      <c r="B7" s="3" t="s">
        <v>1129</v>
      </c>
      <c r="C7" s="3" t="s">
        <v>1130</v>
      </c>
      <c r="D7" s="3" t="s">
        <v>1138</v>
      </c>
      <c r="E7" s="3" t="s">
        <v>1115</v>
      </c>
      <c r="F7" s="3" t="s">
        <v>1115</v>
      </c>
      <c r="G7" s="3" t="s">
        <v>1132</v>
      </c>
      <c r="H7" s="3" t="s">
        <v>1139</v>
      </c>
      <c r="I7" s="3" t="s">
        <v>1140</v>
      </c>
      <c r="J7" s="3" t="s">
        <v>990</v>
      </c>
      <c r="K7" s="3" t="s">
        <v>1141</v>
      </c>
      <c r="L7" s="3" t="s">
        <v>1142</v>
      </c>
    </row>
    <row r="8" spans="1:12" ht="15" customHeight="1">
      <c r="A8" s="3" t="s">
        <v>1143</v>
      </c>
      <c r="B8" s="3" t="s">
        <v>1129</v>
      </c>
      <c r="C8" s="3" t="s">
        <v>1144</v>
      </c>
      <c r="D8" s="3" t="s">
        <v>1145</v>
      </c>
      <c r="E8" s="3" t="s">
        <v>1115</v>
      </c>
      <c r="F8" s="3" t="s">
        <v>1115</v>
      </c>
      <c r="G8" s="3" t="s">
        <v>1132</v>
      </c>
      <c r="H8" s="3" t="s">
        <v>1146</v>
      </c>
      <c r="I8" s="3" t="s">
        <v>1134</v>
      </c>
      <c r="J8" s="3" t="s">
        <v>990</v>
      </c>
      <c r="K8" s="3" t="s">
        <v>1135</v>
      </c>
      <c r="L8" s="3" t="s">
        <v>1147</v>
      </c>
    </row>
    <row r="9" spans="1:12" ht="15" customHeight="1">
      <c r="A9" s="3" t="s">
        <v>1148</v>
      </c>
      <c r="B9" s="3" t="s">
        <v>1149</v>
      </c>
      <c r="C9" s="3" t="s">
        <v>1150</v>
      </c>
      <c r="D9" s="3" t="s">
        <v>1151</v>
      </c>
      <c r="E9" s="3" t="s">
        <v>1115</v>
      </c>
      <c r="F9" s="3" t="s">
        <v>1152</v>
      </c>
      <c r="G9" s="3" t="s">
        <v>1132</v>
      </c>
      <c r="H9" s="3" t="s">
        <v>1153</v>
      </c>
      <c r="I9" s="3" t="s">
        <v>734</v>
      </c>
      <c r="J9" s="3" t="s">
        <v>1013</v>
      </c>
      <c r="K9" s="3" t="s">
        <v>1154</v>
      </c>
      <c r="L9" s="3" t="s">
        <v>1155</v>
      </c>
    </row>
    <row r="10" spans="1:12" ht="15" customHeight="1">
      <c r="A10" s="3" t="s">
        <v>736</v>
      </c>
      <c r="B10" s="3" t="s">
        <v>1149</v>
      </c>
      <c r="C10" s="3" t="s">
        <v>1150</v>
      </c>
      <c r="D10" s="3" t="s">
        <v>1151</v>
      </c>
      <c r="E10" s="3" t="s">
        <v>1115</v>
      </c>
      <c r="F10" s="3" t="s">
        <v>1152</v>
      </c>
      <c r="G10" s="3" t="s">
        <v>1132</v>
      </c>
      <c r="H10" s="3" t="s">
        <v>1153</v>
      </c>
      <c r="I10" s="3" t="s">
        <v>734</v>
      </c>
      <c r="J10" s="3" t="s">
        <v>1013</v>
      </c>
      <c r="K10" s="3" t="s">
        <v>1154</v>
      </c>
      <c r="L10" s="3"/>
    </row>
    <row r="11" spans="1:12" ht="15" customHeight="1">
      <c r="A11" s="3" t="s">
        <v>1156</v>
      </c>
      <c r="B11" s="3" t="s">
        <v>1149</v>
      </c>
      <c r="C11" s="3" t="s">
        <v>1150</v>
      </c>
      <c r="D11" s="3" t="s">
        <v>1151</v>
      </c>
      <c r="E11" s="3" t="s">
        <v>1115</v>
      </c>
      <c r="F11" s="3" t="s">
        <v>1152</v>
      </c>
      <c r="G11" s="3" t="s">
        <v>1132</v>
      </c>
      <c r="H11" s="3" t="s">
        <v>1153</v>
      </c>
      <c r="I11" s="3" t="s">
        <v>734</v>
      </c>
      <c r="J11" s="3" t="s">
        <v>1013</v>
      </c>
      <c r="K11" s="3" t="s">
        <v>1154</v>
      </c>
      <c r="L11" s="3"/>
    </row>
    <row r="12" spans="1:12" ht="15" customHeight="1">
      <c r="A12" s="3" t="s">
        <v>1157</v>
      </c>
      <c r="B12" s="3" t="s">
        <v>1149</v>
      </c>
      <c r="C12" s="3" t="s">
        <v>1150</v>
      </c>
      <c r="D12" s="3" t="s">
        <v>1151</v>
      </c>
      <c r="E12" s="3" t="s">
        <v>1115</v>
      </c>
      <c r="F12" s="3" t="s">
        <v>1152</v>
      </c>
      <c r="G12" s="3" t="s">
        <v>1132</v>
      </c>
      <c r="H12" s="3" t="s">
        <v>1153</v>
      </c>
      <c r="I12" s="3" t="s">
        <v>734</v>
      </c>
      <c r="J12" s="3" t="s">
        <v>1013</v>
      </c>
      <c r="K12" s="3" t="s">
        <v>1154</v>
      </c>
      <c r="L12" s="3"/>
    </row>
    <row r="13" spans="1:12" ht="15" customHeight="1">
      <c r="A13" s="3" t="s">
        <v>26</v>
      </c>
      <c r="B13" s="3" t="s">
        <v>1158</v>
      </c>
      <c r="C13" s="3" t="s">
        <v>1150</v>
      </c>
      <c r="D13" s="3" t="s">
        <v>1151</v>
      </c>
      <c r="E13" s="3" t="s">
        <v>1159</v>
      </c>
      <c r="F13" s="3" t="s">
        <v>1160</v>
      </c>
      <c r="G13" s="3" t="s">
        <v>1160</v>
      </c>
      <c r="H13" s="3" t="s">
        <v>1161</v>
      </c>
      <c r="I13" s="3" t="s">
        <v>1102</v>
      </c>
      <c r="J13" s="3" t="s">
        <v>1162</v>
      </c>
      <c r="K13" s="3" t="s">
        <v>1163</v>
      </c>
      <c r="L13" s="3" t="s">
        <v>1164</v>
      </c>
    </row>
    <row r="14" spans="1:12" ht="15" customHeight="1">
      <c r="A14" s="3" t="s">
        <v>1165</v>
      </c>
      <c r="B14" s="3" t="s">
        <v>1166</v>
      </c>
      <c r="C14" s="3" t="s">
        <v>1167</v>
      </c>
      <c r="D14" s="3" t="s">
        <v>1168</v>
      </c>
      <c r="E14" s="3" t="s">
        <v>1169</v>
      </c>
      <c r="F14" s="3" t="s">
        <v>1169</v>
      </c>
      <c r="G14" s="3" t="s">
        <v>1169</v>
      </c>
      <c r="H14" s="3" t="s">
        <v>1170</v>
      </c>
      <c r="I14" s="3" t="s">
        <v>1171</v>
      </c>
      <c r="J14" s="3" t="s">
        <v>1172</v>
      </c>
      <c r="K14" s="3" t="s">
        <v>1173</v>
      </c>
      <c r="L14" s="3" t="s">
        <v>1174</v>
      </c>
    </row>
    <row r="15" spans="1:12" ht="15" customHeight="1">
      <c r="A15" s="3" t="s">
        <v>23</v>
      </c>
      <c r="B15" s="3" t="s">
        <v>1166</v>
      </c>
      <c r="C15" s="3" t="s">
        <v>1167</v>
      </c>
      <c r="D15" s="3" t="s">
        <v>1175</v>
      </c>
      <c r="E15" s="3" t="s">
        <v>1176</v>
      </c>
      <c r="F15" s="3" t="s">
        <v>1176</v>
      </c>
      <c r="G15" s="3" t="s">
        <v>1176</v>
      </c>
      <c r="H15" s="3" t="s">
        <v>1177</v>
      </c>
      <c r="I15" s="3" t="s">
        <v>1178</v>
      </c>
      <c r="J15" s="3" t="s">
        <v>1172</v>
      </c>
      <c r="K15" s="3" t="s">
        <v>1179</v>
      </c>
      <c r="L15" s="3" t="s">
        <v>1180</v>
      </c>
    </row>
    <row r="16" spans="1:12" ht="15" customHeight="1">
      <c r="A16" s="3" t="s">
        <v>1181</v>
      </c>
      <c r="B16" s="3" t="s">
        <v>1182</v>
      </c>
      <c r="C16" s="3" t="s">
        <v>1150</v>
      </c>
      <c r="D16" s="3" t="s">
        <v>1151</v>
      </c>
      <c r="E16" s="3" t="s">
        <v>783</v>
      </c>
      <c r="F16" s="3" t="s">
        <v>783</v>
      </c>
      <c r="G16" s="3" t="s">
        <v>783</v>
      </c>
      <c r="H16" s="3" t="s">
        <v>1183</v>
      </c>
      <c r="I16" s="3" t="s">
        <v>783</v>
      </c>
      <c r="J16" s="3" t="s">
        <v>1184</v>
      </c>
      <c r="K16" s="3" t="s">
        <v>1185</v>
      </c>
      <c r="L16" s="3" t="s">
        <v>1186</v>
      </c>
    </row>
    <row r="17" spans="1:12" ht="15" customHeight="1">
      <c r="A17" s="3" t="s">
        <v>1187</v>
      </c>
      <c r="B17" s="3" t="s">
        <v>1188</v>
      </c>
      <c r="C17" s="3" t="s">
        <v>1189</v>
      </c>
      <c r="D17" s="3" t="s">
        <v>1190</v>
      </c>
      <c r="E17" s="3" t="s">
        <v>1115</v>
      </c>
      <c r="F17" s="3" t="s">
        <v>1152</v>
      </c>
      <c r="G17" s="3" t="s">
        <v>1132</v>
      </c>
      <c r="H17" s="3" t="s">
        <v>1191</v>
      </c>
      <c r="I17" s="3" t="s">
        <v>1192</v>
      </c>
      <c r="J17" s="3" t="s">
        <v>990</v>
      </c>
      <c r="K17" s="3" t="s">
        <v>1135</v>
      </c>
      <c r="L17" s="3"/>
    </row>
    <row r="18" spans="1:12" ht="15" customHeight="1">
      <c r="A18" s="3" t="s">
        <v>1193</v>
      </c>
      <c r="B18" s="3" t="s">
        <v>1188</v>
      </c>
      <c r="C18" s="3" t="s">
        <v>1194</v>
      </c>
      <c r="D18" s="3" t="s">
        <v>1195</v>
      </c>
      <c r="E18" s="3" t="s">
        <v>1115</v>
      </c>
      <c r="F18" s="3" t="s">
        <v>1152</v>
      </c>
      <c r="G18" s="3" t="s">
        <v>1132</v>
      </c>
      <c r="H18" s="3" t="s">
        <v>1196</v>
      </c>
      <c r="I18" s="3" t="s">
        <v>1192</v>
      </c>
      <c r="J18" s="3" t="s">
        <v>990</v>
      </c>
      <c r="K18" s="3" t="s">
        <v>1197</v>
      </c>
      <c r="L18" s="3" t="s">
        <v>1198</v>
      </c>
    </row>
    <row r="19" spans="1:12" ht="15" customHeight="1">
      <c r="A19" s="3" t="s">
        <v>1199</v>
      </c>
      <c r="B19" s="3" t="s">
        <v>1200</v>
      </c>
      <c r="C19" s="3" t="s">
        <v>1201</v>
      </c>
      <c r="D19" s="3" t="s">
        <v>1202</v>
      </c>
      <c r="E19" s="3" t="s">
        <v>1203</v>
      </c>
      <c r="F19" s="3" t="s">
        <v>1204</v>
      </c>
      <c r="G19" s="3" t="s">
        <v>1205</v>
      </c>
      <c r="H19" s="3" t="s">
        <v>1206</v>
      </c>
      <c r="I19" s="3" t="s">
        <v>1207</v>
      </c>
      <c r="J19" s="3" t="s">
        <v>990</v>
      </c>
      <c r="K19" s="3" t="s">
        <v>1208</v>
      </c>
      <c r="L19" s="3" t="s">
        <v>1209</v>
      </c>
    </row>
    <row r="20" spans="1:12" ht="15" customHeight="1">
      <c r="A20" s="3" t="s">
        <v>1210</v>
      </c>
      <c r="B20" s="3" t="s">
        <v>1211</v>
      </c>
      <c r="C20" s="3" t="s">
        <v>1212</v>
      </c>
      <c r="D20" s="3" t="s">
        <v>1213</v>
      </c>
      <c r="E20" s="3" t="s">
        <v>1214</v>
      </c>
      <c r="F20" s="3" t="s">
        <v>1160</v>
      </c>
      <c r="G20" s="3" t="s">
        <v>1160</v>
      </c>
      <c r="H20" s="3" t="s">
        <v>1215</v>
      </c>
      <c r="I20" s="3" t="s">
        <v>1216</v>
      </c>
      <c r="J20" s="3" t="s">
        <v>1217</v>
      </c>
      <c r="K20" s="3" t="s">
        <v>1218</v>
      </c>
      <c r="L20" s="3" t="s">
        <v>1219</v>
      </c>
    </row>
    <row r="21" spans="1:12" ht="21.6" customHeight="1">
      <c r="A21" s="3" t="s">
        <v>1220</v>
      </c>
      <c r="B21" s="3" t="s">
        <v>1221</v>
      </c>
      <c r="C21" s="3" t="s">
        <v>1222</v>
      </c>
      <c r="D21" s="3" t="s">
        <v>1223</v>
      </c>
      <c r="E21" s="3" t="s">
        <v>1223</v>
      </c>
      <c r="F21" s="3" t="s">
        <v>1223</v>
      </c>
      <c r="G21" s="3" t="s">
        <v>1224</v>
      </c>
      <c r="H21" s="3" t="s">
        <v>1225</v>
      </c>
      <c r="I21" s="3" t="s">
        <v>1226</v>
      </c>
      <c r="J21" s="3" t="s">
        <v>1227</v>
      </c>
      <c r="K21" s="3" t="s">
        <v>1228</v>
      </c>
      <c r="L21" s="3" t="s">
        <v>1229</v>
      </c>
    </row>
    <row r="22" spans="1:12" ht="15" customHeight="1"/>
    <row r="23" spans="1:12" ht="15" customHeight="1"/>
    <row r="24" spans="1:12" ht="15" customHeight="1"/>
    <row r="25" spans="1:12" ht="28.05" customHeight="1">
      <c r="A25" s="55" t="s">
        <v>1230</v>
      </c>
      <c r="B25" s="55" t="s">
        <v>1230</v>
      </c>
      <c r="C25" s="55" t="s">
        <v>1230</v>
      </c>
      <c r="D25" s="55" t="s">
        <v>1230</v>
      </c>
      <c r="E25" s="55" t="s">
        <v>1230</v>
      </c>
      <c r="F25" s="55" t="s">
        <v>1230</v>
      </c>
      <c r="G25" s="55" t="s">
        <v>1230</v>
      </c>
      <c r="H25" s="55" t="s">
        <v>1230</v>
      </c>
      <c r="I25" s="55" t="s">
        <v>1230</v>
      </c>
      <c r="J25" s="55" t="s">
        <v>1230</v>
      </c>
      <c r="K25" s="55" t="s">
        <v>1230</v>
      </c>
      <c r="L25" s="55" t="s">
        <v>1230</v>
      </c>
    </row>
    <row r="26" spans="1:12" ht="28.05" customHeight="1">
      <c r="A26" s="55" t="s">
        <v>1230</v>
      </c>
      <c r="B26" s="55" t="s">
        <v>1230</v>
      </c>
      <c r="C26" s="55" t="s">
        <v>1230</v>
      </c>
      <c r="D26" s="55" t="s">
        <v>1230</v>
      </c>
      <c r="E26" s="55" t="s">
        <v>1230</v>
      </c>
      <c r="F26" s="55" t="s">
        <v>1230</v>
      </c>
      <c r="G26" s="55" t="s">
        <v>1230</v>
      </c>
      <c r="H26" s="55" t="s">
        <v>1230</v>
      </c>
      <c r="I26" s="55" t="s">
        <v>1230</v>
      </c>
      <c r="J26" s="55" t="s">
        <v>1230</v>
      </c>
      <c r="K26" s="55" t="s">
        <v>1230</v>
      </c>
      <c r="L26" s="55" t="s">
        <v>1230</v>
      </c>
    </row>
    <row r="27" spans="1:12" ht="28.05" customHeight="1">
      <c r="A27" s="55" t="s">
        <v>1230</v>
      </c>
      <c r="B27" s="55" t="s">
        <v>1230</v>
      </c>
      <c r="C27" s="55" t="s">
        <v>1230</v>
      </c>
      <c r="D27" s="55" t="s">
        <v>1230</v>
      </c>
      <c r="E27" s="55" t="s">
        <v>1230</v>
      </c>
      <c r="F27" s="55" t="s">
        <v>1230</v>
      </c>
      <c r="G27" s="55" t="s">
        <v>1230</v>
      </c>
      <c r="H27" s="55" t="s">
        <v>1230</v>
      </c>
      <c r="I27" s="55" t="s">
        <v>1230</v>
      </c>
      <c r="J27" s="55" t="s">
        <v>1230</v>
      </c>
      <c r="K27" s="55" t="s">
        <v>1230</v>
      </c>
      <c r="L27" s="55" t="s">
        <v>1230</v>
      </c>
    </row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s="1" customFormat="1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39" s="1" customFormat="1" ht="15" customHeight="1"/>
    <row r="40" s="1" customFormat="1" ht="15" customHeight="1"/>
    <row r="41" s="1" customFormat="1" ht="15" customHeight="1"/>
    <row r="42" s="1" customFormat="1" ht="15" customHeight="1"/>
    <row r="43" s="1" customFormat="1" ht="15" customHeight="1"/>
    <row r="44" s="1" customFormat="1" ht="15" customHeight="1"/>
    <row r="47" s="1" customFormat="1" ht="15" customHeight="1"/>
    <row r="48" s="1" customFormat="1" ht="15" customHeight="1"/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  <row r="63" s="1" customFormat="1" ht="15" customHeight="1"/>
    <row r="64" s="1" customFormat="1" ht="15" customHeight="1"/>
    <row r="65" s="1" customFormat="1" ht="15" customHeight="1"/>
    <row r="66" s="1" customFormat="1" ht="15" customHeight="1"/>
    <row r="67" s="1" customFormat="1" ht="15" customHeight="1"/>
    <row r="68" s="1" customFormat="1" ht="15" customHeight="1"/>
    <row r="69" s="1" customFormat="1" ht="15" customHeight="1"/>
    <row r="70" s="1" customFormat="1" ht="15" customHeight="1"/>
  </sheetData>
  <mergeCells count="3">
    <mergeCell ref="A1:L1"/>
    <mergeCell ref="A2:L2"/>
    <mergeCell ref="A25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01_SOURCES</vt:lpstr>
      <vt:lpstr>02_SCENARIOS</vt:lpstr>
      <vt:lpstr>03_ZONE_MAP</vt:lpstr>
      <vt:lpstr>04_GENERATION_BY_ZONE</vt:lpstr>
      <vt:lpstr>05_STORAGE_BY_ZONE</vt:lpstr>
      <vt:lpstr>06_DEMAND_BY_ZONE</vt:lpstr>
      <vt:lpstr>07_INTERZONAL_BY_ZONE</vt:lpstr>
      <vt:lpstr>08_FOREIGN_BY_ZONE</vt:lpstr>
      <vt:lpstr>09_TECH_COSTS</vt:lpstr>
      <vt:lpstr>10_NUCLEAR</vt:lpstr>
      <vt:lpstr>11_PYPSA_IMPLEMENTATION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 contributor</cp:lastModifiedBy>
  <dcterms:modified xsi:type="dcterms:W3CDTF">2026-09-01T15:37:49Z</dcterms:modified>
</cp:coreProperties>
</file>
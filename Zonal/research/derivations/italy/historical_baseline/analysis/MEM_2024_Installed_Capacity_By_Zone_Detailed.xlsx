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5e20bc62c45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4 Capacity by Zone" sheetId="1" r:id="R489a68eeff3a4482"/>
    <x:sheet xmlns:r="http://schemas.openxmlformats.org/officeDocument/2006/relationships" name="2024 Capacity Reconciliation" sheetId="2" r:id="R8f89f008adfa49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7324D"/>
      <x:name val="Carlito"/>
    </x:font>
    <x:font>
      <x:sz val="11"/>
      <x:color rgb="FF1F2933"/>
      <x:name val="Carlito"/>
    </x:font>
    <x:font>
      <x:b/>
      <x:sz val="11"/>
      <x:color rgb="FF17324D"/>
      <x:name val="Carlito"/>
    </x:font>
    <x:font>
      <x:b/>
      <x:sz val="11"/>
      <x:color rgb="FF6B4F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EEE"/>
      </x:patternFill>
    </x:fill>
    <x:fill>
      <x:patternFill patternType="solid">
        <x:fgColor rgb="FF0F5C5E"/>
      </x:patternFill>
    </x:fill>
    <x:fill>
      <x:patternFill patternType="solid">
        <x:fgColor rgb="FFE8F1F5"/>
      </x:patternFill>
    </x:fill>
    <x:fill>
      <x:patternFill patternType="solid">
        <x:fgColor rgb="FFE9F4EA"/>
      </x:patternFill>
    </x:fill>
    <x:fill>
      <x:patternFill patternType="solid">
        <x:fgColor rgb="FFFFF4D6"/>
      </x:patternFill>
    </x:fill>
    <x:fill>
      <x:patternFill patternType="solid">
        <x:fgColor rgb="FFE6F0FA"/>
      </x:patternFill>
    </x:fill>
    <x:fill>
      <x:patternFill patternType="solid">
        <x:fgColor rgb="FFF0EAF7"/>
      </x:patternFill>
    </x:fill>
  </x:fills>
  <x:borders count="7">
    <x:border/>
    <x:border>
      <x:left style="thin">
        <x:color rgb="FFC9D2DA"/>
      </x:left>
      <x:right style="thin">
        <x:color rgb="FFC9D2DA"/>
      </x:right>
      <x:top style="thin">
        <x:color rgb="FFC9D2DA"/>
      </x:top>
      <x:bottom style="thin">
        <x:color rgb="FFC9D2DA"/>
      </x:bottom>
    </x:border>
    <x:border>
      <x:bottom style="thin">
        <x:color rgb="FFE4E8EC"/>
      </x:bottom>
    </x:border>
    <x:border>
      <x:top style="thin">
        <x:color rgb="FFE4E8EC"/>
      </x:top>
      <x:bottom style="thin">
        <x:color rgb="FFE4E8EC"/>
      </x:bottom>
    </x:border>
    <x:border>
      <x:top style="thin">
        <x:color rgb="FFE4E8EC"/>
      </x:top>
    </x:border>
    <x:border>
      <x:top style="medium">
        <x:color rgb="FF718096"/>
      </x:top>
      <x:bottom style="medium">
        <x:color rgb="FF718096"/>
      </x:bottom>
    </x:border>
    <x:border>
      <x:top style="medium">
        <x:color rgb="FF718096"/>
      </x:top>
      <x:bottom style="double">
        <x:color rgb="FF718096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200" fontId="3" fillId="5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200" fontId="4" fillId="5" borderId="3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200" fontId="4" fillId="5" borderId="5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vertical="center" wrapText="1"/>
    </x:xf>
    <x:xf numFmtId="200" fontId="3" fillId="6" borderId="3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200" fontId="4" fillId="6" borderId="3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200" fontId="4" fillId="6" borderId="5" xfId="0" applyNumberFormat="1" applyFont="1" applyFill="1" applyBorder="1" applyAlignment="1">
      <x:alignment vertical="center" wrapText="1"/>
    </x:xf>
    <x:xf numFmtId="0" fontId="3" fillId="7" borderId="3" xfId="0" applyNumberFormat="1" applyFont="1" applyFill="1" applyBorder="1" applyAlignment="1">
      <x:alignment vertical="center" wrapText="1"/>
    </x:xf>
    <x:xf numFmtId="200" fontId="3" fillId="7" borderId="3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200" fontId="3" fillId="8" borderId="3" xfId="0" applyNumberFormat="1" applyFont="1" applyFill="1" applyBorder="1" applyAlignment="1">
      <x:alignment vertical="center" wrapText="1"/>
    </x:xf>
    <x:xf numFmtId="0" fontId="4" fillId="8" borderId="3" xfId="0" applyNumberFormat="1" applyFont="1" applyFill="1" applyBorder="1" applyAlignment="1">
      <x:alignment vertical="center" wrapText="1"/>
    </x:xf>
    <x:xf numFmtId="200" fontId="4" fillId="8" borderId="3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200" fontId="4" fillId="8" borderId="5" xfId="0" applyNumberFormat="1" applyFont="1" applyFill="1" applyBorder="1" applyAlignment="1">
      <x:alignment vertical="center" wrapText="1"/>
    </x:xf>
    <x:xf numFmtId="0" fontId="3" fillId="9" borderId="3" xfId="0" applyNumberFormat="1" applyFont="1" applyFill="1" applyBorder="1" applyAlignment="1">
      <x:alignment vertical="center" wrapText="1"/>
    </x:xf>
    <x:xf numFmtId="200" fontId="3" fillId="9" borderId="3" xfId="0" applyNumberFormat="1" applyFont="1" applyFill="1" applyBorder="1" applyAlignment="1">
      <x:alignment vertical="center" wrapText="1"/>
    </x:xf>
    <x:xf numFmtId="0" fontId="3" fillId="9" borderId="4" xfId="0" applyNumberFormat="1" applyFont="1" applyFill="1" applyBorder="1" applyAlignment="1">
      <x:alignment vertical="center" wrapText="1"/>
    </x:xf>
    <x:xf numFmtId="200" fontId="3" fillId="9" borderId="4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wrapText="1"/>
    </x:xf>
    <x:xf numFmtId="200" fontId="3" fillId="0" borderId="3" xfId="0" applyNumberFormat="1" applyFont="1" applyFill="1" applyBorder="1" applyAlignment="1">
      <x:alignment wrapText="1"/>
    </x:xf>
    <x:xf numFmtId="200" fontId="3" fillId="0" borderId="4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200" fontId="3" fillId="3" borderId="3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200" fontId="4" fillId="3" borderId="3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200" fontId="4" fillId="3" borderId="6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1fb3785fd04ab5" /><Relationship Type="http://schemas.openxmlformats.org/officeDocument/2006/relationships/theme" Target="/xl/theme/theme1.xml" Id="R08acd6b20b784271" /><Relationship Type="http://schemas.openxmlformats.org/officeDocument/2006/relationships/sharedStrings" Target="/xl/sharedStrings.xml" Id="R8b7ca1b8abc44eeb" /><Relationship Type="http://schemas.openxmlformats.org/officeDocument/2006/relationships/worksheet" Target="/xl/worksheets/sheet1.xml" Id="R489a68eeff3a4482" /><Relationship Type="http://schemas.openxmlformats.org/officeDocument/2006/relationships/worksheet" Target="/xl/worksheets/sheet2.xml" Id="R8f89f008adfa493c" /></Relationships>
</file>

<file path=xl/theme/theme1.xml><?xml version="1.0" encoding="utf-8"?>
<a:theme xmlns:a="http://schemas.openxmlformats.org/drawingml/2006/main" name="Research">
  <a:themeElements>
    <a:clrScheme name="Research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esearch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1" hidden="0" customWidth="1"/>
    <x:col min="3" max="3" width="11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48" hidden="0" customWidth="1"/>
    <x:col min="13" max="13" width="34" hidden="0" customWidth="1"/>
    <x:col min="14" max="14" width="52" hidden="0" customWidth="1"/>
    <x:col min="15" max="15" width="42" hidden="0" customWidth="1"/>
  </x:cols>
  <x:sheetData>
    <x:row r="1" ht="28" customHeight="1">
      <x:c r="A1" s="4" t="str">
        <x:v>MEM 2024 installed capacity by Italian market zone - detailed analytical view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8" t="str">
        <x:v>Power is GW NET where stated. Storage energy is GWh. Cross-classifications, subsets, control rows and storage are explicitly non-additive unless the accounting role says PRIMARY_ADDITIVE.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 ht="32" customHeight="1">
      <x:c r="A4" s="14" t="str">
        <x:v>Block</x:v>
      </x:c>
      <x:c r="B4" s="14" t="str">
        <x:v>Technology</x:v>
      </x:c>
      <x:c r="C4" s="14" t="str">
        <x:v>Unit</x:v>
      </x:c>
      <x:c r="D4" s="14" t="str">
        <x:v>NORD</x:v>
      </x:c>
      <x:c r="E4" s="14" t="str">
        <x:v>CNOR</x:v>
      </x:c>
      <x:c r="F4" s="14" t="str">
        <x:v>CSUD</x:v>
      </x:c>
      <x:c r="G4" s="14" t="str">
        <x:v>SUD</x:v>
      </x:c>
      <x:c r="H4" s="14" t="str">
        <x:v>CALA</x:v>
      </x:c>
      <x:c r="I4" s="14" t="str">
        <x:v>SICI</x:v>
      </x:c>
      <x:c r="J4" s="14" t="str">
        <x:v>SARD</x:v>
      </x:c>
      <x:c r="K4" s="14" t="str">
        <x:v>Italy</x:v>
      </x:c>
      <x:c r="L4" s="14" t="str">
        <x:v>Capacity basis</x:v>
      </x:c>
      <x:c r="M4" s="14" t="str">
        <x:v>Accounting role</x:v>
      </x:c>
      <x:c r="N4" s="14" t="str">
        <x:v>Status</x:v>
      </x:c>
      <x:c r="O4" s="14" t="str">
        <x:v>Source ID</x:v>
      </x:c>
    </x:row>
    <x:row r="5">
      <x:c r="A5" s="28" t="str">
        <x:v>THERMAL CONVERSION</x:v>
      </x:c>
      <x:c r="B5" s="28" t="str">
        <x:v>CCGT_NON_CHP</x:v>
      </x:c>
      <x:c r="C5" s="28" t="str">
        <x:v>GW NET</x:v>
      </x:c>
      <x:c r="D5" s="29" t="n">
        <x:v>12.026855</x:v>
      </x:c>
      <x:c r="E5" s="29" t="n">
        <x:v>0.452626</x:v>
      </x:c>
      <x:c r="F5" s="29" t="n">
        <x:v>5.57119</x:v>
      </x:c>
      <x:c r="G5" s="29" t="n">
        <x:v>2.157278</x:v>
      </x:c>
      <x:c r="H5" s="29" t="n">
        <x:v>1.582</x:v>
      </x:c>
      <x:c r="I5" s="29" t="n">
        <x:v>1.548</x:v>
      </x:c>
      <x:c r="J5" s="29" t="n">
        <x:v>0.036</x:v>
      </x:c>
      <x:c r="K5" s="29" t="n">
        <x:f>SUM(D5:J5)</x:f>
        <x:v>23.373949000000003</x:v>
      </x:c>
      <x:c r="L5" s="28" t="str">
        <x:v>Terna 2024 NET efficient power</x:v>
      </x:c>
      <x:c r="M5" s="28" t="str">
        <x:v>PRIMARY_ADDITIVE</x:v>
      </x:c>
      <x:c r="N5" s="28" t="str">
        <x:v>VALIDATED_CONVERSION_TECHNOLOGY; FUEL_SOURCE_REQUIRES_RECONCILIATION</x:v>
      </x:c>
      <x:c r="O5" s="28" t="str">
        <x:v>TERNA_THERMO_CAPACITY_2024_NET_DOWNLOAD_CENTER</x:v>
      </x:c>
    </x:row>
    <x:row r="6">
      <x:c r="A6" s="30" t="str">
        <x:v>THERMAL CONVERSION</x:v>
      </x:c>
      <x:c r="B6" s="30" t="str">
        <x:v>CCGT_CHP</x:v>
      </x:c>
      <x:c r="C6" s="30" t="str">
        <x:v>GW NET</x:v>
      </x:c>
      <x:c r="D6" s="31" t="n">
        <x:v>10.726618</x:v>
      </x:c>
      <x:c r="E6" s="31" t="n">
        <x:v>1.123387</x:v>
      </x:c>
      <x:c r="F6" s="31" t="n">
        <x:v>0.670765</x:v>
      </x:c>
      <x:c r="G6" s="31" t="n">
        <x:v>2.204229</x:v>
      </x:c>
      <x:c r="H6" s="31" t="n">
        <x:v>1.607335</x:v>
      </x:c>
      <x:c r="I6" s="31" t="n">
        <x:v>1.441836</x:v>
      </x:c>
      <x:c r="J6" s="31" t="n">
        <x:v>0.591</x:v>
      </x:c>
      <x:c r="K6" s="31" t="n">
        <x:f>SUM(D6:J6)</x:f>
        <x:v>18.36517</x:v>
      </x:c>
      <x:c r="L6" s="30" t="str">
        <x:v>Terna 2024 NET efficient power</x:v>
      </x:c>
      <x:c r="M6" s="30" t="str">
        <x:v>PRIMARY_ADDITIVE</x:v>
      </x:c>
      <x:c r="N6" s="30" t="str">
        <x:v>VALIDATED_CONVERSION_TECHNOLOGY; FUEL_SOURCE_REQUIRES_RECONCILIATION</x:v>
      </x:c>
      <x:c r="O6" s="30" t="str">
        <x:v>TERNA_THERMO_CAPACITY_2024_NET_DOWNLOAD_CENTER</x:v>
      </x:c>
    </x:row>
    <x:row r="7">
      <x:c r="A7" s="30" t="str">
        <x:v>THERMAL CONVERSION</x:v>
      </x:c>
      <x:c r="B7" s="30" t="str">
        <x:v>GT_NON_CHP</x:v>
      </x:c>
      <x:c r="C7" s="30" t="str">
        <x:v>GW NET</x:v>
      </x:c>
      <x:c r="D7" s="31" t="n">
        <x:v>0.1676766</x:v>
      </x:c>
      <x:c r="E7" s="31" t="n">
        <x:v>0.05787</x:v>
      </x:c>
      <x:c r="F7" s="31" t="n">
        <x:v>0.725216</x:v>
      </x:c>
      <x:c r="G7" s="31" t="n">
        <x:v>0.251585</x:v>
      </x:c>
      <x:c r="H7" s="31" t="n">
        <x:v>0.22704</x:v>
      </x:c>
      <x:c r="I7" s="31" t="n">
        <x:v>0.64762</x:v>
      </x:c>
      <x:c r="J7" s="31" t="n">
        <x:v>0.15</x:v>
      </x:c>
      <x:c r="K7" s="31" t="n">
        <x:f>SUM(D7:J7)</x:f>
        <x:v>2.2270076</x:v>
      </x:c>
      <x:c r="L7" s="30" t="str">
        <x:v>Terna 2024 NET efficient power</x:v>
      </x:c>
      <x:c r="M7" s="30" t="str">
        <x:v>PRIMARY_ADDITIVE</x:v>
      </x:c>
      <x:c r="N7" s="30" t="str">
        <x:v>VALIDATED_CONVERSION_TECHNOLOGY; FUEL_SOURCE_REQUIRES_RECONCILIATION</x:v>
      </x:c>
      <x:c r="O7" s="30" t="str">
        <x:v>TERNA_THERMO_CAPACITY_2024_NET_DOWNLOAD_CENTER</x:v>
      </x:c>
    </x:row>
    <x:row r="8">
      <x:c r="A8" s="30" t="str">
        <x:v>THERMAL CONVERSION</x:v>
      </x:c>
      <x:c r="B8" s="30" t="str">
        <x:v>GT_CHP</x:v>
      </x:c>
      <x:c r="C8" s="30" t="str">
        <x:v>GW NET</x:v>
      </x:c>
      <x:c r="D8" s="31" t="n">
        <x:v>0.74092438</x:v>
      </x:c>
      <x:c r="E8" s="31" t="n">
        <x:v>0.459399</x:v>
      </x:c>
      <x:c r="F8" s="31" t="n">
        <x:v>0.104681</x:v>
      </x:c>
      <x:c r="G8" s="31" t="n">
        <x:v>0.024727</x:v>
      </x:c>
      <x:c r="H8" s="31" t="n">
        <x:v>0.006241</x:v>
      </x:c>
      <x:c r="I8" s="31" t="n">
        <x:v>0.056398</x:v>
      </x:c>
      <x:c r="J8" s="31" t="n">
        <x:v>0</x:v>
      </x:c>
      <x:c r="K8" s="31" t="n">
        <x:f>SUM(D8:J8)</x:f>
        <x:v>1.3923703799999998</x:v>
      </x:c>
      <x:c r="L8" s="30" t="str">
        <x:v>Terna 2024 NET efficient power</x:v>
      </x:c>
      <x:c r="M8" s="30" t="str">
        <x:v>PRIMARY_ADDITIVE</x:v>
      </x:c>
      <x:c r="N8" s="30" t="str">
        <x:v>VALIDATED_CONVERSION_TECHNOLOGY; FUEL_SOURCE_REQUIRES_RECONCILIATION</x:v>
      </x:c>
      <x:c r="O8" s="30" t="str">
        <x:v>TERNA_THERMO_CAPACITY_2024_NET_DOWNLOAD_CENTER</x:v>
      </x:c>
    </x:row>
    <x:row r="9">
      <x:c r="A9" s="30" t="str">
        <x:v>THERMAL CONVERSION</x:v>
      </x:c>
      <x:c r="B9" s="30" t="str">
        <x:v>INTERNAL_COMBUSTION_NON_CHP</x:v>
      </x:c>
      <x:c r="C9" s="30" t="str">
        <x:v>GW NET</x:v>
      </x:c>
      <x:c r="D9" s="31" t="n">
        <x:v>0.6822655</x:v>
      </x:c>
      <x:c r="E9" s="31" t="n">
        <x:v>0.1314173</x:v>
      </x:c>
      <x:c r="F9" s="31" t="n">
        <x:v>0.26735</x:v>
      </x:c>
      <x:c r="G9" s="31" t="n">
        <x:v>0.285013</x:v>
      </x:c>
      <x:c r="H9" s="31" t="n">
        <x:v>0.004603</x:v>
      </x:c>
      <x:c r="I9" s="31" t="n">
        <x:v>0.175563</x:v>
      </x:c>
      <x:c r="J9" s="31" t="n">
        <x:v>0.01011</x:v>
      </x:c>
      <x:c r="K9" s="31" t="n">
        <x:f>SUM(D9:J9)</x:f>
        <x:v>1.5563217999999999</x:v>
      </x:c>
      <x:c r="L9" s="30" t="str">
        <x:v>Terna 2024 NET efficient power</x:v>
      </x:c>
      <x:c r="M9" s="30" t="str">
        <x:v>PRIMARY_ADDITIVE</x:v>
      </x:c>
      <x:c r="N9" s="30" t="str">
        <x:v>VALIDATED_CONVERSION_TECHNOLOGY; FUEL_SOURCE_REQUIRES_RECONCILIATION</x:v>
      </x:c>
      <x:c r="O9" s="30" t="str">
        <x:v>TERNA_THERMO_CAPACITY_2024_NET_DOWNLOAD_CENTER</x:v>
      </x:c>
    </x:row>
    <x:row r="10">
      <x:c r="A10" s="30" t="str">
        <x:v>THERMAL CONVERSION</x:v>
      </x:c>
      <x:c r="B10" s="30" t="str">
        <x:v>INTERNAL_COMBUSTION_CHP</x:v>
      </x:c>
      <x:c r="C10" s="30" t="str">
        <x:v>GW NET</x:v>
      </x:c>
      <x:c r="D10" s="31" t="n">
        <x:v>3.04694443</x:v>
      </x:c>
      <x:c r="E10" s="31" t="n">
        <x:v>0.28726276</x:v>
      </x:c>
      <x:c r="F10" s="31" t="n">
        <x:v>0.574638</x:v>
      </x:c>
      <x:c r="G10" s="31" t="n">
        <x:v>0.187371</x:v>
      </x:c>
      <x:c r="H10" s="31" t="n">
        <x:v>0.036619</x:v>
      </x:c>
      <x:c r="I10" s="31" t="n">
        <x:v>0.0473573</x:v>
      </x:c>
      <x:c r="J10" s="31" t="n">
        <x:v>0.01399</x:v>
      </x:c>
      <x:c r="K10" s="31" t="n">
        <x:f>SUM(D10:J10)</x:f>
        <x:v>4.194182489999999</x:v>
      </x:c>
      <x:c r="L10" s="30" t="str">
        <x:v>Terna 2024 NET efficient power</x:v>
      </x:c>
      <x:c r="M10" s="30" t="str">
        <x:v>PRIMARY_ADDITIVE</x:v>
      </x:c>
      <x:c r="N10" s="30" t="str">
        <x:v>VALIDATED_CONVERSION_TECHNOLOGY; FUEL_SOURCE_REQUIRES_RECONCILIATION</x:v>
      </x:c>
      <x:c r="O10" s="30" t="str">
        <x:v>TERNA_THERMO_CAPACITY_2024_NET_DOWNLOAD_CENTER</x:v>
      </x:c>
    </x:row>
    <x:row r="11">
      <x:c r="A11" s="30" t="str">
        <x:v>THERMAL CONVERSION</x:v>
      </x:c>
      <x:c r="B11" s="30" t="str">
        <x:v>STEAM_CONDENSING</x:v>
      </x:c>
      <x:c r="C11" s="30" t="str">
        <x:v>GW NET</x:v>
      </x:c>
      <x:c r="D11" s="31" t="n">
        <x:v>0.836666</x:v>
      </x:c>
      <x:c r="E11" s="31" t="n">
        <x:v>0.034182</x:v>
      </x:c>
      <x:c r="F11" s="31" t="n">
        <x:v>1.99472</x:v>
      </x:c>
      <x:c r="G11" s="31" t="n">
        <x:v>1.88879</x:v>
      </x:c>
      <x:c r="H11" s="31" t="n">
        <x:v>0.139129</x:v>
      </x:c>
      <x:c r="I11" s="31" t="n">
        <x:v>0.886929</x:v>
      </x:c>
      <x:c r="J11" s="31" t="n">
        <x:v>1.116925</x:v>
      </x:c>
      <x:c r="K11" s="31" t="n">
        <x:f>SUM(D11:J11)</x:f>
        <x:v>6.897341</x:v>
      </x:c>
      <x:c r="L11" s="30" t="str">
        <x:v>Terna 2024 NET efficient power</x:v>
      </x:c>
      <x:c r="M11" s="30" t="str">
        <x:v>PRIMARY_ADDITIVE</x:v>
      </x:c>
      <x:c r="N11" s="30" t="str">
        <x:v>VALIDATED_CONVERSION_TECHNOLOGY; FUEL_SOURCE_REQUIRES_RECONCILIATION</x:v>
      </x:c>
      <x:c r="O11" s="30" t="str">
        <x:v>TERNA_THERMO_CAPACITY_2024_NET_DOWNLOAD_CENTER</x:v>
      </x:c>
    </x:row>
    <x:row r="12">
      <x:c r="A12" s="30" t="str">
        <x:v>THERMAL CONVERSION</x:v>
      </x:c>
      <x:c r="B12" s="30" t="str">
        <x:v>STEAM_EXTRACTION_CHP</x:v>
      </x:c>
      <x:c r="C12" s="30" t="str">
        <x:v>GW NET</x:v>
      </x:c>
      <x:c r="D12" s="31" t="n">
        <x:v>0.693127</x:v>
      </x:c>
      <x:c r="E12" s="31" t="n">
        <x:v>0.007999</x:v>
      </x:c>
      <x:c r="F12" s="31" t="n">
        <x:v>0.043384</x:v>
      </x:c>
      <x:c r="G12" s="31" t="n">
        <x:v>0.52389</x:v>
      </x:c>
      <x:c r="H12" s="31" t="n">
        <x:v>0.017</x:v>
      </x:c>
      <x:c r="I12" s="31" t="n">
        <x:v>0.0184</x:v>
      </x:c>
      <x:c r="J12" s="31" t="n">
        <x:v>0.217145</x:v>
      </x:c>
      <x:c r="K12" s="31" t="n">
        <x:f>SUM(D12:J12)</x:f>
        <x:v>1.5209449999999998</x:v>
      </x:c>
      <x:c r="L12" s="30" t="str">
        <x:v>Terna 2024 NET efficient power</x:v>
      </x:c>
      <x:c r="M12" s="30" t="str">
        <x:v>PRIMARY_ADDITIVE</x:v>
      </x:c>
      <x:c r="N12" s="30" t="str">
        <x:v>VALIDATED_CONVERSION_TECHNOLOGY; FUEL_SOURCE_REQUIRES_RECONCILIATION</x:v>
      </x:c>
      <x:c r="O12" s="30" t="str">
        <x:v>TERNA_THERMO_CAPACITY_2024_NET_DOWNLOAD_CENTER</x:v>
      </x:c>
    </x:row>
    <x:row r="13">
      <x:c r="A13" s="30" t="str">
        <x:v>THERMAL CONVERSION</x:v>
      </x:c>
      <x:c r="B13" s="30" t="str">
        <x:v>STEAM_BACKPRESSURE_CHP</x:v>
      </x:c>
      <x:c r="C13" s="30" t="str">
        <x:v>GW NET</x:v>
      </x:c>
      <x:c r="D13" s="31" t="n">
        <x:v>0.342483</x:v>
      </x:c>
      <x:c r="E13" s="31" t="n">
        <x:v>0.01251</x:v>
      </x:c>
      <x:c r="F13" s="31" t="n">
        <x:v>0</x:v>
      </x:c>
      <x:c r="G13" s="31" t="n">
        <x:v>0.007951</x:v>
      </x:c>
      <x:c r="H13" s="31" t="n">
        <x:v>0</x:v>
      </x:c>
      <x:c r="I13" s="31" t="n">
        <x:v>0.134496</x:v>
      </x:c>
      <x:c r="J13" s="31" t="n">
        <x:v>0.01064</x:v>
      </x:c>
      <x:c r="K13" s="31" t="n">
        <x:f>SUM(D13:J13)</x:f>
        <x:v>0.50808</x:v>
      </x:c>
      <x:c r="L13" s="30" t="str">
        <x:v>Terna 2024 NET efficient power</x:v>
      </x:c>
      <x:c r="M13" s="30" t="str">
        <x:v>PRIMARY_ADDITIVE</x:v>
      </x:c>
      <x:c r="N13" s="30" t="str">
        <x:v>VALIDATED_CONVERSION_TECHNOLOGY; FUEL_SOURCE_REQUIRES_RECONCILIATION</x:v>
      </x:c>
      <x:c r="O13" s="30" t="str">
        <x:v>TERNA_THERMO_CAPACITY_2024_NET_DOWNLOAD_CENTER</x:v>
      </x:c>
    </x:row>
    <x:row r="14">
      <x:c r="A14" s="30" t="str">
        <x:v>THERMAL CONVERSION</x:v>
      </x:c>
      <x:c r="B14" s="30" t="str">
        <x:v>FUEL_CELL_NON_CHP</x:v>
      </x:c>
      <x:c r="C14" s="30" t="str">
        <x:v>GW NET</x:v>
      </x:c>
      <x:c r="D14" s="31" t="n">
        <x:v>0.001044</x:v>
      </x:c>
      <x:c r="E14" s="31" t="n">
        <x:v>0.000009</x:v>
      </x:c>
      <x:c r="F14" s="31" t="n">
        <x:v>0</x:v>
      </x:c>
      <x:c r="G14" s="31" t="n">
        <x:v>0.000002</x:v>
      </x:c>
      <x:c r="H14" s="31" t="n">
        <x:v>0</x:v>
      </x:c>
      <x:c r="I14" s="31" t="n">
        <x:v>0</x:v>
      </x:c>
      <x:c r="J14" s="31" t="n">
        <x:v>0</x:v>
      </x:c>
      <x:c r="K14" s="31" t="n">
        <x:f>SUM(D14:J14)</x:f>
        <x:v>0.001055</x:v>
      </x:c>
      <x:c r="L14" s="30" t="str">
        <x:v>Terna 2024 NET efficient power</x:v>
      </x:c>
      <x:c r="M14" s="30" t="str">
        <x:v>PRIMARY_ADDITIVE</x:v>
      </x:c>
      <x:c r="N14" s="30" t="str">
        <x:v>VALIDATED_CONVERSION_TECHNOLOGY; FUEL_SOURCE_REQUIRES_RECONCILIATION</x:v>
      </x:c>
      <x:c r="O14" s="30" t="str">
        <x:v>TERNA_THERMO_CAPACITY_2024_NET_DOWNLOAD_CENTER</x:v>
      </x:c>
    </x:row>
    <x:row r="15">
      <x:c r="A15" s="30" t="str">
        <x:v>THERMAL CONVERSION</x:v>
      </x:c>
      <x:c r="B15" s="30" t="str">
        <x:v>FUEL_CELL_CHP</x:v>
      </x:c>
      <x:c r="C15" s="30" t="str">
        <x:v>GW NET</x:v>
      </x:c>
      <x:c r="D15" s="31" t="n">
        <x:v>0.000397</x:v>
      </x:c>
      <x:c r="E15" s="31" t="n">
        <x:v>0.000001</x:v>
      </x:c>
      <x:c r="F15" s="31" t="n">
        <x:v>0</x:v>
      </x:c>
      <x:c r="G15" s="31" t="n">
        <x:v>0.000002</x:v>
      </x:c>
      <x:c r="H15" s="31" t="n">
        <x:v>0</x:v>
      </x:c>
      <x:c r="I15" s="31" t="n">
        <x:v>0</x:v>
      </x:c>
      <x:c r="J15" s="31" t="n">
        <x:v>0</x:v>
      </x:c>
      <x:c r="K15" s="31" t="n">
        <x:f>SUM(D15:J15)</x:f>
        <x:v>0.0004</x:v>
      </x:c>
      <x:c r="L15" s="30" t="str">
        <x:v>Terna 2024 NET efficient power</x:v>
      </x:c>
      <x:c r="M15" s="30" t="str">
        <x:v>PRIMARY_ADDITIVE</x:v>
      </x:c>
      <x:c r="N15" s="30" t="str">
        <x:v>VALIDATED_CONVERSION_TECHNOLOGY; FUEL_SOURCE_REQUIRES_RECONCILIATION</x:v>
      </x:c>
      <x:c r="O15" s="30" t="str">
        <x:v>TERNA_THERMO_CAPACITY_2024_NET_DOWNLOAD_CENTER</x:v>
      </x:c>
    </x:row>
    <x:row r="16">
      <x:c r="A16" s="30" t="str">
        <x:v>THERMAL CONVERSION</x:v>
      </x:c>
      <x:c r="B16" s="30" t="str">
        <x:v>EXTERNAL_COMBUSTION</x:v>
      </x:c>
      <x:c r="C16" s="30" t="str">
        <x:v>GW NET</x:v>
      </x:c>
      <x:c r="D16" s="31" t="n">
        <x:v>0.0006</x:v>
      </x:c>
      <x:c r="E16" s="31" t="n">
        <x:v>0</x:v>
      </x:c>
      <x:c r="F16" s="31" t="n">
        <x:v>0</x:v>
      </x:c>
      <x:c r="G16" s="31" t="n">
        <x:v>0</x:v>
      </x:c>
      <x:c r="H16" s="31" t="n">
        <x:v>0</x:v>
      </x:c>
      <x:c r="I16" s="31" t="n">
        <x:v>0</x:v>
      </x:c>
      <x:c r="J16" s="31" t="n">
        <x:v>0</x:v>
      </x:c>
      <x:c r="K16" s="31" t="n">
        <x:f>SUM(D16:J16)</x:f>
        <x:v>0.0006</x:v>
      </x:c>
      <x:c r="L16" s="30" t="str">
        <x:v>Terna 2024 NET efficient power</x:v>
      </x:c>
      <x:c r="M16" s="30" t="str">
        <x:v>PRIMARY_ADDITIVE</x:v>
      </x:c>
      <x:c r="N16" s="30" t="str">
        <x:v>VALIDATED_CONVERSION_TECHNOLOGY; FUEL_SOURCE_REQUIRES_RECONCILIATION</x:v>
      </x:c>
      <x:c r="O16" s="30" t="str">
        <x:v>TERNA_THERMO_CAPACITY_2024_NET_DOWNLOAD_CENTER</x:v>
      </x:c>
    </x:row>
    <x:row r="17">
      <x:c r="A17" s="30" t="str">
        <x:v>THERMAL CONVERSION</x:v>
      </x:c>
      <x:c r="B17" s="30" t="str">
        <x:v>TURBO_EXPANSION</x:v>
      </x:c>
      <x:c r="C17" s="30" t="str">
        <x:v>GW NET</x:v>
      </x:c>
      <x:c r="D17" s="31" t="n">
        <x:v>0.038352</x:v>
      </x:c>
      <x:c r="E17" s="31" t="n">
        <x:v>0.033847</x:v>
      </x:c>
      <x:c r="F17" s="31" t="n">
        <x:v>0.025868</x:v>
      </x:c>
      <x:c r="G17" s="31" t="n">
        <x:v>0.044685</x:v>
      </x:c>
      <x:c r="H17" s="31" t="n">
        <x:v>0</x:v>
      </x:c>
      <x:c r="I17" s="31" t="n">
        <x:v>0.021961</x:v>
      </x:c>
      <x:c r="J17" s="31" t="n">
        <x:v>0.017263</x:v>
      </x:c>
      <x:c r="K17" s="31" t="n">
        <x:f>SUM(D17:J17)</x:f>
        <x:v>0.181976</x:v>
      </x:c>
      <x:c r="L17" s="30" t="str">
        <x:v>Terna 2024 NET efficient power</x:v>
      </x:c>
      <x:c r="M17" s="30" t="str">
        <x:v>PRIMARY_ADDITIVE</x:v>
      </x:c>
      <x:c r="N17" s="30" t="str">
        <x:v>VALIDATED_CONVERSION_TECHNOLOGY; FUEL_SOURCE_REQUIRES_RECONCILIATION</x:v>
      </x:c>
      <x:c r="O17" s="30" t="str">
        <x:v>TERNA_THERMO_CAPACITY_2024_NET_DOWNLOAD_CENTER</x:v>
      </x:c>
    </x:row>
    <x:row r="18">
      <x:c r="A18" s="30" t="str">
        <x:v>THERMAL CONVERSION</x:v>
      </x:c>
      <x:c r="B18" s="30" t="str">
        <x:v>OTHER_THERMAL</x:v>
      </x:c>
      <x:c r="C18" s="30" t="str">
        <x:v>GW NET</x:v>
      </x:c>
      <x:c r="D18" s="31" t="n">
        <x:v>0.013129</x:v>
      </x:c>
      <x:c r="E18" s="31" t="n">
        <x:v>0</x:v>
      </x:c>
      <x:c r="F18" s="31" t="n">
        <x:v>0.0052</x:v>
      </x:c>
      <x:c r="G18" s="31" t="n">
        <x:v>0.0808</x:v>
      </x:c>
      <x:c r="H18" s="31" t="n">
        <x:v>0</x:v>
      </x:c>
      <x:c r="I18" s="31" t="n">
        <x:v>0</x:v>
      </x:c>
      <x:c r="J18" s="31" t="n">
        <x:v>0.011847</x:v>
      </x:c>
      <x:c r="K18" s="31" t="n">
        <x:f>SUM(D18:J18)</x:f>
        <x:v>0.11097599999999999</x:v>
      </x:c>
      <x:c r="L18" s="30" t="str">
        <x:v>Terna 2024 NET efficient power</x:v>
      </x:c>
      <x:c r="M18" s="30" t="str">
        <x:v>PRIMARY_ADDITIVE</x:v>
      </x:c>
      <x:c r="N18" s="30" t="str">
        <x:v>VALIDATED_CONVERSION_TECHNOLOGY; FUEL_SOURCE_REQUIRES_RECONCILIATION</x:v>
      </x:c>
      <x:c r="O18" s="30" t="str">
        <x:v>TERNA_THERMO_CAPACITY_2024_NET_DOWNLOAD_CENTER</x:v>
      </x:c>
    </x:row>
    <x:row r="19">
      <x:c r="A19" s="34" t="str">
        <x:v>THERMAL CONVERSION</x:v>
      </x:c>
      <x:c r="B19" s="34" t="str">
        <x:v>THERMOELECTRIC_CONVERSION_TOTAL</x:v>
      </x:c>
      <x:c r="C19" s="34" t="str">
        <x:v>GW NET</x:v>
      </x:c>
      <x:c r="D19" s="35" t="n">
        <x:f>SUM(D5:D18)</x:f>
        <x:v>29.31708191</x:v>
      </x:c>
      <x:c r="E19" s="35" t="n">
        <x:f>SUM(E5:E18)</x:f>
        <x:v>2.6005100599999995</x:v>
      </x:c>
      <x:c r="F19" s="35" t="n">
        <x:f>SUM(F5:F18)</x:f>
        <x:v>9.983012</x:v>
      </x:c>
      <x:c r="G19" s="35" t="n">
        <x:f>SUM(G5:G18)</x:f>
        <x:v>7.656323000000001</x:v>
      </x:c>
      <x:c r="H19" s="35" t="n">
        <x:f>SUM(H5:H18)</x:f>
        <x:v>3.619967</x:v>
      </x:c>
      <x:c r="I19" s="35" t="n">
        <x:f>SUM(I5:I18)</x:f>
        <x:v>4.9785603</x:v>
      </x:c>
      <x:c r="J19" s="35" t="n">
        <x:f>SUM(J5:J18)</x:f>
        <x:v>2.1749199999999997</x:v>
      </x:c>
      <x:c r="K19" s="35" t="n">
        <x:f>SUM(D19:J19)</x:f>
        <x:v>60.33037427</x:v>
      </x:c>
      <x:c r="L19" s="34" t="str">
        <x:v>Terna 2024 NET efficient power; exact-duplicate-normalized</x:v>
      </x:c>
      <x:c r="M19" s="34" t="str">
        <x:v>CONTROL_ROW</x:v>
      </x:c>
      <x:c r="N19" s="34" t="str">
        <x:v>CONTROLLING_60.33037427_GW</x:v>
      </x:c>
      <x:c r="O19" s="34" t="str">
        <x:v>TERNA_THERMO_CAPACITY_2024_NET_DOWNLOAD_CENTER|TERNA_2024_TABLE_19</x:v>
      </x:c>
    </x:row>
    <x:row r="20">
      <x:c r="A20" s="36" t="str">
        <x:v>RENEWABLE / OTHER GENERATION</x:v>
      </x:c>
      <x:c r="B20" s="36" t="str">
        <x:v>SOLAR_PV</x:v>
      </x:c>
      <x:c r="C20" s="36" t="str">
        <x:v>GW NET</x:v>
      </x:c>
      <x:c r="D20" s="37" t="n">
        <x:v>17.656051</x:v>
      </x:c>
      <x:c r="E20" s="37" t="n">
        <x:v>2.982386</x:v>
      </x:c>
      <x:c r="F20" s="37" t="n">
        <x:v>6.667173</x:v>
      </x:c>
      <x:c r="G20" s="37" t="n">
        <x:v>4.467376</x:v>
      </x:c>
      <x:c r="H20" s="37" t="n">
        <x:v>0.83309</x:v>
      </x:c>
      <x:c r="I20" s="37" t="n">
        <x:v>2.673971</x:v>
      </x:c>
      <x:c r="J20" s="37" t="n">
        <x:v>1.722093</x:v>
      </x:c>
      <x:c r="K20" s="37" t="n">
        <x:f>SUM(D20:J20)</x:f>
        <x:v>37.002140000000004</x:v>
      </x:c>
      <x:c r="L20" s="36" t="str">
        <x:v>Terna 2024 NET</x:v>
      </x:c>
      <x:c r="M20" s="36" t="str">
        <x:v>PRIMARY_ADDITIVE</x:v>
      </x:c>
      <x:c r="N20" s="36" t="str">
        <x:v>VALIDATED</x:v>
      </x:c>
      <x:c r="O20" s="36" t="str">
        <x:v>TERNA_RENEWABLE_SOURCE_CAPACITY_2024_NET</x:v>
      </x:c>
    </x:row>
    <x:row r="21">
      <x:c r="A21" s="36" t="str">
        <x:v>RENEWABLE / OTHER GENERATION</x:v>
      </x:c>
      <x:c r="B21" s="36" t="str">
        <x:v>WIND_ONSHORE</x:v>
      </x:c>
      <x:c r="C21" s="36" t="str">
        <x:v>GW NET</x:v>
      </x:c>
      <x:c r="D21" s="37" t="n">
        <x:v>0.212803</x:v>
      </x:c>
      <x:c r="E21" s="37" t="n">
        <x:v>0.163988</x:v>
      </x:c>
      <x:c r="F21" s="37" t="n">
        <x:v>2.528789</x:v>
      </x:c>
      <x:c r="G21" s="37" t="n">
        <x:v>5.100984</x:v>
      </x:c>
      <x:c r="H21" s="37" t="n">
        <x:v>1.248356</x:v>
      </x:c>
      <x:c r="I21" s="37" t="n">
        <x:v>2.481688</x:v>
      </x:c>
      <x:c r="J21" s="37" t="n">
        <x:v>1.193203</x:v>
      </x:c>
      <x:c r="K21" s="37" t="n">
        <x:f>SUM(D21:J21)</x:f>
        <x:v>12.929811</x:v>
      </x:c>
      <x:c r="L21" s="36" t="str">
        <x:v>Terna 2024 NET control minus direct 30 MW offshore evidence</x:v>
      </x:c>
      <x:c r="M21" s="36" t="str">
        <x:v>PRIMARY_ADDITIVE</x:v>
      </x:c>
      <x:c r="N21" s="36" t="str">
        <x:v>PROJECT_DERIVATION_FROM_CONTROL</x:v>
      </x:c>
      <x:c r="O21" s="36" t="str">
        <x:v>TERNA_RENEWABLE_SOURCE_CAPACITY_2024_NET|RENEXIA_BELEOLICO_PRIMARY_SOURCE</x:v>
      </x:c>
    </x:row>
    <x:row r="22">
      <x:c r="A22" s="36" t="str">
        <x:v>RENEWABLE / OTHER GENERATION</x:v>
      </x:c>
      <x:c r="B22" s="36" t="str">
        <x:v>WIND_OFFSHORE</x:v>
      </x:c>
      <x:c r="C22" s="36" t="str">
        <x:v>GW NET</x:v>
      </x:c>
      <x:c r="D22" s="37" t="n">
        <x:v>0</x:v>
      </x:c>
      <x:c r="E22" s="37" t="n">
        <x:v>0</x:v>
      </x:c>
      <x:c r="F22" s="37" t="n">
        <x:v>0</x:v>
      </x:c>
      <x:c r="G22" s="37" t="n">
        <x:v>0.03</x:v>
      </x:c>
      <x:c r="H22" s="37" t="n">
        <x:v>0</x:v>
      </x:c>
      <x:c r="I22" s="37" t="n">
        <x:v>0</x:v>
      </x:c>
      <x:c r="J22" s="37" t="n">
        <x:v>0</x:v>
      </x:c>
      <x:c r="K22" s="37" t="n">
        <x:f>SUM(D22:J22)</x:f>
        <x:v>0.03</x:v>
      </x:c>
      <x:c r="L22" s="36" t="str">
        <x:v>Direct plant evidence inside Terna wind control</x:v>
      </x:c>
      <x:c r="M22" s="36" t="str">
        <x:v>PRIMARY_ADDITIVE</x:v>
      </x:c>
      <x:c r="N22" s="36" t="str">
        <x:v>30_MW_BELEOLICO_SUD</x:v>
      </x:c>
      <x:c r="O22" s="36" t="str">
        <x:v>RENEXIA_BELEOLICO_PRIMARY_SOURCE</x:v>
      </x:c>
    </x:row>
    <x:row r="23">
      <x:c r="A23" s="40" t="str">
        <x:v>RENEWABLE / OTHER GENERATION</x:v>
      </x:c>
      <x:c r="B23" s="40" t="str">
        <x:v>WIND_TOTAL_CONTROL</x:v>
      </x:c>
      <x:c r="C23" s="40" t="str">
        <x:v>GW NET</x:v>
      </x:c>
      <x:c r="D23" s="41" t="n">
        <x:v>0.212803</x:v>
      </x:c>
      <x:c r="E23" s="41" t="n">
        <x:v>0.163988</x:v>
      </x:c>
      <x:c r="F23" s="41" t="n">
        <x:v>2.528789</x:v>
      </x:c>
      <x:c r="G23" s="41" t="n">
        <x:v>5.130984</x:v>
      </x:c>
      <x:c r="H23" s="41" t="n">
        <x:v>1.248356</x:v>
      </x:c>
      <x:c r="I23" s="41" t="n">
        <x:v>2.481688</x:v>
      </x:c>
      <x:c r="J23" s="41" t="n">
        <x:v>1.193203</x:v>
      </x:c>
      <x:c r="K23" s="41" t="n">
        <x:f>SUM(D23:J23)</x:f>
        <x:v>12.959811</x:v>
      </x:c>
      <x:c r="L23" s="40" t="str">
        <x:v>Terna 2024 NET</x:v>
      </x:c>
      <x:c r="M23" s="40" t="str">
        <x:v>CONTROL_ROW</x:v>
      </x:c>
      <x:c r="N23" s="40" t="str">
        <x:v>NON_ADDITIVE_OVER_ONSHORE_AND_OFFSHORE_COMPONENTS</x:v>
      </x:c>
      <x:c r="O23" s="40" t="str">
        <x:v>TERNA_RENEWABLE_SOURCE_CAPACITY_2024_NET</x:v>
      </x:c>
    </x:row>
    <x:row r="24">
      <x:c r="A24" s="36" t="str">
        <x:v>RENEWABLE / OTHER GENERATION</x:v>
      </x:c>
      <x:c r="B24" s="36" t="str">
        <x:v>GEOTHERMAL</x:v>
      </x:c>
      <x:c r="C24" s="36" t="str">
        <x:v>GW NET</x:v>
      </x:c>
      <x:c r="D24" s="37" t="n">
        <x:v>0</x:v>
      </x:c>
      <x:c r="E24" s="37" t="n">
        <x:v>0.77179</x:v>
      </x:c>
      <x:c r="F24" s="37" t="n">
        <x:v>0</x:v>
      </x:c>
      <x:c r="G24" s="37" t="n">
        <x:v>0</x:v>
      </x:c>
      <x:c r="H24" s="37" t="n">
        <x:v>0</x:v>
      </x:c>
      <x:c r="I24" s="37" t="n">
        <x:v>0</x:v>
      </x:c>
      <x:c r="J24" s="37" t="n">
        <x:v>0</x:v>
      </x:c>
      <x:c r="K24" s="37" t="n">
        <x:f>SUM(D24:J24)</x:f>
        <x:v>0.77179</x:v>
      </x:c>
      <x:c r="L24" s="36" t="str">
        <x:v>Terna 2024 NET</x:v>
      </x:c>
      <x:c r="M24" s="36" t="str">
        <x:v>PRIMARY_ADDITIVE</x:v>
      </x:c>
      <x:c r="N24" s="36" t="str">
        <x:v>OUTSIDE_2024_THERMOELECTRIC_EXTRACT; ADD_ONCE</x:v>
      </x:c>
      <x:c r="O24" s="36" t="str">
        <x:v>TERNA_RENEWABLE_SOURCE_CAPACITY_2024_NET</x:v>
      </x:c>
    </x:row>
    <x:row r="25">
      <x:c r="A25" s="42" t="str">
        <x:v>BIOENERGY CROSS-CLASSIFICATION</x:v>
      </x:c>
      <x:c r="B25" s="42" t="str">
        <x:v>BIOENERGY_RENEWABLE_SOURCE_CROSS_CLASSIFICATION</x:v>
      </x:c>
      <x:c r="C25" s="42" t="str">
        <x:v>GW NET</x:v>
      </x:c>
      <x:c r="D25" s="43" t="n">
        <x:v>2.373011</x:v>
      </x:c>
      <x:c r="E25" s="43" t="n">
        <x:v>0.1793273</x:v>
      </x:c>
      <x:c r="F25" s="43" t="n">
        <x:v>0.445849</x:v>
      </x:c>
      <x:c r="G25" s="43" t="n">
        <x:v>0.446074</x:v>
      </x:c>
      <x:c r="H25" s="43" t="n">
        <x:v>0.175447</x:v>
      </x:c>
      <x:c r="I25" s="43" t="n">
        <x:v>0.069439</x:v>
      </x:c>
      <x:c r="J25" s="43" t="n">
        <x:v>0.110945</x:v>
      </x:c>
      <x:c r="K25" s="43" t="n">
        <x:f>SUM(D25:J25)</x:f>
        <x:v>3.8000923</x:v>
      </x:c>
      <x:c r="L25" s="42" t="str">
        <x:v>Terna 2024 renewable-source NET</x:v>
      </x:c>
      <x:c r="M25" s="42" t="str">
        <x:v>CROSS_CLASSIFICATION_NON_ADDITIVE</x:v>
      </x:c>
      <x:c r="N25" s="42" t="str">
        <x:v>DO_NOT_ADD_OR_SUBTRACT_FROM_THERMOELECTRIC_TOTAL</x:v>
      </x:c>
      <x:c r="O25" s="42" t="str">
        <x:v>TERNA_RENEWABLE_SOURCE_CAPACITY_2024_NET</x:v>
      </x:c>
    </x:row>
    <x:row r="26">
      <x:c r="A26" s="44" t="str">
        <x:v>HYDRO</x:v>
      </x:c>
      <x:c r="B26" s="44" t="str">
        <x:v>HYDRO_RUN_OF_RIVER</x:v>
      </x:c>
      <x:c r="C26" s="44" t="str">
        <x:v>GW NET</x:v>
      </x:c>
      <x:c r="D26" s="45" t="str"/>
      <x:c r="E26" s="45" t="str"/>
      <x:c r="F26" s="45" t="str"/>
      <x:c r="G26" s="45" t="str"/>
      <x:c r="H26" s="45" t="str"/>
      <x:c r="I26" s="45" t="str"/>
      <x:c r="J26" s="45" t="str"/>
      <x:c r="K26" s="45" t="str"/>
      <x:c r="L26" s="44" t="str">
        <x:v>Type-specific MW not directly reconciled</x:v>
      </x:c>
      <x:c r="M26" s="44" t="str">
        <x:v>SUBSET_NON_ADDITIVE</x:v>
      </x:c>
      <x:c r="N26" s="44" t="str">
        <x:v>REQUIRES_CAPACITY_ALLOCATION; DO_NOT USE PRODUCTION SHARES</x:v>
      </x:c>
      <x:c r="O26" s="44" t="str">
        <x:v>ZENODO_14006948|TERNA_2024_HYDRO_CONTROLS</x:v>
      </x:c>
    </x:row>
    <x:row r="27">
      <x:c r="A27" s="44" t="str">
        <x:v>HYDRO</x:v>
      </x:c>
      <x:c r="B27" s="44" t="str">
        <x:v>HYDRO_BASIN</x:v>
      </x:c>
      <x:c r="C27" s="44" t="str">
        <x:v>GW NET</x:v>
      </x:c>
      <x:c r="D27" s="45" t="str"/>
      <x:c r="E27" s="45" t="str"/>
      <x:c r="F27" s="45" t="str"/>
      <x:c r="G27" s="45" t="str"/>
      <x:c r="H27" s="45" t="str"/>
      <x:c r="I27" s="45" t="str"/>
      <x:c r="J27" s="45" t="str"/>
      <x:c r="K27" s="45" t="str"/>
      <x:c r="L27" s="44" t="str">
        <x:v>Type-specific MW not directly reconciled</x:v>
      </x:c>
      <x:c r="M27" s="44" t="str">
        <x:v>SUBSET_NON_ADDITIVE</x:v>
      </x:c>
      <x:c r="N27" s="44" t="str">
        <x:v>REQUIRES_CAPACITY_ALLOCATION; DO_NOT USE PRODUCTION SHARES</x:v>
      </x:c>
      <x:c r="O27" s="44" t="str">
        <x:v>ZENODO_14006948|TERNA_2024_HYDRO_CONTROLS</x:v>
      </x:c>
    </x:row>
    <x:row r="28">
      <x:c r="A28" s="44" t="str">
        <x:v>HYDRO</x:v>
      </x:c>
      <x:c r="B28" s="44" t="str">
        <x:v>HYDRO_RESERVOIR</x:v>
      </x:c>
      <x:c r="C28" s="44" t="str">
        <x:v>GW NET</x:v>
      </x:c>
      <x:c r="D28" s="45" t="str"/>
      <x:c r="E28" s="45" t="str"/>
      <x:c r="F28" s="45" t="str"/>
      <x:c r="G28" s="45" t="str"/>
      <x:c r="H28" s="45" t="str"/>
      <x:c r="I28" s="45" t="str"/>
      <x:c r="J28" s="45" t="str"/>
      <x:c r="K28" s="45" t="str"/>
      <x:c r="L28" s="44" t="str">
        <x:v>HDAM physical inventory available but not a Terna-controlled type split</x:v>
      </x:c>
      <x:c r="M28" s="44" t="str">
        <x:v>SUBSET_NON_ADDITIVE</x:v>
      </x:c>
      <x:c r="N28" s="44" t="str">
        <x:v>ALLOCATION_EVIDENCE_ONLY</x:v>
      </x:c>
      <x:c r="O28" s="44" t="str">
        <x:v>ZENODO_14006948</x:v>
      </x:c>
    </x:row>
    <x:row r="29">
      <x:c r="A29" s="44" t="str">
        <x:v>HYDRO</x:v>
      </x:c>
      <x:c r="B29" s="44" t="str">
        <x:v>PUMPED_HYDRO</x:v>
      </x:c>
      <x:c r="C29" s="44" t="str">
        <x:v>GW NET</x:v>
      </x:c>
      <x:c r="D29" s="45" t="n">
        <x:v>4.698629789</x:v>
      </x:c>
      <x:c r="E29" s="45" t="n">
        <x:v>0</x:v>
      </x:c>
      <x:c r="F29" s="45" t="n">
        <x:v>1.732865414</x:v>
      </x:c>
      <x:c r="G29" s="45" t="n">
        <x:v>0</x:v>
      </x:c>
      <x:c r="H29" s="45" t="n">
        <x:v>0</x:v>
      </x:c>
      <x:c r="I29" s="45" t="n">
        <x:v>0.580474586</x:v>
      </x:c>
      <x:c r="J29" s="45" t="n">
        <x:v>0.240330212</x:v>
      </x:c>
      <x:c r="K29" s="45" t="n">
        <x:f>SUM(D29:J29)</x:f>
        <x:v>7.252300001</x:v>
      </x:c>
      <x:c r="L29" s="44" t="str">
        <x:v>Terna 2024 national NET discharge allocated by official regional PHS shares</x:v>
      </x:c>
      <x:c r="M29" s="44" t="str">
        <x:v>SUBSET_NON_ADDITIVE</x:v>
      </x:c>
      <x:c r="N29" s="44" t="str">
        <x:v>SUBSET_OF_TOTAL_HYDRO_CONTROL</x:v>
      </x:c>
      <x:c r="O29" s="44" t="str">
        <x:v>TERNA_2024_TABLE_12_AND_14|ZENODO_14006948</x:v>
      </x:c>
    </x:row>
    <x:row r="30">
      <x:c r="A30" s="48" t="str">
        <x:v>HYDRO</x:v>
      </x:c>
      <x:c r="B30" s="48" t="str">
        <x:v>TOTAL_HYDRO_CONTROL</x:v>
      </x:c>
      <x:c r="C30" s="48" t="str">
        <x:v>GW NET</x:v>
      </x:c>
      <x:c r="D30" s="49" t="n">
        <x:v>17.108367665</x:v>
      </x:c>
      <x:c r="E30" s="49" t="n">
        <x:v>0.62319755</x:v>
      </x:c>
      <x:c r="F30" s="49" t="n">
        <x:v>3.32605505</x:v>
      </x:c>
      <x:c r="G30" s="49" t="n">
        <x:v>0.22532915</x:v>
      </x:c>
      <x:c r="H30" s="49" t="n">
        <x:v>0.833364</x:v>
      </x:c>
      <x:c r="I30" s="49" t="n">
        <x:v>0.714267586</x:v>
      </x:c>
      <x:c r="J30" s="49" t="n">
        <x:v>0.463419</x:v>
      </x:c>
      <x:c r="K30" s="49" t="n">
        <x:f>SUM(D30:J30)</x:f>
        <x:v>23.294000001</x:v>
      </x:c>
      <x:c r="L30" s="48" t="str">
        <x:v>Terna 2024 national NET total; zonal bridge combines renewable-source control and pure-pump allocation</x:v>
      </x:c>
      <x:c r="M30" s="48" t="str">
        <x:v>CONTROL_ROW</x:v>
      </x:c>
      <x:c r="N30" s="48" t="str">
        <x:v>AUTHORITATIVE_ITALY_TOTAL; RECONCILED_ZONE_ALLOCATION</x:v>
      </x:c>
      <x:c r="O30" s="48" t="str">
        <x:v>TERNA_2024_TABLE_12_AND_14|TERNA_RENEWABLE_SOURCE_CAPACITY_2024_NET</x:v>
      </x:c>
    </x:row>
    <x:row r="31">
      <x:c r="A31" s="50" t="str">
        <x:v>STORAGE - SEPARATE</x:v>
      </x:c>
      <x:c r="B31" s="50" t="str">
        <x:v>PUMPED_HYDRO_DISCHARGE</x:v>
      </x:c>
      <x:c r="C31" s="50" t="str">
        <x:v>GW NET</x:v>
      </x:c>
      <x:c r="D31" s="51" t="n">
        <x:v>4.698629789</x:v>
      </x:c>
      <x:c r="E31" s="51" t="n">
        <x:v>0</x:v>
      </x:c>
      <x:c r="F31" s="51" t="n">
        <x:v>1.732865414</x:v>
      </x:c>
      <x:c r="G31" s="51" t="n">
        <x:v>0</x:v>
      </x:c>
      <x:c r="H31" s="51" t="n">
        <x:v>0</x:v>
      </x:c>
      <x:c r="I31" s="51" t="n">
        <x:v>0.580474586</x:v>
      </x:c>
      <x:c r="J31" s="51" t="n">
        <x:v>0.240330212</x:v>
      </x:c>
      <x:c r="K31" s="51" t="n">
        <x:f>SUM(D31:J31)</x:f>
        <x:v>7.252300001</x:v>
      </x:c>
      <x:c r="L31" s="50" t="str">
        <x:v>Terna 2024 NET discharge control</x:v>
      </x:c>
      <x:c r="M31" s="50" t="str">
        <x:v>STORAGE_SEPARATE</x:v>
      </x:c>
      <x:c r="N31" s="50" t="str">
        <x:v>DO_NOT_ADD_TO_TOTAL_HYDRO</x:v>
      </x:c>
      <x:c r="O31" s="50" t="str">
        <x:v>TERNA_2024_TABLE_14</x:v>
      </x:c>
    </x:row>
    <x:row r="32">
      <x:c r="A32" s="50" t="str">
        <x:v>STORAGE - SEPARATE</x:v>
      </x:c>
      <x:c r="B32" s="50" t="str">
        <x:v>PUMPED_HYDRO_CHARGE</x:v>
      </x:c>
      <x:c r="C32" s="50" t="str">
        <x:v>GW NET</x:v>
      </x:c>
      <x:c r="D32" s="51" t="n">
        <x:v>4.4783</x:v>
      </x:c>
      <x:c r="E32" s="51" t="n">
        <x:v>0</x:v>
      </x:c>
      <x:c r="F32" s="51" t="n">
        <x:v>1.531</x:v>
      </x:c>
      <x:c r="G32" s="51" t="n">
        <x:v>0</x:v>
      </x:c>
      <x:c r="H32" s="51" t="n">
        <x:v>0</x:v>
      </x:c>
      <x:c r="I32" s="51" t="n">
        <x:v>0.56</x:v>
      </x:c>
      <x:c r="J32" s="51" t="n">
        <x:v>0.24</x:v>
      </x:c>
      <x:c r="K32" s="51" t="n">
        <x:f>SUM(D32:J32)</x:f>
        <x:v>6.8093</x:v>
      </x:c>
      <x:c r="L32" s="50" t="str">
        <x:v>HPHS physical inventory installed pumping power; gross/net unspecified</x:v>
      </x:c>
      <x:c r="M32" s="50" t="str">
        <x:v>STORAGE_SEPARATE</x:v>
      </x:c>
      <x:c r="N32" s="50" t="str">
        <x:v>ALLOCATION_EVIDENCE_ONLY</x:v>
      </x:c>
      <x:c r="O32" s="50" t="str">
        <x:v>ZENODO_14006948</x:v>
      </x:c>
    </x:row>
    <x:row r="33">
      <x:c r="A33" s="50" t="str">
        <x:v>STORAGE - SEPARATE</x:v>
      </x:c>
      <x:c r="B33" s="50" t="str">
        <x:v>PUMPED_HYDRO_ENERGY</x:v>
      </x:c>
      <x:c r="C33" s="50" t="str">
        <x:v>GWh</x:v>
      </x:c>
      <x:c r="D33" s="51" t="n">
        <x:v>33.197462551</x:v>
      </x:c>
      <x:c r="E33" s="51" t="n">
        <x:v>0</x:v>
      </x:c>
      <x:c r="F33" s="51" t="n">
        <x:v>15.075112091</x:v>
      </x:c>
      <x:c r="G33" s="51" t="n">
        <x:v>0</x:v>
      </x:c>
      <x:c r="H33" s="51" t="n">
        <x:v>0</x:v>
      </x:c>
      <x:c r="I33" s="51" t="n">
        <x:v>1.152671014</x:v>
      </x:c>
      <x:c r="J33" s="51" t="n">
        <x:v>3.574754344</x:v>
      </x:c>
      <x:c r="K33" s="51" t="n">
        <x:f>SUM(D33:J33)</x:f>
        <x:v>53</x:v>
      </x:c>
      <x:c r="L33" s="50" t="str">
        <x:v>Approx. 53 GWh Terna national control allocated by HPHS physical-energy shares</x:v>
      </x:c>
      <x:c r="M33" s="50" t="str">
        <x:v>STORAGE_SEPARATE</x:v>
      </x:c>
      <x:c r="N33" s="50" t="str">
        <x:v>APPROXIMATE_CONTROL; RAW_626.262_GWH_NOT_USED_AS_E_NOM</x:v>
      </x:c>
      <x:c r="O33" s="50" t="str">
        <x:v>TERNA_STORAGE_TECHNOLOGIES_2023|ZENODO_14006948</x:v>
      </x:c>
    </x:row>
    <x:row r="34">
      <x:c r="A34" s="50" t="str">
        <x:v>STORAGE - SEPARATE</x:v>
      </x:c>
      <x:c r="B34" s="50" t="str">
        <x:v>BESS_DISCHARGE_NOMINAL</x:v>
      </x:c>
      <x:c r="C34" s="50" t="str">
        <x:v>GW NET</x:v>
      </x:c>
      <x:c r="D34" s="51" t="str"/>
      <x:c r="E34" s="51" t="str"/>
      <x:c r="F34" s="51" t="str"/>
      <x:c r="G34" s="51" t="str"/>
      <x:c r="H34" s="51" t="str"/>
      <x:c r="I34" s="51" t="str"/>
      <x:c r="J34" s="51" t="str"/>
      <x:c r="K34" s="51" t="n">
        <x:v>5.6</x:v>
      </x:c>
      <x:c r="L34" s="50" t="str">
        <x:v>Terna December-2024 national nominal output power (rounded chart control)</x:v>
      </x:c>
      <x:c r="M34" s="50" t="str">
        <x:v>STORAGE_SEPARATE</x:v>
      </x:c>
      <x:c r="N34" s="50" t="str">
        <x:v>NATIONAL_CONTROL_ONLY; NO_ZONAL_ALLOCATION</x:v>
      </x:c>
      <x:c r="O34" s="50" t="str">
        <x:v>TERNA_DECEMBER_2024_MONTHLY_REPORT</x:v>
      </x:c>
    </x:row>
    <x:row r="35">
      <x:c r="A35" s="52" t="str">
        <x:v>STORAGE - SEPARATE</x:v>
      </x:c>
      <x:c r="B35" s="52" t="str">
        <x:v>BESS_ENERGY</x:v>
      </x:c>
      <x:c r="C35" s="52" t="str">
        <x:v>GWh</x:v>
      </x:c>
      <x:c r="D35" s="53" t="str"/>
      <x:c r="E35" s="53" t="str"/>
      <x:c r="F35" s="53" t="str"/>
      <x:c r="G35" s="53" t="str"/>
      <x:c r="H35" s="53" t="str"/>
      <x:c r="I35" s="53" t="str"/>
      <x:c r="J35" s="53" t="str"/>
      <x:c r="K35" s="53" t="n">
        <x:v>12.9</x:v>
      </x:c>
      <x:c r="L35" s="52" t="str">
        <x:v>Terna December-2024 national maximum usable energy (rounded chart control)</x:v>
      </x:c>
      <x:c r="M35" s="52" t="str">
        <x:v>STORAGE_SEPARATE</x:v>
      </x:c>
      <x:c r="N35" s="52" t="str">
        <x:v>NATIONAL_CONTROL_ONLY; NO_ZONAL_ALLOCATION</x:v>
      </x:c>
      <x:c r="O35" s="52" t="str">
        <x:v>TERNA_DECEMBER_2024_MONTHLY_REPORT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2" hidden="0" customWidth="1"/>
    <x:col min="3" max="3" width="16" hidden="0" customWidth="1"/>
    <x:col min="4" max="4" width="12" hidden="0" customWidth="1"/>
    <x:col min="5" max="5" width="23" hidden="0" customWidth="1"/>
    <x:col min="6" max="6" width="56" hidden="0" customWidth="1"/>
  </x:cols>
  <x:sheetData>
    <x:row r="1" ht="28" customHeight="1">
      <x:c r="A1" s="54" t="str">
        <x:v>2024 installed-capacity accounting reconciliation</x:v>
      </x:c>
      <x:c r="B1" s="54"/>
      <x:c r="C1" s="54"/>
      <x:c r="D1" s="54"/>
      <x:c r="E1" s="54"/>
      <x:c r="F1" s="54"/>
    </x:row>
    <x:row r="2" ht="34" customHeight="1">
      <x:c r="A2" s="8" t="str">
        <x:v>The controlled generation-capacity total adds each primary perimeter once and excludes storage, hydro subsets, and bioenergy cross-classifications.</x:v>
      </x:c>
      <x:c r="B2" s="8"/>
      <x:c r="C2" s="8"/>
      <x:c r="D2" s="8"/>
      <x:c r="E2" s="8"/>
      <x:c r="F2" s="8"/>
    </x:row>
    <x:row r="4">
      <x:c r="A4" s="13" t="str">
        <x:v>Component</x:v>
      </x:c>
      <x:c r="B4" s="13" t="str">
        <x:v>Matrix row</x:v>
      </x:c>
      <x:c r="C4" s="13" t="str">
        <x:v>Italy value</x:v>
      </x:c>
      <x:c r="D4" s="13" t="str">
        <x:v>Unit</x:v>
      </x:c>
      <x:c r="E4" s="13" t="str">
        <x:v>Included in controlled generation total?</x:v>
      </x:c>
      <x:c r="F4" s="13" t="str">
        <x:v>Accounting rationale</x:v>
      </x:c>
    </x:row>
    <x:row r="5">
      <x:c r="A5" s="19" t="str">
        <x:v>Thermoelectric conversion total</x:v>
      </x:c>
      <x:c r="B5" s="19" t="str">
        <x:v>THERMOELECTRIC_CONVERSION_TOTAL</x:v>
      </x:c>
      <x:c r="C5" s="55" t="n">
        <x:f>'2024 Capacity by Zone'!$K$19</x:f>
        <x:v>60.33037427</x:v>
      </x:c>
      <x:c r="D5" s="19" t="str">
        <x:v>GW NET</x:v>
      </x:c>
      <x:c r="E5" s="19" t="str">
        <x:v>YES</x:v>
      </x:c>
      <x:c r="F5" s="19" t="str">
        <x:v>Exact-duplicate-normalized Terna conversion total</x:v>
      </x:c>
    </x:row>
    <x:row r="6">
      <x:c r="A6" s="20" t="str">
        <x:v>Solar PV</x:v>
      </x:c>
      <x:c r="B6" s="20" t="str">
        <x:v>SOLAR_PV</x:v>
      </x:c>
      <x:c r="C6" s="56" t="n">
        <x:f>'2024 Capacity by Zone'!$K$20</x:f>
        <x:v>37.002140000000004</x:v>
      </x:c>
      <x:c r="D6" s="20" t="str">
        <x:v>GW NET</x:v>
      </x:c>
      <x:c r="E6" s="20" t="str">
        <x:v>YES</x:v>
      </x:c>
      <x:c r="F6" s="20" t="str">
        <x:v>Primary renewable generation capacity</x:v>
      </x:c>
    </x:row>
    <x:row r="7">
      <x:c r="A7" s="20" t="str">
        <x:v>Wind onshore</x:v>
      </x:c>
      <x:c r="B7" s="20" t="str">
        <x:v>WIND_ONSHORE</x:v>
      </x:c>
      <x:c r="C7" s="56" t="n">
        <x:f>'2024 Capacity by Zone'!$K$21</x:f>
        <x:v>12.929811</x:v>
      </x:c>
      <x:c r="D7" s="20" t="str">
        <x:v>GW NET</x:v>
      </x:c>
      <x:c r="E7" s="20" t="str">
        <x:v>YES</x:v>
      </x:c>
      <x:c r="F7" s="20" t="str">
        <x:v>Component of Terna wind control</x:v>
      </x:c>
    </x:row>
    <x:row r="8">
      <x:c r="A8" s="20" t="str">
        <x:v>Wind offshore</x:v>
      </x:c>
      <x:c r="B8" s="20" t="str">
        <x:v>WIND_OFFSHORE</x:v>
      </x:c>
      <x:c r="C8" s="56" t="n">
        <x:f>'2024 Capacity by Zone'!$K$22</x:f>
        <x:v>0.03</x:v>
      </x:c>
      <x:c r="D8" s="20" t="str">
        <x:v>GW NET</x:v>
      </x:c>
      <x:c r="E8" s="20" t="str">
        <x:v>YES</x:v>
      </x:c>
      <x:c r="F8" s="20" t="str">
        <x:v>30 MW Beleolico within Terna wind control</x:v>
      </x:c>
    </x:row>
    <x:row r="9">
      <x:c r="A9" s="20" t="str">
        <x:v>Geothermal</x:v>
      </x:c>
      <x:c r="B9" s="20" t="str">
        <x:v>GEOTHERMAL</x:v>
      </x:c>
      <x:c r="C9" s="56" t="n">
        <x:f>'2024 Capacity by Zone'!$K$24</x:f>
        <x:v>0.77179</x:v>
      </x:c>
      <x:c r="D9" s="20" t="str">
        <x:v>GW NET</x:v>
      </x:c>
      <x:c r="E9" s="20" t="str">
        <x:v>YES</x:v>
      </x:c>
      <x:c r="F9" s="20" t="str">
        <x:v>Outside 2024 thermoelectric extract; added once</x:v>
      </x:c>
    </x:row>
    <x:row r="10">
      <x:c r="A10" s="20" t="str">
        <x:v>Total hydro control</x:v>
      </x:c>
      <x:c r="B10" s="20" t="str">
        <x:v>TOTAL_HYDRO_CONTROL</x:v>
      </x:c>
      <x:c r="C10" s="56" t="n">
        <x:f>'2024 Capacity by Zone'!$K$30</x:f>
        <x:v>23.294000001</x:v>
      </x:c>
      <x:c r="D10" s="20" t="str">
        <x:v>GW NET</x:v>
      </x:c>
      <x:c r="E10" s="20" t="str">
        <x:v>YES</x:v>
      </x:c>
      <x:c r="F10" s="20" t="str">
        <x:v>Authoritative total hydro; PHS is already a subset</x:v>
      </x:c>
    </x:row>
    <x:row r="11">
      <x:c r="A11" s="62" t="str">
        <x:v>Controlled generation-capacity total</x:v>
      </x:c>
      <x:c r="B11" s="62" t="str"/>
      <x:c r="C11" s="63" t="n">
        <x:f>SUM(C5:C10)</x:f>
        <x:v>134.358115271</x:v>
      </x:c>
      <x:c r="D11" s="62" t="str">
        <x:v>GW NET</x:v>
      </x:c>
      <x:c r="E11" s="62" t="str">
        <x:v>FORMULA</x:v>
      </x:c>
      <x:c r="F11" s="62" t="str">
        <x:v>Excludes BESS and all non-additive rows</x:v>
      </x:c>
    </x:row>
    <x:row r="12">
      <x:c r="A12" s="20" t="str">
        <x:v>Bioenergy renewable-source cross-classification</x:v>
      </x:c>
      <x:c r="B12" s="20" t="str">
        <x:v>BIOENERGY_RENEWABLE_SOURCE_CROSS_CLASSIFICATION</x:v>
      </x:c>
      <x:c r="C12" s="56" t="n">
        <x:f>'2024 Capacity by Zone'!$K$25</x:f>
        <x:v>3.8000923</x:v>
      </x:c>
      <x:c r="D12" s="20" t="str">
        <x:v>GW NET</x:v>
      </x:c>
      <x:c r="E12" s="20" t="str">
        <x:v>NO</x:v>
      </x:c>
      <x:c r="F12" s="20" t="str">
        <x:v>Overlaps thermoelectric conversion population</x:v>
      </x:c>
    </x:row>
    <x:row r="13">
      <x:c r="A13" s="20" t="str">
        <x:v>Pumped hydro discharge</x:v>
      </x:c>
      <x:c r="B13" s="20" t="str">
        <x:v>PUMPED_HYDRO_DISCHARGE</x:v>
      </x:c>
      <x:c r="C13" s="56" t="n">
        <x:f>'2024 Capacity by Zone'!$K$31</x:f>
        <x:v>7.252300001</x:v>
      </x:c>
      <x:c r="D13" s="20" t="str">
        <x:v>GW NET</x:v>
      </x:c>
      <x:c r="E13" s="20" t="str">
        <x:v>NO</x:v>
      </x:c>
      <x:c r="F13" s="20" t="str">
        <x:v>Storage subset of total hydro</x:v>
      </x:c>
    </x:row>
    <x:row r="14">
      <x:c r="A14" s="20" t="str">
        <x:v>BESS nominal discharge</x:v>
      </x:c>
      <x:c r="B14" s="20" t="str">
        <x:v>BESS_DISCHARGE_NOMINAL</x:v>
      </x:c>
      <x:c r="C14" s="56" t="n">
        <x:f>'2024 Capacity by Zone'!$K$34</x:f>
        <x:v>5.6</x:v>
      </x:c>
      <x:c r="D14" s="20" t="str">
        <x:v>GW</x:v>
      </x:c>
      <x:c r="E14" s="20" t="str">
        <x:v>NO</x:v>
      </x:c>
      <x:c r="F14" s="20" t="str">
        <x:v>Storage reported separately</x:v>
      </x:c>
    </x:row>
    <x:row r="15">
      <x:c r="A15" s="20" t="str">
        <x:v>Pumped hydro energy</x:v>
      </x:c>
      <x:c r="B15" s="20" t="str">
        <x:v>PUMPED_HYDRO_ENERGY</x:v>
      </x:c>
      <x:c r="C15" s="56" t="n">
        <x:f>'2024 Capacity by Zone'!$K$33</x:f>
        <x:v>53</x:v>
      </x:c>
      <x:c r="D15" s="20" t="str">
        <x:v>GWh</x:v>
      </x:c>
      <x:c r="E15" s="20" t="str">
        <x:v>NO</x:v>
      </x:c>
      <x:c r="F15" s="20" t="str">
        <x:v>Storage energy, not generation power</x:v>
      </x:c>
    </x:row>
    <x:row r="16">
      <x:c r="A16" s="21" t="str">
        <x:v>BESS energy</x:v>
      </x:c>
      <x:c r="B16" s="21" t="str">
        <x:v>BESS_ENERGY</x:v>
      </x:c>
      <x:c r="C16" s="57" t="n">
        <x:f>'2024 Capacity by Zone'!$K$35</x:f>
        <x:v>12.9</x:v>
      </x:c>
      <x:c r="D16" s="21" t="str">
        <x:v>GWh</x:v>
      </x:c>
      <x:c r="E16" s="21" t="str">
        <x:v>NO</x:v>
      </x:c>
      <x:c r="F16" s="21" t="str">
        <x:v>Storage energy, not generation power</x:v>
      </x:c>
    </x:row>
    <x:row r="18" ht="52" customHeight="1">
      <x:c r="A18" s="67" t="str">
        <x:v>Guardrail: 3.8000923 GW renewable-source bioenergy and 3.5860 GW thermoelectric-fuel bioenergy are cross-classifications. Neither is an extra generation-capacity row above the 60.33037427 GW thermoelectric total.</x:v>
      </x:c>
      <x:c r="B18" s="67"/>
      <x:c r="C18" s="67"/>
      <x:c r="D18" s="67"/>
      <x:c r="E18" s="67"/>
      <x:c r="F18" s="67"/>
    </x:row>
    <x:row r="20">
      <x:c r="A20" s="10" t="str">
        <x:v>Source ID</x:v>
      </x:c>
      <x:c r="B20" s="10" t="str">
        <x:v>Source URL</x:v>
      </x:c>
    </x:row>
    <x:row r="21">
      <x:c r="A21" t="str">
        <x:v>TERNA_STORAGE_TECHNOLOGIES_2023</x:v>
      </x:c>
      <x:c r="B21" t="str">
        <x:v>https://download.terna.it/terna/Studio_tecnologie_di_accumulo_8db9511fbdd7601.pdf</x:v>
      </x:c>
    </x:row>
    <x:row r="22">
      <x:c r="A22" t="str">
        <x:v>ZENODO_14006948</x:v>
      </x:c>
      <x:c r="B22" t="str">
        <x:v>https://zenodo.org/records/14006948</x:v>
      </x:c>
    </x:row>
    <x:row r="23">
      <x:c r="A23" t="str">
        <x:v>TERNA_2024_IMPIANTI_DI_GENERAZIONE_TABLE_14</x:v>
      </x:c>
      <x:c r="B23" t="str">
        <x:v>https://download.terna.it/terna/03_IMPIANTI%20DI%20GENERAZIONE_8dec285ed22347a.pdf</x:v>
      </x:c>
    </x:row>
  </x:sheetData>
  <x:mergeCells>
    <x:mergeCell ref="A1:F1"/>
    <x:mergeCell ref="A2:F2"/>
    <x:mergeCell ref="A18:F18"/>
  </x:mergeCells>
  <x:pageMargins left="0.7" right="0.7" top="0.75" bottom="0.75" header="0.3" footer="0.3"/>
</x:worksheet>
</file>
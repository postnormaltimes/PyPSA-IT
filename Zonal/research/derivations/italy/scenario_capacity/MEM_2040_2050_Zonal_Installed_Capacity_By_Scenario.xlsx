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1b8d7fc53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40 Slow" sheetId="1" r:id="R1a56d6dc00c947c0"/>
    <x:sheet xmlns:r="http://schemas.openxmlformats.org/officeDocument/2006/relationships" name="2040 Base" sheetId="2" r:id="Re28d14f58f3b4802"/>
    <x:sheet xmlns:r="http://schemas.openxmlformats.org/officeDocument/2006/relationships" name="2040 High" sheetId="3" r:id="R93547c314086415c"/>
    <x:sheet xmlns:r="http://schemas.openxmlformats.org/officeDocument/2006/relationships" name="2050 Slow" sheetId="4" r:id="Rdc7bb54889074288"/>
    <x:sheet xmlns:r="http://schemas.openxmlformats.org/officeDocument/2006/relationships" name="2050 Base" sheetId="5" r:id="Ra6bd6600d39644e1"/>
    <x:sheet xmlns:r="http://schemas.openxmlformats.org/officeDocument/2006/relationships" name="2050 High" sheetId="6" r:id="R16b924db74984acd"/>
    <x:sheet xmlns:r="http://schemas.openxmlformats.org/officeDocument/2006/relationships" name="Allocation Anchors" sheetId="7" r:id="Raa51431524634a24"/>
    <x:sheet xmlns:r="http://schemas.openxmlformats.org/officeDocument/2006/relationships" name="National Capacity Logic" sheetId="8" r:id="R9fb83385f72d439c"/>
    <x:sheet xmlns:r="http://schemas.openxmlformats.org/officeDocument/2006/relationships" name="CDP Slow Adjustment" sheetId="9" r:id="R946f930fe9174dc9"/>
    <x:sheet xmlns:r="http://schemas.openxmlformats.org/officeDocument/2006/relationships" name="Reconciliation" sheetId="10" r:id="R328a1b2ab8fa41f6"/>
    <x:sheet xmlns:r="http://schemas.openxmlformats.org/officeDocument/2006/relationships" name="Assumptions" sheetId="11" r:id="R9361e15881f44c75"/>
    <x:sheet xmlns:r="http://schemas.openxmlformats.org/officeDocument/2006/relationships" name="Sources" sheetId="12" r:id="R1b9510502bac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"/>
  </x:numFmts>
  <x:fonts count="8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7324D"/>
      <x:name val="Carlito"/>
    </x:font>
    <x:font>
      <x:b/>
      <x:sz val="11"/>
      <x:color rgb="FF17324D"/>
      <x:name val="Carlito"/>
    </x:font>
    <x:font>
      <x:sz val="11"/>
      <x:color rgb="FF1F2933"/>
      <x:name val="Carlito"/>
    </x:font>
    <x:font>
      <x:b/>
      <x:sz val="11"/>
      <x:color rgb="FF1F2933"/>
      <x:name val="Carlito"/>
    </x:font>
    <x:font>
      <x:sz val="11"/>
      <x:color rgb="FF66727F"/>
      <x:name val="Carlito"/>
    </x:font>
    <x:font>
      <x:i/>
      <x:sz val="11"/>
      <x:color rgb="FF7A4D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E"/>
      </x:patternFill>
    </x:fill>
    <x:fill>
      <x:patternFill patternType="solid">
        <x:fgColor rgb="FF0F5C5E"/>
      </x:patternFill>
    </x:fill>
    <x:fill>
      <x:patternFill patternType="solid">
        <x:fgColor rgb="FFF4F7F9"/>
      </x:patternFill>
    </x:fill>
    <x:fill>
      <x:patternFill patternType="solid">
        <x:fgColor rgb="FFFAFBFC"/>
      </x:patternFill>
    </x:fill>
    <x:fill>
      <x:patternFill patternType="solid">
        <x:fgColor rgb="FFFFF4D6"/>
      </x:patternFill>
    </x:fill>
  </x:fills>
  <x:borders count="6">
    <x:border/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top style="thin">
        <x:color rgb="FFD6DEE5"/>
      </x:top>
      <x:bottom style="double">
        <x:color rgb="FF17324D"/>
      </x:bottom>
    </x:border>
    <x:border>
      <x:bottom style="thin">
        <x:color rgb="FFE7ECF0"/>
      </x:bottom>
    </x:border>
    <x:border>
      <x:top style="thin">
        <x:color rgb="FFE7ECF0"/>
      </x:top>
      <x:bottom style="thin">
        <x:color rgb="FFE7ECF0"/>
      </x:bottom>
    </x:border>
    <x:border>
      <x:top style="thin">
        <x:color rgb="FFE7ECF0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4" fillId="0" borderId="0" xfId="0" applyNumberFormat="1" applyFont="1" applyFill="1" applyBorder="1"/>
    <x:xf numFmtId="0" fontId="5" fillId="5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5" fillId="5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5" fillId="5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200" fontId="4" fillId="6" borderId="4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200" fontId="5" fillId="6" borderId="4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200" fontId="4" fillId="6" borderId="5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4" fillId="7" borderId="4" xfId="0" applyNumberFormat="1" applyFont="1" applyFill="1" applyBorder="1" applyAlignment="1">
      <x:alignment vertical="center" wrapText="1"/>
    </x:xf>
    <x:xf numFmtId="201" fontId="4" fillId="7" borderId="4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201" fontId="7" fillId="7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10d0c7dde47e8" /><Relationship Type="http://schemas.openxmlformats.org/officeDocument/2006/relationships/theme" Target="/xl/theme/theme1.xml" Id="R73e7592e4b5d4dbb" /><Relationship Type="http://schemas.openxmlformats.org/officeDocument/2006/relationships/sharedStrings" Target="/xl/sharedStrings.xml" Id="R91278c42fcda42e0" /><Relationship Type="http://schemas.openxmlformats.org/officeDocument/2006/relationships/worksheet" Target="/xl/worksheets/sheet1.xml" Id="R1a56d6dc00c947c0" /><Relationship Type="http://schemas.openxmlformats.org/officeDocument/2006/relationships/worksheet" Target="/xl/worksheets/sheet2.xml" Id="Re28d14f58f3b4802" /><Relationship Type="http://schemas.openxmlformats.org/officeDocument/2006/relationships/worksheet" Target="/xl/worksheets/sheet3.xml" Id="R93547c314086415c" /><Relationship Type="http://schemas.openxmlformats.org/officeDocument/2006/relationships/worksheet" Target="/xl/worksheets/sheet4.xml" Id="Rdc7bb54889074288" /><Relationship Type="http://schemas.openxmlformats.org/officeDocument/2006/relationships/worksheet" Target="/xl/worksheets/sheet5.xml" Id="Ra6bd6600d39644e1" /><Relationship Type="http://schemas.openxmlformats.org/officeDocument/2006/relationships/worksheet" Target="/xl/worksheets/sheet6.xml" Id="R16b924db74984acd" /><Relationship Type="http://schemas.openxmlformats.org/officeDocument/2006/relationships/worksheet" Target="/xl/worksheets/sheet7.xml" Id="Raa51431524634a24" /><Relationship Type="http://schemas.openxmlformats.org/officeDocument/2006/relationships/worksheet" Target="/xl/worksheets/sheet8.xml" Id="R9fb83385f72d439c" /><Relationship Type="http://schemas.openxmlformats.org/officeDocument/2006/relationships/worksheet" Target="/xl/worksheets/sheet9.xml" Id="R946f930fe9174dc9" /><Relationship Type="http://schemas.openxmlformats.org/officeDocument/2006/relationships/worksheet" Target="/xl/worksheets/sheet10.xml" Id="R328a1b2ab8fa41f6" /><Relationship Type="http://schemas.openxmlformats.org/officeDocument/2006/relationships/worksheet" Target="/xl/worksheets/sheet11.xml" Id="R9361e15881f44c75" /><Relationship Type="http://schemas.openxmlformats.org/officeDocument/2006/relationships/worksheet" Target="/xl/worksheets/sheet12.xml" Id="R1b9510502bac413a" /></Relationships>
</file>

<file path=xl/theme/theme1.xml><?xml version="1.0" encoding="utf-8"?>
<a:theme xmlns:a="http://schemas.openxmlformats.org/drawingml/2006/main" name="Research">
  <a:themeElements>
    <a:clrScheme name="Resear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esearch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3" t="str">
        <x:v>2040 Slow — installed capacity by MEM market zone (GW)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Fixed p_nom scenario table. Slow adds the corrected Terna-CDP dispatchable increment; annual dispatch remains endogenous.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3" t="str">
        <x:v>Block</x:v>
      </x:c>
      <x:c r="B4" s="13" t="str">
        <x:v>Technology</x:v>
      </x:c>
      <x:c r="C4" s="13" t="str">
        <x:v>NORD</x:v>
      </x:c>
      <x:c r="D4" s="13" t="str">
        <x:v>CNOR</x:v>
      </x:c>
      <x:c r="E4" s="13" t="str">
        <x:v>CSUD</x:v>
      </x:c>
      <x:c r="F4" s="13" t="str">
        <x:v>SUD</x:v>
      </x:c>
      <x:c r="G4" s="13" t="str">
        <x:v>CALA</x:v>
      </x:c>
      <x:c r="H4" s="13" t="str">
        <x:v>SICI</x:v>
      </x:c>
      <x:c r="I4" s="13" t="str">
        <x:v>SARD</x:v>
      </x:c>
      <x:c r="J4" s="13" t="str">
        <x:v>ITALY</x:v>
      </x:c>
    </x:row>
    <x:row r="5">
      <x:c r="A5" s="31" t="str">
        <x:v>VARIABLE RENEWABLES</x:v>
      </x:c>
      <x:c r="B5" s="23" t="str">
        <x:v>SOLAR_PV_ROOFTOP</x:v>
      </x:c>
      <x:c r="C5" s="27" t="n">
        <x:v>20.08</x:v>
      </x:c>
      <x:c r="D5" s="27" t="n">
        <x:v>2.64</x:v>
      </x:c>
      <x:c r="E5" s="27" t="n">
        <x:v>4.4</x:v>
      </x:c>
      <x:c r="F5" s="27" t="n">
        <x:v>1.36</x:v>
      </x:c>
      <x:c r="G5" s="27" t="n">
        <x:v>0.88</x:v>
      </x:c>
      <x:c r="H5" s="27" t="n">
        <x:v>2.64</x:v>
      </x:c>
      <x:c r="I5" s="27" t="n">
        <x:v>1.36</x:v>
      </x:c>
      <x:c r="J5" s="27" t="n">
        <x:f>SUM(C5:I5)</x:f>
        <x:v>33.36</x:v>
      </x:c>
    </x:row>
    <x:row r="6">
      <x:c r="A6" s="35" t="str">
        <x:v>VARIABLE RENEWABLES</x:v>
      </x:c>
      <x:c r="B6" s="36" t="str">
        <x:v>SOLAR_PV_UTILITY</x:v>
      </x:c>
      <x:c r="C6" s="37" t="n">
        <x:v>13.84</x:v>
      </x:c>
      <x:c r="D6" s="37" t="n">
        <x:v>5.04</x:v>
      </x:c>
      <x:c r="E6" s="37" t="n">
        <x:v>11.68</x:v>
      </x:c>
      <x:c r="F6" s="37" t="n">
        <x:v>15.44</x:v>
      </x:c>
      <x:c r="G6" s="37" t="n">
        <x:v>2</x:v>
      </x:c>
      <x:c r="H6" s="37" t="n">
        <x:v>9.2</x:v>
      </x:c>
      <x:c r="I6" s="37" t="n">
        <x:v>6.16</x:v>
      </x:c>
      <x:c r="J6" s="37" t="n">
        <x:f>SUM(C6:I6)</x:f>
        <x:v>63.36</x:v>
      </x:c>
    </x:row>
    <x:row r="7">
      <x:c r="A7" s="32" t="str">
        <x:v>VARIABLE RENEWABLES</x:v>
      </x:c>
      <x:c r="B7" s="24" t="str">
        <x:v>WIND_ONSHORE</x:v>
      </x:c>
      <x:c r="C7" s="28" t="n">
        <x:v>0.48</x:v>
      </x:c>
      <x:c r="D7" s="28" t="n">
        <x:v>0.32</x:v>
      </x:c>
      <x:c r="E7" s="28" t="n">
        <x:v>5.44</x:v>
      </x:c>
      <x:c r="F7" s="28" t="n">
        <x:v>10.56</x:v>
      </x:c>
      <x:c r="G7" s="28" t="n">
        <x:v>2.64</x:v>
      </x:c>
      <x:c r="H7" s="28" t="n">
        <x:v>5.04</x:v>
      </x:c>
      <x:c r="I7" s="28" t="n">
        <x:v>2.8</x:v>
      </x:c>
      <x:c r="J7" s="28" t="n">
        <x:f>SUM(C7:I7)</x:f>
        <x:v>27.28</x:v>
      </x:c>
    </x:row>
    <x:row r="8">
      <x:c r="A8" s="35" t="str">
        <x:v>VARIABLE RENEWABLES</x:v>
      </x:c>
      <x:c r="B8" s="36" t="str">
        <x:v>WIND_OFFSHORE</x:v>
      </x:c>
      <x:c r="C8" s="37" t="n">
        <x:v>1.2</x:v>
      </x:c>
      <x:c r="D8" s="37" t="n">
        <x:v>0.64</x:v>
      </x:c>
      <x:c r="E8" s="37" t="n">
        <x:v>1.28</x:v>
      </x:c>
      <x:c r="F8" s="37" t="n">
        <x:v>3.76</x:v>
      </x:c>
      <x:c r="G8" s="37" t="n">
        <x:v>0.48</x:v>
      </x:c>
      <x:c r="H8" s="37" t="n">
        <x:v>2.4</x:v>
      </x:c>
      <x:c r="I8" s="37" t="n">
        <x:v>2.4</x:v>
      </x:c>
      <x:c r="J8" s="37" t="n">
        <x:f>SUM(C8:I8)</x:f>
        <x:v>12.16</x:v>
      </x:c>
    </x:row>
    <x:row r="9">
      <x:c r="A9" s="33" t="str">
        <x:v>VARIABLE RENEWABLES TOTAL</x:v>
      </x:c>
      <x:c r="B9" s="25" t="str"/>
      <x:c r="C9" s="29" t="n">
        <x:f>SUM(C5:C8)</x:f>
        <x:v>35.6</x:v>
      </x:c>
      <x:c r="D9" s="29" t="n">
        <x:f>SUM(D5:D8)</x:f>
        <x:v>8.64</x:v>
      </x:c>
      <x:c r="E9" s="29" t="n">
        <x:f>SUM(E5:E8)</x:f>
        <x:v>22.8</x:v>
      </x:c>
      <x:c r="F9" s="29" t="n">
        <x:f>SUM(F5:F8)</x:f>
        <x:v>31.119999999999997</x:v>
      </x:c>
      <x:c r="G9" s="29" t="n">
        <x:f>SUM(G5:G8)</x:f>
        <x:v>6</x:v>
      </x:c>
      <x:c r="H9" s="29" t="n">
        <x:f>SUM(H5:H8)</x:f>
        <x:v>19.279999999999998</x:v>
      </x:c>
      <x:c r="I9" s="29" t="n">
        <x:f>SUM(I5:I8)</x:f>
        <x:v>12.72</x:v>
      </x:c>
      <x:c r="J9" s="29" t="n">
        <x:f>SUM(J5:J8)</x:f>
        <x:v>136.16</x:v>
      </x:c>
    </x:row>
    <x:row r="10">
      <x:c r="A10" s="35"/>
      <x:c r="B10" s="36"/>
      <x:c r="C10" s="37"/>
      <x:c r="D10" s="37"/>
      <x:c r="E10" s="37"/>
      <x:c r="F10" s="37"/>
      <x:c r="G10" s="37"/>
      <x:c r="H10" s="37"/>
      <x:c r="I10" s="37"/>
      <x:c r="J10" s="37"/>
    </x:row>
    <x:row r="11">
      <x:c r="A11" s="32" t="str">
        <x:v>HYDRO — MUTUALLY EXCLUSIVE CLASSES</x:v>
      </x:c>
      <x:c r="B11" s="24" t="str">
        <x:v>HYDRO_RUN_OF_RIVER</x:v>
      </x:c>
      <x:c r="C11" s="28" t="n">
        <x:v>5.228210866305</x:v>
      </x:c>
      <x:c r="D11" s="28" t="n">
        <x:v>0.209314034422</x:v>
      </x:c>
      <x:c r="E11" s="28" t="n">
        <x:v>0.579820027388</x:v>
      </x:c>
      <x:c r="F11" s="28" t="n">
        <x:v>0.045411334869</x:v>
      </x:c>
      <x:c r="G11" s="28" t="n">
        <x:v>0.10674382989900001</x:v>
      </x:c>
      <x:c r="H11" s="28" t="n">
        <x:v>0.031552391362</x:v>
      </x:c>
      <x:c r="I11" s="28" t="n">
        <x:v>0.037947515755</x:v>
      </x:c>
      <x:c r="J11" s="28" t="n">
        <x:f>SUM(C11:I11)</x:f>
        <x:v>6.239000000000001</x:v>
      </x:c>
    </x:row>
    <x:row r="12">
      <x:c r="A12" s="35" t="str">
        <x:v>HYDRO — MUTUALLY EXCLUSIVE CLASSES</x:v>
      </x:c>
      <x:c r="B12" s="36" t="str">
        <x:v>HYDRO_BASIN</x:v>
      </x:c>
      <x:c r="C12" s="37" t="n">
        <x:v>3.512208833846</x:v>
      </x:c>
      <x:c r="D12" s="37" t="n">
        <x:v>0.238064607896</x:v>
      </x:c>
      <x:c r="E12" s="37" t="n">
        <x:v>0.582887284562</x:v>
      </x:c>
      <x:c r="F12" s="37" t="n">
        <x:v>0.103488209848</x:v>
      </x:c>
      <x:c r="G12" s="37" t="n">
        <x:v>0.417949832196</x:v>
      </x:c>
      <x:c r="H12" s="37" t="n">
        <x:v>0.058808504061</x:v>
      </x:c>
      <x:c r="I12" s="37" t="n">
        <x:v>0.10649272759299999</x:v>
      </x:c>
      <x:c r="J12" s="37" t="n">
        <x:f>SUM(C12:I12)</x:f>
        <x:v>5.019900000002</x:v>
      </x:c>
    </x:row>
    <x:row r="13">
      <x:c r="A13" s="32" t="str">
        <x:v>HYDRO — MUTUALLY EXCLUSIVE CLASSES</x:v>
      </x:c>
      <x:c r="B13" s="24" t="str">
        <x:v>HYDRO_RESERVOIR</x:v>
      </x:c>
      <x:c r="C13" s="28" t="n">
        <x:v>3.669318175474</x:v>
      </x:c>
      <x:c r="D13" s="28" t="n">
        <x:v>0.175818907682</x:v>
      </x:c>
      <x:c r="E13" s="28" t="n">
        <x:v>0.43048232401799996</x:v>
      </x:c>
      <x:c r="F13" s="28" t="n">
        <x:v>0.076429605283</x:v>
      </x:c>
      <x:c r="G13" s="28" t="n">
        <x:v>0.308670337905</x:v>
      </x:c>
      <x:c r="H13" s="28" t="n">
        <x:v>0.043432104578</x:v>
      </x:c>
      <x:c r="I13" s="28" t="n">
        <x:v>0.07864854506</x:v>
      </x:c>
      <x:c r="J13" s="28" t="n">
        <x:f>SUM(C13:I13)</x:f>
        <x:v>4.782799999999999</x:v>
      </x:c>
    </x:row>
    <x:row r="14">
      <x:c r="A14" s="35" t="str">
        <x:v>HYDRO — MUTUALLY EXCLUSIVE CLASSES</x:v>
      </x:c>
      <x:c r="B14" s="36" t="str">
        <x:v>PUMPED_HYDRO_PURE</x:v>
      </x:c>
      <x:c r="C14" s="37" t="n">
        <x:v>2.393185354581</x:v>
      </x:c>
      <x:c r="D14" s="37" t="n">
        <x:v>0</x:v>
      </x:c>
      <x:c r="E14" s="37" t="n">
        <x:v>0.9959156698220001</x:v>
      </x:c>
      <x:c r="F14" s="37" t="n">
        <x:v>0</x:v>
      </x:c>
      <x:c r="G14" s="37" t="n">
        <x:v>0</x:v>
      </x:c>
      <x:c r="H14" s="37" t="n">
        <x:v>0.5804745855969999</x:v>
      </x:c>
      <x:c r="I14" s="37" t="n">
        <x:v>0</x:v>
      </x:c>
      <x:c r="J14" s="37" t="n">
        <x:f>SUM(C14:I14)</x:f>
        <x:v>3.96957561</x:v>
      </x:c>
    </x:row>
    <x:row r="15">
      <x:c r="A15" s="32" t="str">
        <x:v>HYDRO — MUTUALLY EXCLUSIVE CLASSES</x:v>
      </x:c>
      <x:c r="B15" s="24" t="str">
        <x:v>PUMPED_HYDRO_MIXED</x:v>
      </x:c>
      <x:c r="C15" s="28" t="n">
        <x:v>2.305444434376</x:v>
      </x:c>
      <x:c r="D15" s="28" t="n">
        <x:v>0</x:v>
      </x:c>
      <x:c r="E15" s="28" t="n">
        <x:v>0.736949744032</x:v>
      </x:c>
      <x:c r="F15" s="28" t="n">
        <x:v>0</x:v>
      </x:c>
      <x:c r="G15" s="28" t="n">
        <x:v>0</x:v>
      </x:c>
      <x:c r="H15" s="28" t="n">
        <x:v>0</x:v>
      </x:c>
      <x:c r="I15" s="28" t="n">
        <x:v>0.24033021159200002</x:v>
      </x:c>
      <x:c r="J15" s="28" t="n">
        <x:f>SUM(C15:I15)</x:f>
        <x:v>3.2827243900000003</x:v>
      </x:c>
    </x:row>
    <x:row r="16">
      <x:c r="A16" s="35" t="str">
        <x:v>HYDRO — MUTUALLY EXCLUSIVE CLASSES TOTAL</x:v>
      </x:c>
      <x:c r="B16" s="38" t="str"/>
      <x:c r="C16" s="39" t="n">
        <x:f>SUM(C11:C15)</x:f>
        <x:v>17.108367664582</x:v>
      </x:c>
      <x:c r="D16" s="39" t="n">
        <x:f>SUM(D11:D15)</x:f>
        <x:v>0.62319755</x:v>
      </x:c>
      <x:c r="E16" s="39" t="n">
        <x:f>SUM(E11:E15)</x:f>
        <x:v>3.326055049822</x:v>
      </x:c>
      <x:c r="F16" s="39" t="n">
        <x:f>SUM(F11:F15)</x:f>
        <x:v>0.22532915</x:v>
      </x:c>
      <x:c r="G16" s="39" t="n">
        <x:f>SUM(G11:G15)</x:f>
        <x:v>0.833364</x:v>
      </x:c>
      <x:c r="H16" s="39" t="n">
        <x:f>SUM(H11:H15)</x:f>
        <x:v>0.714267585598</x:v>
      </x:c>
      <x:c r="I16" s="39" t="n">
        <x:f>SUM(I11:I15)</x:f>
        <x:v>0.463419</x:v>
      </x:c>
      <x:c r="J16" s="39" t="n">
        <x:f>SUM(J11:J15)</x:f>
        <x:v>23.294000000002</x:v>
      </x:c>
    </x:row>
    <x:row r="17">
      <x:c r="A17" s="32"/>
      <x:c r="B17" s="24"/>
      <x:c r="C17" s="28"/>
      <x:c r="D17" s="28"/>
      <x:c r="E17" s="28"/>
      <x:c r="F17" s="28"/>
      <x:c r="G17" s="28"/>
      <x:c r="H17" s="28"/>
      <x:c r="I17" s="28"/>
      <x:c r="J17" s="28"/>
    </x:row>
    <x:row r="18">
      <x:c r="A18" s="35" t="str">
        <x:v>STORAGE POWER</x:v>
      </x:c>
      <x:c r="B18" s="36" t="str">
        <x:v>BESS</x:v>
      </x:c>
      <x:c r="C18" s="37" t="n">
        <x:v>4.42</x:v>
      </x:c>
      <x:c r="D18" s="37" t="n">
        <x:v>0.9066666666669999</x:v>
      </x:c>
      <x:c r="E18" s="37" t="n">
        <x:v>3.376666666667</x:v>
      </x:c>
      <x:c r="F18" s="37" t="n">
        <x:v>5.09</x:v>
      </x:c>
      <x:c r="G18" s="37" t="n">
        <x:v>1.1733333333329998</x:v>
      </x:c>
      <x:c r="H18" s="37" t="n">
        <x:v>3.9766666666669996</x:v>
      </x:c>
      <x:c r="I18" s="37" t="n">
        <x:v>2.87</x:v>
      </x:c>
      <x:c r="J18" s="37" t="n">
        <x:f>SUM(C18:I18)</x:f>
        <x:v>21.813333333334</x:v>
      </x:c>
    </x:row>
    <x:row r="19">
      <x:c r="A19" s="33" t="str">
        <x:v>STORAGE POWER TOTAL</x:v>
      </x:c>
      <x:c r="B19" s="25" t="str"/>
      <x:c r="C19" s="29" t="n">
        <x:f>SUM(C18:C18)</x:f>
        <x:v>4.42</x:v>
      </x:c>
      <x:c r="D19" s="29" t="n">
        <x:f>SUM(D18:D18)</x:f>
        <x:v>0.9066666666669999</x:v>
      </x:c>
      <x:c r="E19" s="29" t="n">
        <x:f>SUM(E18:E18)</x:f>
        <x:v>3.376666666667</x:v>
      </x:c>
      <x:c r="F19" s="29" t="n">
        <x:f>SUM(F18:F18)</x:f>
        <x:v>5.09</x:v>
      </x:c>
      <x:c r="G19" s="29" t="n">
        <x:f>SUM(G18:G18)</x:f>
        <x:v>1.1733333333329998</x:v>
      </x:c>
      <x:c r="H19" s="29" t="n">
        <x:f>SUM(H18:H18)</x:f>
        <x:v>3.9766666666669996</x:v>
      </x:c>
      <x:c r="I19" s="29" t="n">
        <x:f>SUM(I18:I18)</x:f>
        <x:v>2.87</x:v>
      </x:c>
      <x:c r="J19" s="29" t="n">
        <x:f>SUM(J18:J18)</x:f>
        <x:v>21.813333333334</x:v>
      </x:c>
    </x:row>
    <x:row r="20">
      <x:c r="A20" s="35"/>
      <x:c r="B20" s="36"/>
      <x:c r="C20" s="37"/>
      <x:c r="D20" s="37"/>
      <x:c r="E20" s="37"/>
      <x:c r="F20" s="37"/>
      <x:c r="G20" s="37"/>
      <x:c r="H20" s="37"/>
      <x:c r="I20" s="37"/>
      <x:c r="J20" s="37"/>
    </x:row>
    <x:row r="21">
      <x:c r="A21" s="32" t="str">
        <x:v>DISPATCHABLE / PROGRAMMABLE</x:v>
      </x:c>
      <x:c r="B21" s="24" t="str">
        <x:v>CCGT</x:v>
      </x:c>
      <x:c r="C21" s="28" t="n">
        <x:v>28.631665298281</x:v>
      </x:c>
      <x:c r="D21" s="28" t="n">
        <x:v>1.983164360084</x:v>
      </x:c>
      <x:c r="E21" s="28" t="n">
        <x:v>7.8545181373799995</x:v>
      </x:c>
      <x:c r="F21" s="28" t="n">
        <x:v>5.488270235501001</x:v>
      </x:c>
      <x:c r="G21" s="28" t="n">
        <x:v>4.013276225746</x:v>
      </x:c>
      <x:c r="H21" s="28" t="n">
        <x:v>3.762238127286</x:v>
      </x:c>
      <x:c r="I21" s="28" t="n">
        <x:v>0.78898083567</x:v>
      </x:c>
      <x:c r="J21" s="28" t="n">
        <x:f>SUM(C21:I21)</x:f>
        <x:v>52.522113219948</x:v>
      </x:c>
    </x:row>
    <x:row r="22">
      <x:c r="A22" s="35" t="str">
        <x:v>DISPATCHABLE / PROGRAMMABLE</x:v>
      </x:c>
      <x:c r="B22" s="36" t="str">
        <x:v>GT_OCGT</x:v>
      </x:c>
      <x:c r="C22" s="37" t="n">
        <x:v>1.0444632019370002</x:v>
      </x:c>
      <x:c r="D22" s="37" t="n">
        <x:v>0.594615731103</x:v>
      </x:c>
      <x:c r="E22" s="37" t="n">
        <x:v>0.95399069226</x:v>
      </x:c>
      <x:c r="F22" s="37" t="n">
        <x:v>0.317628664955</x:v>
      </x:c>
      <x:c r="G22" s="37" t="n">
        <x:v>0.268163281325</x:v>
      </x:c>
      <x:c r="H22" s="37" t="n">
        <x:v>0.809289127666</x:v>
      </x:c>
      <x:c r="I22" s="37" t="n">
        <x:v>0.172429354293</x:v>
      </x:c>
      <x:c r="J22" s="37" t="n">
        <x:f>SUM(C22:I22)</x:f>
        <x:v>4.160580053539</x:v>
      </x:c>
    </x:row>
    <x:row r="23">
      <x:c r="A23" s="32" t="str">
        <x:v>DISPATCHABLE / PROGRAMMABLE</x:v>
      </x:c>
      <x:c r="B23" s="24" t="str">
        <x:v>INTERNAL_COMBUSTION</x:v>
      </x:c>
      <x:c r="C23" s="28" t="n">
        <x:v>4.286835068327999</x:v>
      </x:c>
      <x:c r="D23" s="28" t="n">
        <x:v>0.481284882671</x:v>
      </x:c>
      <x:c r="E23" s="28" t="n">
        <x:v>0.9678896477450001</x:v>
      </x:c>
      <x:c r="F23" s="28" t="n">
        <x:v>0.543019120652</x:v>
      </x:c>
      <x:c r="G23" s="28" t="n">
        <x:v>0.047385885617</x:v>
      </x:c>
      <x:c r="H23" s="28" t="n">
        <x:v>0.25625335591700005</x:v>
      </x:c>
      <x:c r="I23" s="28" t="n">
        <x:v>0.027703649591000003</x:v>
      </x:c>
      <x:c r="J23" s="28" t="n">
        <x:f>SUM(C23:I23)</x:f>
        <x:v>6.610371610521</x:v>
      </x:c>
    </x:row>
    <x:row r="24">
      <x:c r="A24" s="35" t="str">
        <x:v>DISPATCHABLE / PROGRAMMABLE</x:v>
      </x:c>
      <x:c r="B24" s="36" t="str">
        <x:v>STEAM_OTHER_SURVIVING</x:v>
      </x:c>
      <x:c r="C24" s="37" t="n">
        <x:v>1.9697133924119998</x:v>
      </x:c>
      <x:c r="D24" s="37" t="n">
        <x:v>0.062868892104</x:v>
      </x:c>
      <x:c r="E24" s="37" t="n">
        <x:v>0.22197865354200003</x:v>
      </x:c>
      <x:c r="F24" s="37" t="n">
        <x:v>0.673084881653</x:v>
      </x:c>
      <x:c r="G24" s="37" t="n">
        <x:v>0.179474817709</x:v>
      </x:c>
      <x:c r="H24" s="37" t="n">
        <x:v>0.176826302825</x:v>
      </x:c>
      <x:c r="I24" s="37" t="n">
        <x:v>0.30599313212699997</x:v>
      </x:c>
      <x:c r="J24" s="37" t="n">
        <x:f>SUM(C24:I24)</x:f>
        <x:v>3.5899400723719994</x:v>
      </x:c>
    </x:row>
    <x:row r="25">
      <x:c r="A25" s="32" t="str">
        <x:v>DISPATCHABLE / PROGRAMMABLE</x:v>
      </x:c>
      <x:c r="B25" s="24" t="str">
        <x:v>OTHER_SURVIVING_THERMAL</x:v>
      </x:c>
      <x:c r="C25" s="28" t="n">
        <x:v>0.06592040090000001</x:v>
      </x:c>
      <x:c r="D25" s="28" t="n">
        <x:v>0.042603706784</x:v>
      </x:c>
      <x:c r="E25" s="28" t="n">
        <x:v>0.038528358377</x:v>
      </x:c>
      <x:c r="F25" s="28" t="n">
        <x:v>0.149116019779</x:v>
      </x:c>
      <x:c r="G25" s="28" t="n">
        <x:v>0</x:v>
      </x:c>
      <x:c r="H25" s="28" t="n">
        <x:v>0.027634462731</x:v>
      </x:c>
      <x:c r="I25" s="28" t="n">
        <x:v>0.035341239408</x:v>
      </x:c>
      <x:c r="J25" s="28" t="n">
        <x:f>SUM(C25:I25)</x:f>
        <x:v>0.359144187979</x:v>
      </x:c>
    </x:row>
    <x:row r="26">
      <x:c r="A26" s="35" t="str">
        <x:v>DISPATCHABLE / PROGRAMMABLE</x:v>
      </x:c>
      <x:c r="B26" s="36" t="str">
        <x:v>GEOTHERMAL</x:v>
      </x:c>
      <x:c r="C26" s="37" t="n">
        <x:v>0</x:v>
      </x:c>
      <x:c r="D26" s="37" t="n">
        <x:v>0.9711762666110001</x:v>
      </x:c>
      <x:c r="E26" s="37" t="n">
        <x:v>0</x:v>
      </x:c>
      <x:c r="F26" s="37" t="n">
        <x:v>0</x:v>
      </x:c>
      <x:c r="G26" s="37" t="n">
        <x:v>0</x:v>
      </x:c>
      <x:c r="H26" s="37" t="n">
        <x:v>0</x:v>
      </x:c>
      <x:c r="I26" s="37" t="n">
        <x:v>0</x:v>
      </x:c>
      <x:c r="J26" s="37" t="n">
        <x:f>SUM(C26:I26)</x:f>
        <x:v>0.9711762666110001</x:v>
      </x:c>
    </x:row>
    <x:row r="27">
      <x:c r="A27" s="33" t="str">
        <x:v>DISPATCHABLE / PROGRAMMABLE TOTAL</x:v>
      </x:c>
      <x:c r="B27" s="25" t="str"/>
      <x:c r="C27" s="29" t="n">
        <x:f>SUM(C21:C26)</x:f>
        <x:v>35.998597361857996</x:v>
      </x:c>
      <x:c r="D27" s="29" t="n">
        <x:f>SUM(D21:D26)</x:f>
        <x:v>4.135713839357</x:v>
      </x:c>
      <x:c r="E27" s="29" t="n">
        <x:f>SUM(E21:E26)</x:f>
        <x:v>10.036905489303999</x:v>
      </x:c>
      <x:c r="F27" s="29" t="n">
        <x:f>SUM(F21:F26)</x:f>
        <x:v>7.17111892254</x:v>
      </x:c>
      <x:c r="G27" s="29" t="n">
        <x:f>SUM(G21:G26)</x:f>
        <x:v>4.5083002103970005</x:v>
      </x:c>
      <x:c r="H27" s="29" t="n">
        <x:f>SUM(H21:H26)</x:f>
        <x:v>5.032241376425</x:v>
      </x:c>
      <x:c r="I27" s="29" t="n">
        <x:f>SUM(I21:I26)</x:f>
        <x:v>1.330448211089</x:v>
      </x:c>
      <x:c r="J27" s="29" t="n">
        <x:f>SUM(J21:J26)</x:f>
        <x:v>68.21332541096999</x:v>
      </x:c>
    </x:row>
    <x:row r="28">
      <x:c r="A28" s="40"/>
      <x:c r="B28" s="41"/>
      <x:c r="C28" s="42"/>
      <x:c r="D28" s="42"/>
      <x:c r="E28" s="42"/>
      <x:c r="F28" s="42"/>
      <x:c r="G28" s="42"/>
      <x:c r="H28" s="42"/>
      <x:c r="I28" s="42"/>
      <x:c r="J28" s="42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3" t="str">
        <x:v>2040 Base — installed capacity by MEM market zone (GW)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Fixed p_nom scenario table. Slow adds the corrected Terna-CDP dispatchable increment; annual dispatch remains endogenous.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3" t="str">
        <x:v>Block</x:v>
      </x:c>
      <x:c r="B4" s="13" t="str">
        <x:v>Technology</x:v>
      </x:c>
      <x:c r="C4" s="13" t="str">
        <x:v>NORD</x:v>
      </x:c>
      <x:c r="D4" s="13" t="str">
        <x:v>CNOR</x:v>
      </x:c>
      <x:c r="E4" s="13" t="str">
        <x:v>CSUD</x:v>
      </x:c>
      <x:c r="F4" s="13" t="str">
        <x:v>SUD</x:v>
      </x:c>
      <x:c r="G4" s="13" t="str">
        <x:v>CALA</x:v>
      </x:c>
      <x:c r="H4" s="13" t="str">
        <x:v>SICI</x:v>
      </x:c>
      <x:c r="I4" s="13" t="str">
        <x:v>SARD</x:v>
      </x:c>
      <x:c r="J4" s="13" t="str">
        <x:v>ITALY</x:v>
      </x:c>
    </x:row>
    <x:row r="5">
      <x:c r="A5" s="31" t="str">
        <x:v>VARIABLE RENEWABLES</x:v>
      </x:c>
      <x:c r="B5" s="23" t="str">
        <x:v>SOLAR_PV_ROOFTOP</x:v>
      </x:c>
      <x:c r="C5" s="27" t="n">
        <x:v>25.1</x:v>
      </x:c>
      <x:c r="D5" s="27" t="n">
        <x:v>3.3</x:v>
      </x:c>
      <x:c r="E5" s="27" t="n">
        <x:v>5.5</x:v>
      </x:c>
      <x:c r="F5" s="27" t="n">
        <x:v>1.7</x:v>
      </x:c>
      <x:c r="G5" s="27" t="n">
        <x:v>1.1</x:v>
      </x:c>
      <x:c r="H5" s="27" t="n">
        <x:v>3.3</x:v>
      </x:c>
      <x:c r="I5" s="27" t="n">
        <x:v>1.7</x:v>
      </x:c>
      <x:c r="J5" s="27" t="n">
        <x:f>SUM(C5:I5)</x:f>
        <x:v>41.70000000000001</x:v>
      </x:c>
    </x:row>
    <x:row r="6">
      <x:c r="A6" s="35" t="str">
        <x:v>VARIABLE RENEWABLES</x:v>
      </x:c>
      <x:c r="B6" s="36" t="str">
        <x:v>SOLAR_PV_UTILITY</x:v>
      </x:c>
      <x:c r="C6" s="37" t="n">
        <x:v>17.3</x:v>
      </x:c>
      <x:c r="D6" s="37" t="n">
        <x:v>6.3</x:v>
      </x:c>
      <x:c r="E6" s="37" t="n">
        <x:v>14.6</x:v>
      </x:c>
      <x:c r="F6" s="37" t="n">
        <x:v>19.3</x:v>
      </x:c>
      <x:c r="G6" s="37" t="n">
        <x:v>2.5</x:v>
      </x:c>
      <x:c r="H6" s="37" t="n">
        <x:v>11.5</x:v>
      </x:c>
      <x:c r="I6" s="37" t="n">
        <x:v>7.7</x:v>
      </x:c>
      <x:c r="J6" s="37" t="n">
        <x:f>SUM(C6:I6)</x:f>
        <x:v>79.2</x:v>
      </x:c>
    </x:row>
    <x:row r="7">
      <x:c r="A7" s="32" t="str">
        <x:v>VARIABLE RENEWABLES</x:v>
      </x:c>
      <x:c r="B7" s="24" t="str">
        <x:v>WIND_ONSHORE</x:v>
      </x:c>
      <x:c r="C7" s="28" t="n">
        <x:v>0.6</x:v>
      </x:c>
      <x:c r="D7" s="28" t="n">
        <x:v>0.4</x:v>
      </x:c>
      <x:c r="E7" s="28" t="n">
        <x:v>6.8</x:v>
      </x:c>
      <x:c r="F7" s="28" t="n">
        <x:v>13.2</x:v>
      </x:c>
      <x:c r="G7" s="28" t="n">
        <x:v>3.3</x:v>
      </x:c>
      <x:c r="H7" s="28" t="n">
        <x:v>6.3</x:v>
      </x:c>
      <x:c r="I7" s="28" t="n">
        <x:v>3.5</x:v>
      </x:c>
      <x:c r="J7" s="28" t="n">
        <x:f>SUM(C7:I7)</x:f>
        <x:v>34.1</x:v>
      </x:c>
    </x:row>
    <x:row r="8">
      <x:c r="A8" s="35" t="str">
        <x:v>VARIABLE RENEWABLES</x:v>
      </x:c>
      <x:c r="B8" s="36" t="str">
        <x:v>WIND_OFFSHORE</x:v>
      </x:c>
      <x:c r="C8" s="37" t="n">
        <x:v>1.5</x:v>
      </x:c>
      <x:c r="D8" s="37" t="n">
        <x:v>0.8</x:v>
      </x:c>
      <x:c r="E8" s="37" t="n">
        <x:v>1.6</x:v>
      </x:c>
      <x:c r="F8" s="37" t="n">
        <x:v>4.7</x:v>
      </x:c>
      <x:c r="G8" s="37" t="n">
        <x:v>0.6</x:v>
      </x:c>
      <x:c r="H8" s="37" t="n">
        <x:v>3</x:v>
      </x:c>
      <x:c r="I8" s="37" t="n">
        <x:v>3</x:v>
      </x:c>
      <x:c r="J8" s="37" t="n">
        <x:f>SUM(C8:I8)</x:f>
        <x:v>15.2</x:v>
      </x:c>
    </x:row>
    <x:row r="9">
      <x:c r="A9" s="33" t="str">
        <x:v>VARIABLE RENEWABLES TOTAL</x:v>
      </x:c>
      <x:c r="B9" s="25" t="str"/>
      <x:c r="C9" s="29" t="n">
        <x:f>SUM(C5:C8)</x:f>
        <x:v>44.50000000000001</x:v>
      </x:c>
      <x:c r="D9" s="29" t="n">
        <x:f>SUM(D5:D8)</x:f>
        <x:v>10.8</x:v>
      </x:c>
      <x:c r="E9" s="29" t="n">
        <x:f>SUM(E5:E8)</x:f>
        <x:v>28.500000000000004</x:v>
      </x:c>
      <x:c r="F9" s="29" t="n">
        <x:f>SUM(F5:F8)</x:f>
        <x:v>38.900000000000006</x:v>
      </x:c>
      <x:c r="G9" s="29" t="n">
        <x:f>SUM(G5:G8)</x:f>
        <x:v>7.5</x:v>
      </x:c>
      <x:c r="H9" s="29" t="n">
        <x:f>SUM(H5:H8)</x:f>
        <x:v>24.1</x:v>
      </x:c>
      <x:c r="I9" s="29" t="n">
        <x:f>SUM(I5:I8)</x:f>
        <x:v>15.9</x:v>
      </x:c>
      <x:c r="J9" s="29" t="n">
        <x:f>SUM(J5:J8)</x:f>
        <x:v>170.2</x:v>
      </x:c>
    </x:row>
    <x:row r="10">
      <x:c r="A10" s="35"/>
      <x:c r="B10" s="36"/>
      <x:c r="C10" s="37"/>
      <x:c r="D10" s="37"/>
      <x:c r="E10" s="37"/>
      <x:c r="F10" s="37"/>
      <x:c r="G10" s="37"/>
      <x:c r="H10" s="37"/>
      <x:c r="I10" s="37"/>
      <x:c r="J10" s="37"/>
    </x:row>
    <x:row r="11">
      <x:c r="A11" s="32" t="str">
        <x:v>HYDRO — MUTUALLY EXCLUSIVE CLASSES</x:v>
      </x:c>
      <x:c r="B11" s="24" t="str">
        <x:v>HYDRO_RUN_OF_RIVER</x:v>
      </x:c>
      <x:c r="C11" s="28" t="n">
        <x:v>5.228210866305</x:v>
      </x:c>
      <x:c r="D11" s="28" t="n">
        <x:v>0.209314034422</x:v>
      </x:c>
      <x:c r="E11" s="28" t="n">
        <x:v>0.579820027388</x:v>
      </x:c>
      <x:c r="F11" s="28" t="n">
        <x:v>0.045411334869</x:v>
      </x:c>
      <x:c r="G11" s="28" t="n">
        <x:v>0.10674382989900001</x:v>
      </x:c>
      <x:c r="H11" s="28" t="n">
        <x:v>0.031552391362</x:v>
      </x:c>
      <x:c r="I11" s="28" t="n">
        <x:v>0.037947515755</x:v>
      </x:c>
      <x:c r="J11" s="28" t="n">
        <x:f>SUM(C11:I11)</x:f>
        <x:v>6.239000000000001</x:v>
      </x:c>
    </x:row>
    <x:row r="12">
      <x:c r="A12" s="35" t="str">
        <x:v>HYDRO — MUTUALLY EXCLUSIVE CLASSES</x:v>
      </x:c>
      <x:c r="B12" s="36" t="str">
        <x:v>HYDRO_BASIN</x:v>
      </x:c>
      <x:c r="C12" s="37" t="n">
        <x:v>3.512208833846</x:v>
      </x:c>
      <x:c r="D12" s="37" t="n">
        <x:v>0.238064607896</x:v>
      </x:c>
      <x:c r="E12" s="37" t="n">
        <x:v>0.582887284562</x:v>
      </x:c>
      <x:c r="F12" s="37" t="n">
        <x:v>0.103488209848</x:v>
      </x:c>
      <x:c r="G12" s="37" t="n">
        <x:v>0.417949832196</x:v>
      </x:c>
      <x:c r="H12" s="37" t="n">
        <x:v>0.058808504061</x:v>
      </x:c>
      <x:c r="I12" s="37" t="n">
        <x:v>0.10649272759299999</x:v>
      </x:c>
      <x:c r="J12" s="37" t="n">
        <x:f>SUM(C12:I12)</x:f>
        <x:v>5.019900000002</x:v>
      </x:c>
    </x:row>
    <x:row r="13">
      <x:c r="A13" s="32" t="str">
        <x:v>HYDRO — MUTUALLY EXCLUSIVE CLASSES</x:v>
      </x:c>
      <x:c r="B13" s="24" t="str">
        <x:v>HYDRO_RESERVOIR</x:v>
      </x:c>
      <x:c r="C13" s="28" t="n">
        <x:v>3.669318175474</x:v>
      </x:c>
      <x:c r="D13" s="28" t="n">
        <x:v>0.175818907682</x:v>
      </x:c>
      <x:c r="E13" s="28" t="n">
        <x:v>0.43048232401799996</x:v>
      </x:c>
      <x:c r="F13" s="28" t="n">
        <x:v>0.076429605283</x:v>
      </x:c>
      <x:c r="G13" s="28" t="n">
        <x:v>0.308670337905</x:v>
      </x:c>
      <x:c r="H13" s="28" t="n">
        <x:v>0.043432104578</x:v>
      </x:c>
      <x:c r="I13" s="28" t="n">
        <x:v>0.07864854506</x:v>
      </x:c>
      <x:c r="J13" s="28" t="n">
        <x:f>SUM(C13:I13)</x:f>
        <x:v>4.782799999999999</x:v>
      </x:c>
    </x:row>
    <x:row r="14">
      <x:c r="A14" s="35" t="str">
        <x:v>HYDRO — MUTUALLY EXCLUSIVE CLASSES</x:v>
      </x:c>
      <x:c r="B14" s="36" t="str">
        <x:v>PUMPED_HYDRO_PURE</x:v>
      </x:c>
      <x:c r="C14" s="37" t="n">
        <x:v>2.393185354581</x:v>
      </x:c>
      <x:c r="D14" s="37" t="n">
        <x:v>0</x:v>
      </x:c>
      <x:c r="E14" s="37" t="n">
        <x:v>0.9959156698220001</x:v>
      </x:c>
      <x:c r="F14" s="37" t="n">
        <x:v>0</x:v>
      </x:c>
      <x:c r="G14" s="37" t="n">
        <x:v>0</x:v>
      </x:c>
      <x:c r="H14" s="37" t="n">
        <x:v>0.5804745855969999</x:v>
      </x:c>
      <x:c r="I14" s="37" t="n">
        <x:v>0</x:v>
      </x:c>
      <x:c r="J14" s="37" t="n">
        <x:f>SUM(C14:I14)</x:f>
        <x:v>3.96957561</x:v>
      </x:c>
    </x:row>
    <x:row r="15">
      <x:c r="A15" s="32" t="str">
        <x:v>HYDRO — MUTUALLY EXCLUSIVE CLASSES</x:v>
      </x:c>
      <x:c r="B15" s="24" t="str">
        <x:v>PUMPED_HYDRO_MIXED</x:v>
      </x:c>
      <x:c r="C15" s="28" t="n">
        <x:v>2.305444434376</x:v>
      </x:c>
      <x:c r="D15" s="28" t="n">
        <x:v>0</x:v>
      </x:c>
      <x:c r="E15" s="28" t="n">
        <x:v>0.736949744032</x:v>
      </x:c>
      <x:c r="F15" s="28" t="n">
        <x:v>0</x:v>
      </x:c>
      <x:c r="G15" s="28" t="n">
        <x:v>0</x:v>
      </x:c>
      <x:c r="H15" s="28" t="n">
        <x:v>0</x:v>
      </x:c>
      <x:c r="I15" s="28" t="n">
        <x:v>0.24033021159200002</x:v>
      </x:c>
      <x:c r="J15" s="28" t="n">
        <x:f>SUM(C15:I15)</x:f>
        <x:v>3.2827243900000003</x:v>
      </x:c>
    </x:row>
    <x:row r="16">
      <x:c r="A16" s="35" t="str">
        <x:v>HYDRO — MUTUALLY EXCLUSIVE CLASSES TOTAL</x:v>
      </x:c>
      <x:c r="B16" s="38" t="str"/>
      <x:c r="C16" s="39" t="n">
        <x:f>SUM(C11:C15)</x:f>
        <x:v>17.108367664582</x:v>
      </x:c>
      <x:c r="D16" s="39" t="n">
        <x:f>SUM(D11:D15)</x:f>
        <x:v>0.62319755</x:v>
      </x:c>
      <x:c r="E16" s="39" t="n">
        <x:f>SUM(E11:E15)</x:f>
        <x:v>3.326055049822</x:v>
      </x:c>
      <x:c r="F16" s="39" t="n">
        <x:f>SUM(F11:F15)</x:f>
        <x:v>0.22532915</x:v>
      </x:c>
      <x:c r="G16" s="39" t="n">
        <x:f>SUM(G11:G15)</x:f>
        <x:v>0.833364</x:v>
      </x:c>
      <x:c r="H16" s="39" t="n">
        <x:f>SUM(H11:H15)</x:f>
        <x:v>0.714267585598</x:v>
      </x:c>
      <x:c r="I16" s="39" t="n">
        <x:f>SUM(I11:I15)</x:f>
        <x:v>0.463419</x:v>
      </x:c>
      <x:c r="J16" s="39" t="n">
        <x:f>SUM(J11:J15)</x:f>
        <x:v>23.294000000002</x:v>
      </x:c>
    </x:row>
    <x:row r="17">
      <x:c r="A17" s="32"/>
      <x:c r="B17" s="24"/>
      <x:c r="C17" s="28"/>
      <x:c r="D17" s="28"/>
      <x:c r="E17" s="28"/>
      <x:c r="F17" s="28"/>
      <x:c r="G17" s="28"/>
      <x:c r="H17" s="28"/>
      <x:c r="I17" s="28"/>
      <x:c r="J17" s="28"/>
    </x:row>
    <x:row r="18">
      <x:c r="A18" s="35" t="str">
        <x:v>STORAGE POWER</x:v>
      </x:c>
      <x:c r="B18" s="36" t="str">
        <x:v>BESS</x:v>
      </x:c>
      <x:c r="C18" s="37" t="n">
        <x:v>5.525</x:v>
      </x:c>
      <x:c r="D18" s="37" t="n">
        <x:v>1.133333333333</x:v>
      </x:c>
      <x:c r="E18" s="37" t="n">
        <x:v>4.220833333333</x:v>
      </x:c>
      <x:c r="F18" s="37" t="n">
        <x:v>6.3625</x:v>
      </x:c>
      <x:c r="G18" s="37" t="n">
        <x:v>1.466666666667</x:v>
      </x:c>
      <x:c r="H18" s="37" t="n">
        <x:v>4.970833333333</x:v>
      </x:c>
      <x:c r="I18" s="37" t="n">
        <x:v>3.5875</x:v>
      </x:c>
      <x:c r="J18" s="37" t="n">
        <x:f>SUM(C18:I18)</x:f>
        <x:v>27.266666666665998</x:v>
      </x:c>
    </x:row>
    <x:row r="19">
      <x:c r="A19" s="33" t="str">
        <x:v>STORAGE POWER TOTAL</x:v>
      </x:c>
      <x:c r="B19" s="25" t="str"/>
      <x:c r="C19" s="29" t="n">
        <x:f>SUM(C18:C18)</x:f>
        <x:v>5.525</x:v>
      </x:c>
      <x:c r="D19" s="29" t="n">
        <x:f>SUM(D18:D18)</x:f>
        <x:v>1.133333333333</x:v>
      </x:c>
      <x:c r="E19" s="29" t="n">
        <x:f>SUM(E18:E18)</x:f>
        <x:v>4.220833333333</x:v>
      </x:c>
      <x:c r="F19" s="29" t="n">
        <x:f>SUM(F18:F18)</x:f>
        <x:v>6.3625</x:v>
      </x:c>
      <x:c r="G19" s="29" t="n">
        <x:f>SUM(G18:G18)</x:f>
        <x:v>1.466666666667</x:v>
      </x:c>
      <x:c r="H19" s="29" t="n">
        <x:f>SUM(H18:H18)</x:f>
        <x:v>4.970833333333</x:v>
      </x:c>
      <x:c r="I19" s="29" t="n">
        <x:f>SUM(I18:I18)</x:f>
        <x:v>3.5875</x:v>
      </x:c>
      <x:c r="J19" s="29" t="n">
        <x:f>SUM(J18:J18)</x:f>
        <x:v>27.266666666665998</x:v>
      </x:c>
    </x:row>
    <x:row r="20">
      <x:c r="A20" s="35"/>
      <x:c r="B20" s="36"/>
      <x:c r="C20" s="37"/>
      <x:c r="D20" s="37"/>
      <x:c r="E20" s="37"/>
      <x:c r="F20" s="37"/>
      <x:c r="G20" s="37"/>
      <x:c r="H20" s="37"/>
      <x:c r="I20" s="37"/>
      <x:c r="J20" s="37"/>
    </x:row>
    <x:row r="21">
      <x:c r="A21" s="32" t="str">
        <x:v>DISPATCHABLE / PROGRAMMABLE</x:v>
      </x:c>
      <x:c r="B21" s="24" t="str">
        <x:v>CCGT</x:v>
      </x:c>
      <x:c r="C21" s="28" t="n">
        <x:v>23.085542039157</x:v>
      </x:c>
      <x:c r="D21" s="28" t="n">
        <x:v>1.599013669946</x:v>
      </x:c>
      <x:c r="E21" s="28" t="n">
        <x:v>6.33305142292</x:v>
      </x:c>
      <x:c r="F21" s="28" t="n">
        <x:v>4.4251597636360005</x:v>
      </x:c>
      <x:c r="G21" s="28" t="n">
        <x:v>3.235880835398</x:v>
      </x:c>
      <x:c r="H21" s="28" t="n">
        <x:v>3.033470304432</x:v>
      </x:c>
      <x:c r="I21" s="28" t="n">
        <x:v>0.636150571763</x:v>
      </x:c>
      <x:c r="J21" s="28" t="n">
        <x:f>SUM(C21:I21)</x:f>
        <x:v>42.348268607252</x:v>
      </x:c>
    </x:row>
    <x:row r="22">
      <x:c r="A22" s="35" t="str">
        <x:v>DISPATCHABLE / PROGRAMMABLE</x:v>
      </x:c>
      <x:c r="B22" s="36" t="str">
        <x:v>GT_OCGT</x:v>
      </x:c>
      <x:c r="C22" s="37" t="n">
        <x:v>0.842144489518</x:v>
      </x:c>
      <x:c r="D22" s="37" t="n">
        <x:v>0.47943513988799996</x:v>
      </x:c>
      <x:c r="E22" s="37" t="n">
        <x:v>0.7691970411669999</x:v>
      </x:c>
      <x:c r="F22" s="37" t="n">
        <x:v>0.256102110068</x:v>
      </x:c>
      <x:c r="G22" s="37" t="n">
        <x:v>0.216218464413</x:v>
      </x:c>
      <x:c r="H22" s="37" t="n">
        <x:v>0.652525027236</x:v>
      </x:c>
      <x:c r="I22" s="37" t="n">
        <x:v>0.139028766432</x:v>
      </x:c>
      <x:c r="J22" s="37" t="n">
        <x:f>SUM(C22:I22)</x:f>
        <x:v>3.3546510387219994</x:v>
      </x:c>
    </x:row>
    <x:row r="23">
      <x:c r="A23" s="32" t="str">
        <x:v>DISPATCHABLE / PROGRAMMABLE</x:v>
      </x:c>
      <x:c r="B23" s="24" t="str">
        <x:v>INTERNAL_COMBUSTION</x:v>
      </x:c>
      <x:c r="C23" s="28" t="n">
        <x:v>3.456449708873</x:v>
      </x:c>
      <x:c r="D23" s="28" t="n">
        <x:v>0.38805714847399997</x:v>
      </x:c>
      <x:c r="E23" s="28" t="n">
        <x:v>0.7804036866</x:v>
      </x:c>
      <x:c r="F23" s="28" t="n">
        <x:v>0.437833098679</x:v>
      </x:c>
      <x:c r="G23" s="28" t="n">
        <x:v>0.038206958731999995</x:v>
      </x:c>
      <x:c r="H23" s="28" t="n">
        <x:v>0.206615562143</x:v>
      </x:c>
      <x:c r="I23" s="28" t="n">
        <x:v>0.022337288474000003</x:v>
      </x:c>
      <x:c r="J23" s="28" t="n">
        <x:f>SUM(C23:I23)</x:f>
        <x:v>5.3299034519749995</x:v>
      </x:c>
    </x:row>
    <x:row r="24">
      <x:c r="A24" s="35" t="str">
        <x:v>DISPATCHABLE / PROGRAMMABLE</x:v>
      </x:c>
      <x:c r="B24" s="36" t="str">
        <x:v>STEAM_OTHER_SURVIVING</x:v>
      </x:c>
      <x:c r="C24" s="37" t="n">
        <x:v>1.588168234432</x:v>
      </x:c>
      <x:c r="D24" s="37" t="n">
        <x:v>0.050690815098999996</x:v>
      </x:c>
      <x:c r="E24" s="37" t="n">
        <x:v>0.178980072753</x:v>
      </x:c>
      <x:c r="F24" s="37" t="n">
        <x:v>0.5427043509149999</x:v>
      </x:c>
      <x:c r="G24" s="37" t="n">
        <x:v>0.144709481828</x:v>
      </x:c>
      <x:c r="H24" s="37" t="n">
        <x:v>0.142573999974</x:v>
      </x:c>
      <x:c r="I24" s="37" t="n">
        <x:v>0.246720448909</x:v>
      </x:c>
      <x:c r="J24" s="37" t="n">
        <x:f>SUM(C24:I24)</x:f>
        <x:v>2.89454740391</x:v>
      </x:c>
    </x:row>
    <x:row r="25">
      <x:c r="A25" s="32" t="str">
        <x:v>DISPATCHABLE / PROGRAMMABLE</x:v>
      </x:c>
      <x:c r="B25" s="24" t="str">
        <x:v>OTHER_SURVIVING_THERMAL</x:v>
      </x:c>
      <x:c r="C25" s="28" t="n">
        <x:v>0.053151228556</x:v>
      </x:c>
      <x:c r="D25" s="28" t="n">
        <x:v>0.034351116281</x:v>
      </x:c>
      <x:c r="E25" s="28" t="n">
        <x:v>0.031065187014</x:v>
      </x:c>
      <x:c r="F25" s="28" t="n">
        <x:v>0.120231362984</x:v>
      </x:c>
      <x:c r="G25" s="28" t="n">
        <x:v>0</x:v>
      </x:c>
      <x:c r="H25" s="28" t="n">
        <x:v>0.022281503519</x:v>
      </x:c>
      <x:c r="I25" s="28" t="n">
        <x:v>0.028495431878</x:v>
      </x:c>
      <x:c r="J25" s="28" t="n">
        <x:f>SUM(C25:I25)</x:f>
        <x:v>0.289575830232</x:v>
      </x:c>
    </x:row>
    <x:row r="26">
      <x:c r="A26" s="35" t="str">
        <x:v>DISPATCHABLE / PROGRAMMABLE</x:v>
      </x:c>
      <x:c r="B26" s="36" t="str">
        <x:v>GEOTHERMAL</x:v>
      </x:c>
      <x:c r="C26" s="37" t="n">
        <x:v>0</x:v>
      </x:c>
      <x:c r="D26" s="37" t="n">
        <x:v>0.783053667913</x:v>
      </x:c>
      <x:c r="E26" s="37" t="n">
        <x:v>0</x:v>
      </x:c>
      <x:c r="F26" s="37" t="n">
        <x:v>0</x:v>
      </x:c>
      <x:c r="G26" s="37" t="n">
        <x:v>0</x:v>
      </x:c>
      <x:c r="H26" s="37" t="n">
        <x:v>0</x:v>
      </x:c>
      <x:c r="I26" s="37" t="n">
        <x:v>0</x:v>
      </x:c>
      <x:c r="J26" s="37" t="n">
        <x:f>SUM(C26:I26)</x:f>
        <x:v>0.783053667913</x:v>
      </x:c>
    </x:row>
    <x:row r="27">
      <x:c r="A27" s="33" t="str">
        <x:v>DISPATCHABLE / PROGRAMMABLE TOTAL</x:v>
      </x:c>
      <x:c r="B27" s="25" t="str"/>
      <x:c r="C27" s="29" t="n">
        <x:f>SUM(C21:C26)</x:f>
        <x:v>29.025455700536</x:v>
      </x:c>
      <x:c r="D27" s="29" t="n">
        <x:f>SUM(D21:D26)</x:f>
        <x:v>3.334601557601</x:v>
      </x:c>
      <x:c r="E27" s="29" t="n">
        <x:f>SUM(E21:E26)</x:f>
        <x:v>8.092697410453999</x:v>
      </x:c>
      <x:c r="F27" s="29" t="n">
        <x:f>SUM(F21:F26)</x:f>
        <x:v>5.782030686282001</x:v>
      </x:c>
      <x:c r="G27" s="29" t="n">
        <x:f>SUM(G21:G26)</x:f>
        <x:v>3.635015740371</x:v>
      </x:c>
      <x:c r="H27" s="29" t="n">
        <x:f>SUM(H21:H26)</x:f>
        <x:v>4.057466397304</x:v>
      </x:c>
      <x:c r="I27" s="29" t="n">
        <x:f>SUM(I21:I26)</x:f>
        <x:v>1.072732507456</x:v>
      </x:c>
      <x:c r="J27" s="29" t="n">
        <x:f>SUM(J21:J26)</x:f>
        <x:v>55.00000000000401</x:v>
      </x:c>
    </x:row>
    <x:row r="28">
      <x:c r="A28" s="40"/>
      <x:c r="B28" s="41"/>
      <x:c r="C28" s="42"/>
      <x:c r="D28" s="42"/>
      <x:c r="E28" s="42"/>
      <x:c r="F28" s="42"/>
      <x:c r="G28" s="42"/>
      <x:c r="H28" s="42"/>
      <x:c r="I28" s="42"/>
      <x:c r="J28" s="42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3" t="str">
        <x:v>2040 High — installed capacity by MEM market zone (GW)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Fixed p_nom scenario table. Slow adds the corrected Terna-CDP dispatchable increment; annual dispatch remains endogenous.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3" t="str">
        <x:v>Block</x:v>
      </x:c>
      <x:c r="B4" s="13" t="str">
        <x:v>Technology</x:v>
      </x:c>
      <x:c r="C4" s="13" t="str">
        <x:v>NORD</x:v>
      </x:c>
      <x:c r="D4" s="13" t="str">
        <x:v>CNOR</x:v>
      </x:c>
      <x:c r="E4" s="13" t="str">
        <x:v>CSUD</x:v>
      </x:c>
      <x:c r="F4" s="13" t="str">
        <x:v>SUD</x:v>
      </x:c>
      <x:c r="G4" s="13" t="str">
        <x:v>CALA</x:v>
      </x:c>
      <x:c r="H4" s="13" t="str">
        <x:v>SICI</x:v>
      </x:c>
      <x:c r="I4" s="13" t="str">
        <x:v>SARD</x:v>
      </x:c>
      <x:c r="J4" s="13" t="str">
        <x:v>ITALY</x:v>
      </x:c>
    </x:row>
    <x:row r="5">
      <x:c r="A5" s="31" t="str">
        <x:v>VARIABLE RENEWABLES</x:v>
      </x:c>
      <x:c r="B5" s="23" t="str">
        <x:v>SOLAR_PV_ROOFTOP</x:v>
      </x:c>
      <x:c r="C5" s="27" t="n">
        <x:v>27.61</x:v>
      </x:c>
      <x:c r="D5" s="27" t="n">
        <x:v>3.63</x:v>
      </x:c>
      <x:c r="E5" s="27" t="n">
        <x:v>6.05</x:v>
      </x:c>
      <x:c r="F5" s="27" t="n">
        <x:v>1.87</x:v>
      </x:c>
      <x:c r="G5" s="27" t="n">
        <x:v>1.21</x:v>
      </x:c>
      <x:c r="H5" s="27" t="n">
        <x:v>3.63</x:v>
      </x:c>
      <x:c r="I5" s="27" t="n">
        <x:v>1.87</x:v>
      </x:c>
      <x:c r="J5" s="27" t="n">
        <x:f>SUM(C5:I5)</x:f>
        <x:v>45.87</x:v>
      </x:c>
    </x:row>
    <x:row r="6">
      <x:c r="A6" s="35" t="str">
        <x:v>VARIABLE RENEWABLES</x:v>
      </x:c>
      <x:c r="B6" s="36" t="str">
        <x:v>SOLAR_PV_UTILITY</x:v>
      </x:c>
      <x:c r="C6" s="37" t="n">
        <x:v>19.03</x:v>
      </x:c>
      <x:c r="D6" s="37" t="n">
        <x:v>6.93</x:v>
      </x:c>
      <x:c r="E6" s="37" t="n">
        <x:v>16.06</x:v>
      </x:c>
      <x:c r="F6" s="37" t="n">
        <x:v>21.23</x:v>
      </x:c>
      <x:c r="G6" s="37" t="n">
        <x:v>2.75</x:v>
      </x:c>
      <x:c r="H6" s="37" t="n">
        <x:v>12.65</x:v>
      </x:c>
      <x:c r="I6" s="37" t="n">
        <x:v>8.47</x:v>
      </x:c>
      <x:c r="J6" s="37" t="n">
        <x:f>SUM(C6:I6)</x:f>
        <x:v>87.12</x:v>
      </x:c>
    </x:row>
    <x:row r="7">
      <x:c r="A7" s="32" t="str">
        <x:v>VARIABLE RENEWABLES</x:v>
      </x:c>
      <x:c r="B7" s="24" t="str">
        <x:v>WIND_ONSHORE</x:v>
      </x:c>
      <x:c r="C7" s="28" t="n">
        <x:v>0.66</x:v>
      </x:c>
      <x:c r="D7" s="28" t="n">
        <x:v>0.44</x:v>
      </x:c>
      <x:c r="E7" s="28" t="n">
        <x:v>7.48</x:v>
      </x:c>
      <x:c r="F7" s="28" t="n">
        <x:v>14.52</x:v>
      </x:c>
      <x:c r="G7" s="28" t="n">
        <x:v>3.63</x:v>
      </x:c>
      <x:c r="H7" s="28" t="n">
        <x:v>6.93</x:v>
      </x:c>
      <x:c r="I7" s="28" t="n">
        <x:v>3.85</x:v>
      </x:c>
      <x:c r="J7" s="28" t="n">
        <x:f>SUM(C7:I7)</x:f>
        <x:v>37.51</x:v>
      </x:c>
    </x:row>
    <x:row r="8">
      <x:c r="A8" s="35" t="str">
        <x:v>VARIABLE RENEWABLES</x:v>
      </x:c>
      <x:c r="B8" s="36" t="str">
        <x:v>WIND_OFFSHORE</x:v>
      </x:c>
      <x:c r="C8" s="37" t="n">
        <x:v>1.65</x:v>
      </x:c>
      <x:c r="D8" s="37" t="n">
        <x:v>0.88</x:v>
      </x:c>
      <x:c r="E8" s="37" t="n">
        <x:v>1.76</x:v>
      </x:c>
      <x:c r="F8" s="37" t="n">
        <x:v>5.17</x:v>
      </x:c>
      <x:c r="G8" s="37" t="n">
        <x:v>0.66</x:v>
      </x:c>
      <x:c r="H8" s="37" t="n">
        <x:v>3.3</x:v>
      </x:c>
      <x:c r="I8" s="37" t="n">
        <x:v>3.3</x:v>
      </x:c>
      <x:c r="J8" s="37" t="n">
        <x:f>SUM(C8:I8)</x:f>
        <x:v>16.720000000000002</x:v>
      </x:c>
    </x:row>
    <x:row r="9">
      <x:c r="A9" s="33" t="str">
        <x:v>VARIABLE RENEWABLES TOTAL</x:v>
      </x:c>
      <x:c r="B9" s="25" t="str"/>
      <x:c r="C9" s="29" t="n">
        <x:f>SUM(C5:C8)</x:f>
        <x:v>48.949999999999996</x:v>
      </x:c>
      <x:c r="D9" s="29" t="n">
        <x:f>SUM(D5:D8)</x:f>
        <x:v>11.879999999999999</x:v>
      </x:c>
      <x:c r="E9" s="29" t="n">
        <x:f>SUM(E5:E8)</x:f>
        <x:v>31.35</x:v>
      </x:c>
      <x:c r="F9" s="29" t="n">
        <x:f>SUM(F5:F8)</x:f>
        <x:v>42.790000000000006</x:v>
      </x:c>
      <x:c r="G9" s="29" t="n">
        <x:f>SUM(G5:G8)</x:f>
        <x:v>8.25</x:v>
      </x:c>
      <x:c r="H9" s="29" t="n">
        <x:f>SUM(H5:H8)</x:f>
        <x:v>26.51</x:v>
      </x:c>
      <x:c r="I9" s="29" t="n">
        <x:f>SUM(I5:I8)</x:f>
        <x:v>17.49</x:v>
      </x:c>
      <x:c r="J9" s="29" t="n">
        <x:f>SUM(J5:J8)</x:f>
        <x:v>187.22</x:v>
      </x:c>
    </x:row>
    <x:row r="10">
      <x:c r="A10" s="35"/>
      <x:c r="B10" s="36"/>
      <x:c r="C10" s="37"/>
      <x:c r="D10" s="37"/>
      <x:c r="E10" s="37"/>
      <x:c r="F10" s="37"/>
      <x:c r="G10" s="37"/>
      <x:c r="H10" s="37"/>
      <x:c r="I10" s="37"/>
      <x:c r="J10" s="37"/>
    </x:row>
    <x:row r="11">
      <x:c r="A11" s="32" t="str">
        <x:v>HYDRO — MUTUALLY EXCLUSIVE CLASSES</x:v>
      </x:c>
      <x:c r="B11" s="24" t="str">
        <x:v>HYDRO_RUN_OF_RIVER</x:v>
      </x:c>
      <x:c r="C11" s="28" t="n">
        <x:v>5.228210866305</x:v>
      </x:c>
      <x:c r="D11" s="28" t="n">
        <x:v>0.209314034422</x:v>
      </x:c>
      <x:c r="E11" s="28" t="n">
        <x:v>0.579820027388</x:v>
      </x:c>
      <x:c r="F11" s="28" t="n">
        <x:v>0.045411334869</x:v>
      </x:c>
      <x:c r="G11" s="28" t="n">
        <x:v>0.10674382989900001</x:v>
      </x:c>
      <x:c r="H11" s="28" t="n">
        <x:v>0.031552391362</x:v>
      </x:c>
      <x:c r="I11" s="28" t="n">
        <x:v>0.037947515755</x:v>
      </x:c>
      <x:c r="J11" s="28" t="n">
        <x:f>SUM(C11:I11)</x:f>
        <x:v>6.239000000000001</x:v>
      </x:c>
    </x:row>
    <x:row r="12">
      <x:c r="A12" s="35" t="str">
        <x:v>HYDRO — MUTUALLY EXCLUSIVE CLASSES</x:v>
      </x:c>
      <x:c r="B12" s="36" t="str">
        <x:v>HYDRO_BASIN</x:v>
      </x:c>
      <x:c r="C12" s="37" t="n">
        <x:v>3.512208833846</x:v>
      </x:c>
      <x:c r="D12" s="37" t="n">
        <x:v>0.238064607896</x:v>
      </x:c>
      <x:c r="E12" s="37" t="n">
        <x:v>0.582887284562</x:v>
      </x:c>
      <x:c r="F12" s="37" t="n">
        <x:v>0.103488209848</x:v>
      </x:c>
      <x:c r="G12" s="37" t="n">
        <x:v>0.417949832196</x:v>
      </x:c>
      <x:c r="H12" s="37" t="n">
        <x:v>0.058808504061</x:v>
      </x:c>
      <x:c r="I12" s="37" t="n">
        <x:v>0.10649272759299999</x:v>
      </x:c>
      <x:c r="J12" s="37" t="n">
        <x:f>SUM(C12:I12)</x:f>
        <x:v>5.019900000002</x:v>
      </x:c>
    </x:row>
    <x:row r="13">
      <x:c r="A13" s="32" t="str">
        <x:v>HYDRO — MUTUALLY EXCLUSIVE CLASSES</x:v>
      </x:c>
      <x:c r="B13" s="24" t="str">
        <x:v>HYDRO_RESERVOIR</x:v>
      </x:c>
      <x:c r="C13" s="28" t="n">
        <x:v>3.669318175474</x:v>
      </x:c>
      <x:c r="D13" s="28" t="n">
        <x:v>0.175818907682</x:v>
      </x:c>
      <x:c r="E13" s="28" t="n">
        <x:v>0.43048232401799996</x:v>
      </x:c>
      <x:c r="F13" s="28" t="n">
        <x:v>0.076429605283</x:v>
      </x:c>
      <x:c r="G13" s="28" t="n">
        <x:v>0.308670337905</x:v>
      </x:c>
      <x:c r="H13" s="28" t="n">
        <x:v>0.043432104578</x:v>
      </x:c>
      <x:c r="I13" s="28" t="n">
        <x:v>0.07864854506</x:v>
      </x:c>
      <x:c r="J13" s="28" t="n">
        <x:f>SUM(C13:I13)</x:f>
        <x:v>4.782799999999999</x:v>
      </x:c>
    </x:row>
    <x:row r="14">
      <x:c r="A14" s="35" t="str">
        <x:v>HYDRO — MUTUALLY EXCLUSIVE CLASSES</x:v>
      </x:c>
      <x:c r="B14" s="36" t="str">
        <x:v>PUMPED_HYDRO_PURE</x:v>
      </x:c>
      <x:c r="C14" s="37" t="n">
        <x:v>2.393185354581</x:v>
      </x:c>
      <x:c r="D14" s="37" t="n">
        <x:v>0</x:v>
      </x:c>
      <x:c r="E14" s="37" t="n">
        <x:v>0.9959156698220001</x:v>
      </x:c>
      <x:c r="F14" s="37" t="n">
        <x:v>0</x:v>
      </x:c>
      <x:c r="G14" s="37" t="n">
        <x:v>0</x:v>
      </x:c>
      <x:c r="H14" s="37" t="n">
        <x:v>0.5804745855969999</x:v>
      </x:c>
      <x:c r="I14" s="37" t="n">
        <x:v>0</x:v>
      </x:c>
      <x:c r="J14" s="37" t="n">
        <x:f>SUM(C14:I14)</x:f>
        <x:v>3.96957561</x:v>
      </x:c>
    </x:row>
    <x:row r="15">
      <x:c r="A15" s="32" t="str">
        <x:v>HYDRO — MUTUALLY EXCLUSIVE CLASSES</x:v>
      </x:c>
      <x:c r="B15" s="24" t="str">
        <x:v>PUMPED_HYDRO_MIXED</x:v>
      </x:c>
      <x:c r="C15" s="28" t="n">
        <x:v>2.305444434376</x:v>
      </x:c>
      <x:c r="D15" s="28" t="n">
        <x:v>0</x:v>
      </x:c>
      <x:c r="E15" s="28" t="n">
        <x:v>0.736949744032</x:v>
      </x:c>
      <x:c r="F15" s="28" t="n">
        <x:v>0</x:v>
      </x:c>
      <x:c r="G15" s="28" t="n">
        <x:v>0</x:v>
      </x:c>
      <x:c r="H15" s="28" t="n">
        <x:v>0</x:v>
      </x:c>
      <x:c r="I15" s="28" t="n">
        <x:v>0.24033021159200002</x:v>
      </x:c>
      <x:c r="J15" s="28" t="n">
        <x:f>SUM(C15:I15)</x:f>
        <x:v>3.2827243900000003</x:v>
      </x:c>
    </x:row>
    <x:row r="16">
      <x:c r="A16" s="35" t="str">
        <x:v>HYDRO — MUTUALLY EXCLUSIVE CLASSES TOTAL</x:v>
      </x:c>
      <x:c r="B16" s="38" t="str"/>
      <x:c r="C16" s="39" t="n">
        <x:f>SUM(C11:C15)</x:f>
        <x:v>17.108367664582</x:v>
      </x:c>
      <x:c r="D16" s="39" t="n">
        <x:f>SUM(D11:D15)</x:f>
        <x:v>0.62319755</x:v>
      </x:c>
      <x:c r="E16" s="39" t="n">
        <x:f>SUM(E11:E15)</x:f>
        <x:v>3.326055049822</x:v>
      </x:c>
      <x:c r="F16" s="39" t="n">
        <x:f>SUM(F11:F15)</x:f>
        <x:v>0.22532915</x:v>
      </x:c>
      <x:c r="G16" s="39" t="n">
        <x:f>SUM(G11:G15)</x:f>
        <x:v>0.833364</x:v>
      </x:c>
      <x:c r="H16" s="39" t="n">
        <x:f>SUM(H11:H15)</x:f>
        <x:v>0.714267585598</x:v>
      </x:c>
      <x:c r="I16" s="39" t="n">
        <x:f>SUM(I11:I15)</x:f>
        <x:v>0.463419</x:v>
      </x:c>
      <x:c r="J16" s="39" t="n">
        <x:f>SUM(J11:J15)</x:f>
        <x:v>23.294000000002</x:v>
      </x:c>
    </x:row>
    <x:row r="17">
      <x:c r="A17" s="32"/>
      <x:c r="B17" s="24"/>
      <x:c r="C17" s="28"/>
      <x:c r="D17" s="28"/>
      <x:c r="E17" s="28"/>
      <x:c r="F17" s="28"/>
      <x:c r="G17" s="28"/>
      <x:c r="H17" s="28"/>
      <x:c r="I17" s="28"/>
      <x:c r="J17" s="28"/>
    </x:row>
    <x:row r="18">
      <x:c r="A18" s="35" t="str">
        <x:v>STORAGE POWER</x:v>
      </x:c>
      <x:c r="B18" s="36" t="str">
        <x:v>BESS</x:v>
      </x:c>
      <x:c r="C18" s="37" t="n">
        <x:v>6.0775</x:v>
      </x:c>
      <x:c r="D18" s="37" t="n">
        <x:v>1.246666666667</x:v>
      </x:c>
      <x:c r="E18" s="37" t="n">
        <x:v>4.642916666666999</x:v>
      </x:c>
      <x:c r="F18" s="37" t="n">
        <x:v>6.99875</x:v>
      </x:c>
      <x:c r="G18" s="37" t="n">
        <x:v>1.613333333333</x:v>
      </x:c>
      <x:c r="H18" s="37" t="n">
        <x:v>5.467916666667</x:v>
      </x:c>
      <x:c r="I18" s="37" t="n">
        <x:v>3.94625</x:v>
      </x:c>
      <x:c r="J18" s="37" t="n">
        <x:f>SUM(C18:I18)</x:f>
        <x:v>29.993333333334</x:v>
      </x:c>
    </x:row>
    <x:row r="19">
      <x:c r="A19" s="33" t="str">
        <x:v>STORAGE POWER TOTAL</x:v>
      </x:c>
      <x:c r="B19" s="25" t="str"/>
      <x:c r="C19" s="29" t="n">
        <x:f>SUM(C18:C18)</x:f>
        <x:v>6.0775</x:v>
      </x:c>
      <x:c r="D19" s="29" t="n">
        <x:f>SUM(D18:D18)</x:f>
        <x:v>1.246666666667</x:v>
      </x:c>
      <x:c r="E19" s="29" t="n">
        <x:f>SUM(E18:E18)</x:f>
        <x:v>4.642916666666999</x:v>
      </x:c>
      <x:c r="F19" s="29" t="n">
        <x:f>SUM(F18:F18)</x:f>
        <x:v>6.99875</x:v>
      </x:c>
      <x:c r="G19" s="29" t="n">
        <x:f>SUM(G18:G18)</x:f>
        <x:v>1.613333333333</x:v>
      </x:c>
      <x:c r="H19" s="29" t="n">
        <x:f>SUM(H18:H18)</x:f>
        <x:v>5.467916666667</x:v>
      </x:c>
      <x:c r="I19" s="29" t="n">
        <x:f>SUM(I18:I18)</x:f>
        <x:v>3.94625</x:v>
      </x:c>
      <x:c r="J19" s="29" t="n">
        <x:f>SUM(J18:J18)</x:f>
        <x:v>29.993333333334</x:v>
      </x:c>
    </x:row>
    <x:row r="20">
      <x:c r="A20" s="35"/>
      <x:c r="B20" s="36"/>
      <x:c r="C20" s="37"/>
      <x:c r="D20" s="37"/>
      <x:c r="E20" s="37"/>
      <x:c r="F20" s="37"/>
      <x:c r="G20" s="37"/>
      <x:c r="H20" s="37"/>
      <x:c r="I20" s="37"/>
      <x:c r="J20" s="37"/>
    </x:row>
    <x:row r="21">
      <x:c r="A21" s="32" t="str">
        <x:v>DISPATCHABLE / PROGRAMMABLE</x:v>
      </x:c>
      <x:c r="B21" s="24" t="str">
        <x:v>CCGT</x:v>
      </x:c>
      <x:c r="C21" s="28" t="n">
        <x:v>23.085542039157</x:v>
      </x:c>
      <x:c r="D21" s="28" t="n">
        <x:v>1.599013669946</x:v>
      </x:c>
      <x:c r="E21" s="28" t="n">
        <x:v>6.33305142292</x:v>
      </x:c>
      <x:c r="F21" s="28" t="n">
        <x:v>4.4251597636360005</x:v>
      </x:c>
      <x:c r="G21" s="28" t="n">
        <x:v>3.235880835398</x:v>
      </x:c>
      <x:c r="H21" s="28" t="n">
        <x:v>3.033470304432</x:v>
      </x:c>
      <x:c r="I21" s="28" t="n">
        <x:v>0.636150571763</x:v>
      </x:c>
      <x:c r="J21" s="28" t="n">
        <x:f>SUM(C21:I21)</x:f>
        <x:v>42.348268607252</x:v>
      </x:c>
    </x:row>
    <x:row r="22">
      <x:c r="A22" s="35" t="str">
        <x:v>DISPATCHABLE / PROGRAMMABLE</x:v>
      </x:c>
      <x:c r="B22" s="36" t="str">
        <x:v>GT_OCGT</x:v>
      </x:c>
      <x:c r="C22" s="37" t="n">
        <x:v>0.842144489518</x:v>
      </x:c>
      <x:c r="D22" s="37" t="n">
        <x:v>0.47943513988799996</x:v>
      </x:c>
      <x:c r="E22" s="37" t="n">
        <x:v>0.7691970411669999</x:v>
      </x:c>
      <x:c r="F22" s="37" t="n">
        <x:v>0.256102110068</x:v>
      </x:c>
      <x:c r="G22" s="37" t="n">
        <x:v>0.216218464413</x:v>
      </x:c>
      <x:c r="H22" s="37" t="n">
        <x:v>0.652525027236</x:v>
      </x:c>
      <x:c r="I22" s="37" t="n">
        <x:v>0.139028766432</x:v>
      </x:c>
      <x:c r="J22" s="37" t="n">
        <x:f>SUM(C22:I22)</x:f>
        <x:v>3.3546510387219994</x:v>
      </x:c>
    </x:row>
    <x:row r="23">
      <x:c r="A23" s="32" t="str">
        <x:v>DISPATCHABLE / PROGRAMMABLE</x:v>
      </x:c>
      <x:c r="B23" s="24" t="str">
        <x:v>INTERNAL_COMBUSTION</x:v>
      </x:c>
      <x:c r="C23" s="28" t="n">
        <x:v>3.456449708873</x:v>
      </x:c>
      <x:c r="D23" s="28" t="n">
        <x:v>0.38805714847399997</x:v>
      </x:c>
      <x:c r="E23" s="28" t="n">
        <x:v>0.7804036866</x:v>
      </x:c>
      <x:c r="F23" s="28" t="n">
        <x:v>0.437833098679</x:v>
      </x:c>
      <x:c r="G23" s="28" t="n">
        <x:v>0.038206958731999995</x:v>
      </x:c>
      <x:c r="H23" s="28" t="n">
        <x:v>0.206615562143</x:v>
      </x:c>
      <x:c r="I23" s="28" t="n">
        <x:v>0.022337288474000003</x:v>
      </x:c>
      <x:c r="J23" s="28" t="n">
        <x:f>SUM(C23:I23)</x:f>
        <x:v>5.3299034519749995</x:v>
      </x:c>
    </x:row>
    <x:row r="24">
      <x:c r="A24" s="35" t="str">
        <x:v>DISPATCHABLE / PROGRAMMABLE</x:v>
      </x:c>
      <x:c r="B24" s="36" t="str">
        <x:v>STEAM_OTHER_SURVIVING</x:v>
      </x:c>
      <x:c r="C24" s="37" t="n">
        <x:v>1.588168234432</x:v>
      </x:c>
      <x:c r="D24" s="37" t="n">
        <x:v>0.050690815098999996</x:v>
      </x:c>
      <x:c r="E24" s="37" t="n">
        <x:v>0.178980072753</x:v>
      </x:c>
      <x:c r="F24" s="37" t="n">
        <x:v>0.5427043509149999</x:v>
      </x:c>
      <x:c r="G24" s="37" t="n">
        <x:v>0.144709481828</x:v>
      </x:c>
      <x:c r="H24" s="37" t="n">
        <x:v>0.142573999974</x:v>
      </x:c>
      <x:c r="I24" s="37" t="n">
        <x:v>0.246720448909</x:v>
      </x:c>
      <x:c r="J24" s="37" t="n">
        <x:f>SUM(C24:I24)</x:f>
        <x:v>2.89454740391</x:v>
      </x:c>
    </x:row>
    <x:row r="25">
      <x:c r="A25" s="32" t="str">
        <x:v>DISPATCHABLE / PROGRAMMABLE</x:v>
      </x:c>
      <x:c r="B25" s="24" t="str">
        <x:v>OTHER_SURVIVING_THERMAL</x:v>
      </x:c>
      <x:c r="C25" s="28" t="n">
        <x:v>0.053151228556</x:v>
      </x:c>
      <x:c r="D25" s="28" t="n">
        <x:v>0.034351116281</x:v>
      </x:c>
      <x:c r="E25" s="28" t="n">
        <x:v>0.031065187014</x:v>
      </x:c>
      <x:c r="F25" s="28" t="n">
        <x:v>0.120231362984</x:v>
      </x:c>
      <x:c r="G25" s="28" t="n">
        <x:v>0</x:v>
      </x:c>
      <x:c r="H25" s="28" t="n">
        <x:v>0.022281503519</x:v>
      </x:c>
      <x:c r="I25" s="28" t="n">
        <x:v>0.028495431878</x:v>
      </x:c>
      <x:c r="J25" s="28" t="n">
        <x:f>SUM(C25:I25)</x:f>
        <x:v>0.289575830232</x:v>
      </x:c>
    </x:row>
    <x:row r="26">
      <x:c r="A26" s="35" t="str">
        <x:v>DISPATCHABLE / PROGRAMMABLE</x:v>
      </x:c>
      <x:c r="B26" s="36" t="str">
        <x:v>GEOTHERMAL</x:v>
      </x:c>
      <x:c r="C26" s="37" t="n">
        <x:v>0</x:v>
      </x:c>
      <x:c r="D26" s="37" t="n">
        <x:v>0.783053667913</x:v>
      </x:c>
      <x:c r="E26" s="37" t="n">
        <x:v>0</x:v>
      </x:c>
      <x:c r="F26" s="37" t="n">
        <x:v>0</x:v>
      </x:c>
      <x:c r="G26" s="37" t="n">
        <x:v>0</x:v>
      </x:c>
      <x:c r="H26" s="37" t="n">
        <x:v>0</x:v>
      </x:c>
      <x:c r="I26" s="37" t="n">
        <x:v>0</x:v>
      </x:c>
      <x:c r="J26" s="37" t="n">
        <x:f>SUM(C26:I26)</x:f>
        <x:v>0.783053667913</x:v>
      </x:c>
    </x:row>
    <x:row r="27">
      <x:c r="A27" s="33" t="str">
        <x:v>DISPATCHABLE / PROGRAMMABLE TOTAL</x:v>
      </x:c>
      <x:c r="B27" s="25" t="str"/>
      <x:c r="C27" s="29" t="n">
        <x:f>SUM(C21:C26)</x:f>
        <x:v>29.025455700536</x:v>
      </x:c>
      <x:c r="D27" s="29" t="n">
        <x:f>SUM(D21:D26)</x:f>
        <x:v>3.334601557601</x:v>
      </x:c>
      <x:c r="E27" s="29" t="n">
        <x:f>SUM(E21:E26)</x:f>
        <x:v>8.092697410453999</x:v>
      </x:c>
      <x:c r="F27" s="29" t="n">
        <x:f>SUM(F21:F26)</x:f>
        <x:v>5.782030686282001</x:v>
      </x:c>
      <x:c r="G27" s="29" t="n">
        <x:f>SUM(G21:G26)</x:f>
        <x:v>3.635015740371</x:v>
      </x:c>
      <x:c r="H27" s="29" t="n">
        <x:f>SUM(H21:H26)</x:f>
        <x:v>4.057466397304</x:v>
      </x:c>
      <x:c r="I27" s="29" t="n">
        <x:f>SUM(I21:I26)</x:f>
        <x:v>1.072732507456</x:v>
      </x:c>
      <x:c r="J27" s="29" t="n">
        <x:f>SUM(J21:J26)</x:f>
        <x:v>55.00000000000401</x:v>
      </x:c>
    </x:row>
    <x:row r="28">
      <x:c r="A28" s="40"/>
      <x:c r="B28" s="41"/>
      <x:c r="C28" s="42"/>
      <x:c r="D28" s="42"/>
      <x:c r="E28" s="42"/>
      <x:c r="F28" s="42"/>
      <x:c r="G28" s="42"/>
      <x:c r="H28" s="42"/>
      <x:c r="I28" s="42"/>
      <x:c r="J28" s="42"/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3" t="str">
        <x:v>2050 Slow — installed capacity by MEM market zone (GW)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Fixed p_nom scenario table. Slow adds the corrected Terna-CDP dispatchable increment; annual dispatch remains endogenous.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3" t="str">
        <x:v>Block</x:v>
      </x:c>
      <x:c r="B4" s="13" t="str">
        <x:v>Technology</x:v>
      </x:c>
      <x:c r="C4" s="13" t="str">
        <x:v>NORD</x:v>
      </x:c>
      <x:c r="D4" s="13" t="str">
        <x:v>CNOR</x:v>
      </x:c>
      <x:c r="E4" s="13" t="str">
        <x:v>CSUD</x:v>
      </x:c>
      <x:c r="F4" s="13" t="str">
        <x:v>SUD</x:v>
      </x:c>
      <x:c r="G4" s="13" t="str">
        <x:v>CALA</x:v>
      </x:c>
      <x:c r="H4" s="13" t="str">
        <x:v>SICI</x:v>
      </x:c>
      <x:c r="I4" s="13" t="str">
        <x:v>SARD</x:v>
      </x:c>
      <x:c r="J4" s="13" t="str">
        <x:v>ITALY</x:v>
      </x:c>
    </x:row>
    <x:row r="5">
      <x:c r="A5" s="31" t="str">
        <x:v>VARIABLE RENEWABLES</x:v>
      </x:c>
      <x:c r="B5" s="23" t="str">
        <x:v>SOLAR_PV_ROOFTOP</x:v>
      </x:c>
      <x:c r="C5" s="27" t="n">
        <x:v>40.691480562448</x:v>
      </x:c>
      <x:c r="D5" s="27" t="n">
        <x:v>5.349875930521</x:v>
      </x:c>
      <x:c r="E5" s="27" t="n">
        <x:v>8.916459884202</x:v>
      </x:c>
      <x:c r="F5" s="27" t="n">
        <x:v>2.755996691481</x:v>
      </x:c>
      <x:c r="G5" s="27" t="n">
        <x:v>1.78329197684</x:v>
      </x:c>
      <x:c r="H5" s="27" t="n">
        <x:v>5.349875930521</x:v>
      </x:c>
      <x:c r="I5" s="27" t="n">
        <x:v>2.755996691481</x:v>
      </x:c>
      <x:c r="J5" s="27" t="n">
        <x:f>SUM(C5:I5)</x:f>
        <x:v>67.602977667494</x:v>
      </x:c>
    </x:row>
    <x:row r="6">
      <x:c r="A6" s="35" t="str">
        <x:v>VARIABLE RENEWABLES</x:v>
      </x:c>
      <x:c r="B6" s="36" t="str">
        <x:v>SOLAR_PV_UTILITY</x:v>
      </x:c>
      <x:c r="C6" s="37" t="n">
        <x:v>28.046319272126</x:v>
      </x:c>
      <x:c r="D6" s="37" t="n">
        <x:v>10.213399503722</x:v>
      </x:c>
      <x:c r="E6" s="37" t="n">
        <x:v>23.669148056245003</x:v>
      </x:c>
      <x:c r="F6" s="37" t="n">
        <x:v>31.288668320926</x:v>
      </x:c>
      <x:c r="G6" s="37" t="n">
        <x:v>4.052936311001</x:v>
      </x:c>
      <x:c r="H6" s="37" t="n">
        <x:v>18.643507030604</x:v>
      </x:c>
      <x:c r="I6" s="37" t="n">
        <x:v>12.483043837883</x:v>
      </x:c>
      <x:c r="J6" s="37" t="n">
        <x:f>SUM(C6:I6)</x:f>
        <x:v>128.39702233250702</x:v>
      </x:c>
    </x:row>
    <x:row r="7">
      <x:c r="A7" s="32" t="str">
        <x:v>VARIABLE RENEWABLES</x:v>
      </x:c>
      <x:c r="B7" s="24" t="str">
        <x:v>WIND_ONSHORE</x:v>
      </x:c>
      <x:c r="C7" s="28" t="n">
        <x:v>0.5067448680350001</x:v>
      </x:c>
      <x:c r="D7" s="28" t="n">
        <x:v>0.337829912023</x:v>
      </x:c>
      <x:c r="E7" s="28" t="n">
        <x:v>5.743108504398999</x:v>
      </x:c>
      <x:c r="F7" s="28" t="n">
        <x:v>11.148387096774</x:v>
      </x:c>
      <x:c r="G7" s="28" t="n">
        <x:v>2.787096774194</x:v>
      </x:c>
      <x:c r="H7" s="28" t="n">
        <x:v>5.32082111437</x:v>
      </x:c>
      <x:c r="I7" s="28" t="n">
        <x:v>2.9560117302049997</x:v>
      </x:c>
      <x:c r="J7" s="28" t="n">
        <x:f>SUM(C7:I7)</x:f>
        <x:v>28.799999999999997</x:v>
      </x:c>
    </x:row>
    <x:row r="8">
      <x:c r="A8" s="35" t="str">
        <x:v>VARIABLE RENEWABLES</x:v>
      </x:c>
      <x:c r="B8" s="36" t="str">
        <x:v>WIND_OFFSHORE</x:v>
      </x:c>
      <x:c r="C8" s="37" t="n">
        <x:v>1.1842105263159999</x:v>
      </x:c>
      <x:c r="D8" s="37" t="n">
        <x:v>0.6315789473679999</x:v>
      </x:c>
      <x:c r="E8" s="37" t="n">
        <x:v>1.2631578947370001</x:v>
      </x:c>
      <x:c r="F8" s="37" t="n">
        <x:v>3.710526315789</x:v>
      </x:c>
      <x:c r="G8" s="37" t="n">
        <x:v>0.473684210526</x:v>
      </x:c>
      <x:c r="H8" s="37" t="n">
        <x:v>2.3684210526319998</x:v>
      </x:c>
      <x:c r="I8" s="37" t="n">
        <x:v>2.3684210526319998</x:v>
      </x:c>
      <x:c r="J8" s="37" t="n">
        <x:f>SUM(C8:I8)</x:f>
        <x:v>11.999999999999998</x:v>
      </x:c>
    </x:row>
    <x:row r="9">
      <x:c r="A9" s="33" t="str">
        <x:v>VARIABLE RENEWABLES TOTAL</x:v>
      </x:c>
      <x:c r="B9" s="25" t="str"/>
      <x:c r="C9" s="29" t="n">
        <x:f>SUM(C5:C8)</x:f>
        <x:v>70.42875522892498</x:v>
      </x:c>
      <x:c r="D9" s="29" t="n">
        <x:f>SUM(D5:D8)</x:f>
        <x:v>16.532684293634</x:v>
      </x:c>
      <x:c r="E9" s="29" t="n">
        <x:f>SUM(E5:E8)</x:f>
        <x:v>39.591874339583</x:v>
      </x:c>
      <x:c r="F9" s="29" t="n">
        <x:f>SUM(F5:F8)</x:f>
        <x:v>48.90357842497001</x:v>
      </x:c>
      <x:c r="G9" s="29" t="n">
        <x:f>SUM(G5:G8)</x:f>
        <x:v>9.097009272561001</x:v>
      </x:c>
      <x:c r="H9" s="29" t="n">
        <x:f>SUM(H5:H8)</x:f>
        <x:v>31.682625128127</x:v>
      </x:c>
      <x:c r="I9" s="29" t="n">
        <x:f>SUM(I5:I8)</x:f>
        <x:v>20.563473312200998</x:v>
      </x:c>
      <x:c r="J9" s="29" t="n">
        <x:f>SUM(J5:J8)</x:f>
        <x:v>236.80000000000103</x:v>
      </x:c>
    </x:row>
    <x:row r="10">
      <x:c r="A10" s="35"/>
      <x:c r="B10" s="36"/>
      <x:c r="C10" s="37"/>
      <x:c r="D10" s="37"/>
      <x:c r="E10" s="37"/>
      <x:c r="F10" s="37"/>
      <x:c r="G10" s="37"/>
      <x:c r="H10" s="37"/>
      <x:c r="I10" s="37"/>
      <x:c r="J10" s="37"/>
    </x:row>
    <x:row r="11">
      <x:c r="A11" s="32" t="str">
        <x:v>HYDRO — MUTUALLY EXCLUSIVE CLASSES</x:v>
      </x:c>
      <x:c r="B11" s="24" t="str">
        <x:v>HYDRO_RUN_OF_RIVER</x:v>
      </x:c>
      <x:c r="C11" s="28" t="n">
        <x:v>5.228210866305</x:v>
      </x:c>
      <x:c r="D11" s="28" t="n">
        <x:v>0.209314034422</x:v>
      </x:c>
      <x:c r="E11" s="28" t="n">
        <x:v>0.579820027388</x:v>
      </x:c>
      <x:c r="F11" s="28" t="n">
        <x:v>0.045411334869</x:v>
      </x:c>
      <x:c r="G11" s="28" t="n">
        <x:v>0.10674382989900001</x:v>
      </x:c>
      <x:c r="H11" s="28" t="n">
        <x:v>0.031552391362</x:v>
      </x:c>
      <x:c r="I11" s="28" t="n">
        <x:v>0.037947515755</x:v>
      </x:c>
      <x:c r="J11" s="28" t="n">
        <x:f>SUM(C11:I11)</x:f>
        <x:v>6.239000000000001</x:v>
      </x:c>
    </x:row>
    <x:row r="12">
      <x:c r="A12" s="35" t="str">
        <x:v>HYDRO — MUTUALLY EXCLUSIVE CLASSES</x:v>
      </x:c>
      <x:c r="B12" s="36" t="str">
        <x:v>HYDRO_BASIN</x:v>
      </x:c>
      <x:c r="C12" s="37" t="n">
        <x:v>3.512208833846</x:v>
      </x:c>
      <x:c r="D12" s="37" t="n">
        <x:v>0.238064607896</x:v>
      </x:c>
      <x:c r="E12" s="37" t="n">
        <x:v>0.582887284562</x:v>
      </x:c>
      <x:c r="F12" s="37" t="n">
        <x:v>0.103488209848</x:v>
      </x:c>
      <x:c r="G12" s="37" t="n">
        <x:v>0.417949832196</x:v>
      </x:c>
      <x:c r="H12" s="37" t="n">
        <x:v>0.058808504061</x:v>
      </x:c>
      <x:c r="I12" s="37" t="n">
        <x:v>0.10649272759299999</x:v>
      </x:c>
      <x:c r="J12" s="37" t="n">
        <x:f>SUM(C12:I12)</x:f>
        <x:v>5.019900000002</x:v>
      </x:c>
    </x:row>
    <x:row r="13">
      <x:c r="A13" s="32" t="str">
        <x:v>HYDRO — MUTUALLY EXCLUSIVE CLASSES</x:v>
      </x:c>
      <x:c r="B13" s="24" t="str">
        <x:v>HYDRO_RESERVOIR</x:v>
      </x:c>
      <x:c r="C13" s="28" t="n">
        <x:v>3.669318175474</x:v>
      </x:c>
      <x:c r="D13" s="28" t="n">
        <x:v>0.175818907682</x:v>
      </x:c>
      <x:c r="E13" s="28" t="n">
        <x:v>0.43048232401799996</x:v>
      </x:c>
      <x:c r="F13" s="28" t="n">
        <x:v>0.076429605283</x:v>
      </x:c>
      <x:c r="G13" s="28" t="n">
        <x:v>0.308670337905</x:v>
      </x:c>
      <x:c r="H13" s="28" t="n">
        <x:v>0.043432104578</x:v>
      </x:c>
      <x:c r="I13" s="28" t="n">
        <x:v>0.07864854506</x:v>
      </x:c>
      <x:c r="J13" s="28" t="n">
        <x:f>SUM(C13:I13)</x:f>
        <x:v>4.782799999999999</x:v>
      </x:c>
    </x:row>
    <x:row r="14">
      <x:c r="A14" s="35" t="str">
        <x:v>HYDRO — MUTUALLY EXCLUSIVE CLASSES</x:v>
      </x:c>
      <x:c r="B14" s="36" t="str">
        <x:v>PUMPED_HYDRO_PURE</x:v>
      </x:c>
      <x:c r="C14" s="37" t="n">
        <x:v>2.393185354581</x:v>
      </x:c>
      <x:c r="D14" s="37" t="n">
        <x:v>0</x:v>
      </x:c>
      <x:c r="E14" s="37" t="n">
        <x:v>0.9959156698220001</x:v>
      </x:c>
      <x:c r="F14" s="37" t="n">
        <x:v>0</x:v>
      </x:c>
      <x:c r="G14" s="37" t="n">
        <x:v>0</x:v>
      </x:c>
      <x:c r="H14" s="37" t="n">
        <x:v>0.5804745855969999</x:v>
      </x:c>
      <x:c r="I14" s="37" t="n">
        <x:v>0</x:v>
      </x:c>
      <x:c r="J14" s="37" t="n">
        <x:f>SUM(C14:I14)</x:f>
        <x:v>3.96957561</x:v>
      </x:c>
    </x:row>
    <x:row r="15">
      <x:c r="A15" s="32" t="str">
        <x:v>HYDRO — MUTUALLY EXCLUSIVE CLASSES</x:v>
      </x:c>
      <x:c r="B15" s="24" t="str">
        <x:v>PUMPED_HYDRO_MIXED</x:v>
      </x:c>
      <x:c r="C15" s="28" t="n">
        <x:v>2.305444434376</x:v>
      </x:c>
      <x:c r="D15" s="28" t="n">
        <x:v>0</x:v>
      </x:c>
      <x:c r="E15" s="28" t="n">
        <x:v>0.736949744032</x:v>
      </x:c>
      <x:c r="F15" s="28" t="n">
        <x:v>0</x:v>
      </x:c>
      <x:c r="G15" s="28" t="n">
        <x:v>0</x:v>
      </x:c>
      <x:c r="H15" s="28" t="n">
        <x:v>0</x:v>
      </x:c>
      <x:c r="I15" s="28" t="n">
        <x:v>0.24033021159200002</x:v>
      </x:c>
      <x:c r="J15" s="28" t="n">
        <x:f>SUM(C15:I15)</x:f>
        <x:v>3.2827243900000003</x:v>
      </x:c>
    </x:row>
    <x:row r="16">
      <x:c r="A16" s="35" t="str">
        <x:v>HYDRO — MUTUALLY EXCLUSIVE CLASSES TOTAL</x:v>
      </x:c>
      <x:c r="B16" s="38" t="str"/>
      <x:c r="C16" s="39" t="n">
        <x:f>SUM(C11:C15)</x:f>
        <x:v>17.108367664582</x:v>
      </x:c>
      <x:c r="D16" s="39" t="n">
        <x:f>SUM(D11:D15)</x:f>
        <x:v>0.62319755</x:v>
      </x:c>
      <x:c r="E16" s="39" t="n">
        <x:f>SUM(E11:E15)</x:f>
        <x:v>3.326055049822</x:v>
      </x:c>
      <x:c r="F16" s="39" t="n">
        <x:f>SUM(F11:F15)</x:f>
        <x:v>0.22532915</x:v>
      </x:c>
      <x:c r="G16" s="39" t="n">
        <x:f>SUM(G11:G15)</x:f>
        <x:v>0.833364</x:v>
      </x:c>
      <x:c r="H16" s="39" t="n">
        <x:f>SUM(H11:H15)</x:f>
        <x:v>0.714267585598</x:v>
      </x:c>
      <x:c r="I16" s="39" t="n">
        <x:f>SUM(I11:I15)</x:f>
        <x:v>0.463419</x:v>
      </x:c>
      <x:c r="J16" s="39" t="n">
        <x:f>SUM(J11:J15)</x:f>
        <x:v>23.294000000002</x:v>
      </x:c>
    </x:row>
    <x:row r="17">
      <x:c r="A17" s="32"/>
      <x:c r="B17" s="24"/>
      <x:c r="C17" s="28"/>
      <x:c r="D17" s="28"/>
      <x:c r="E17" s="28"/>
      <x:c r="F17" s="28"/>
      <x:c r="G17" s="28"/>
      <x:c r="H17" s="28"/>
      <x:c r="I17" s="28"/>
      <x:c r="J17" s="28"/>
    </x:row>
    <x:row r="18">
      <x:c r="A18" s="35" t="str">
        <x:v>STORAGE POWER</x:v>
      </x:c>
      <x:c r="B18" s="36" t="str">
        <x:v>BESS</x:v>
      </x:c>
      <x:c r="C18" s="37" t="n">
        <x:v>3.04129435558</x:v>
      </x:c>
      <x:c r="D18" s="37" t="n">
        <x:v>1.0487221915790002</x:v>
      </x:c>
      <x:c r="E18" s="37" t="n">
        <x:v>5.495304283876</x:v>
      </x:c>
      <x:c r="F18" s="37" t="n">
        <x:v>10.214554145983</x:v>
      </x:c>
      <x:c r="G18" s="37" t="n">
        <x:v>2.265239933811</x:v>
      </x:c>
      <x:c r="H18" s="37" t="n">
        <x:v>7.802493105350001</x:v>
      </x:c>
      <x:c r="I18" s="37" t="n">
        <x:v>5.0548409634119995</x:v>
      </x:c>
      <x:c r="J18" s="37" t="n">
        <x:f>SUM(C18:I18)</x:f>
        <x:v>34.922448979590996</x:v>
      </x:c>
    </x:row>
    <x:row r="19">
      <x:c r="A19" s="33" t="str">
        <x:v>STORAGE POWER TOTAL</x:v>
      </x:c>
      <x:c r="B19" s="25" t="str"/>
      <x:c r="C19" s="29" t="n">
        <x:f>SUM(C18:C18)</x:f>
        <x:v>3.04129435558</x:v>
      </x:c>
      <x:c r="D19" s="29" t="n">
        <x:f>SUM(D18:D18)</x:f>
        <x:v>1.0487221915790002</x:v>
      </x:c>
      <x:c r="E19" s="29" t="n">
        <x:f>SUM(E18:E18)</x:f>
        <x:v>5.495304283876</x:v>
      </x:c>
      <x:c r="F19" s="29" t="n">
        <x:f>SUM(F18:F18)</x:f>
        <x:v>10.214554145983</x:v>
      </x:c>
      <x:c r="G19" s="29" t="n">
        <x:f>SUM(G18:G18)</x:f>
        <x:v>2.265239933811</x:v>
      </x:c>
      <x:c r="H19" s="29" t="n">
        <x:f>SUM(H18:H18)</x:f>
        <x:v>7.802493105350001</x:v>
      </x:c>
      <x:c r="I19" s="29" t="n">
        <x:f>SUM(I18:I18)</x:f>
        <x:v>5.0548409634119995</x:v>
      </x:c>
      <x:c r="J19" s="29" t="n">
        <x:f>SUM(J18:J18)</x:f>
        <x:v>34.922448979590996</x:v>
      </x:c>
    </x:row>
    <x:row r="20">
      <x:c r="A20" s="35"/>
      <x:c r="B20" s="36"/>
      <x:c r="C20" s="37"/>
      <x:c r="D20" s="37"/>
      <x:c r="E20" s="37"/>
      <x:c r="F20" s="37"/>
      <x:c r="G20" s="37"/>
      <x:c r="H20" s="37"/>
      <x:c r="I20" s="37"/>
      <x:c r="J20" s="37"/>
    </x:row>
    <x:row r="21">
      <x:c r="A21" s="32" t="str">
        <x:v>DISPATCHABLE / PROGRAMMABLE</x:v>
      </x:c>
      <x:c r="B21" s="24" t="str">
        <x:v>BIOENERGY</x:v>
      </x:c>
      <x:c r="C21" s="28" t="n">
        <x:v>9.004753694526</x:v>
      </x:c>
      <x:c r="D21" s="28" t="n">
        <x:v>0.6804849059789999</x:v>
      </x:c>
      <x:c r="E21" s="28" t="n">
        <x:v>1.691842317613</x:v>
      </x:c>
      <x:c r="F21" s="28" t="n">
        <x:v>1.692696114572</x:v>
      </x:c>
      <x:c r="G21" s="28" t="n">
        <x:v>0.6657605133110001</x:v>
      </x:c>
      <x:c r="H21" s="28" t="n">
        <x:v>0.263496920919</x:v>
      </x:c>
      <x:c r="I21" s="28" t="n">
        <x:v>0.420997795053</x:v>
      </x:c>
      <x:c r="J21" s="28" t="n">
        <x:f>SUM(C21:I21)</x:f>
        <x:v>14.420032261972999</x:v>
      </x:c>
    </x:row>
    <x:row r="22">
      <x:c r="A22" s="35" t="str">
        <x:v>DISPATCHABLE / PROGRAMMABLE</x:v>
      </x:c>
      <x:c r="B22" s="36" t="str">
        <x:v>BIOENERGY_CCS</x:v>
      </x:c>
      <x:c r="C22" s="37" t="n">
        <x:v>5.097030393128</x:v>
      </x:c>
      <x:c r="D22" s="37" t="n">
        <x:v>0.385180135459</x:v>
      </x:c>
      <x:c r="E22" s="37" t="n">
        <x:v>0.957646594875</x:v>
      </x:c>
      <x:c r="F22" s="37" t="n">
        <x:v>0.9581298761729999</x:v>
      </x:c>
      <x:c r="G22" s="37" t="n">
        <x:v>0.376845573572</x:v>
      </x:c>
      <x:c r="H22" s="37" t="n">
        <x:v>0.14914920052000002</x:v>
      </x:c>
      <x:c r="I22" s="37" t="n">
        <x:v>0.23830063870999998</x:v>
      </x:c>
      <x:c r="J22" s="37" t="n">
        <x:f>SUM(C22:I22)</x:f>
        <x:v>8.162282412437</x:v>
      </x:c>
    </x:row>
    <x:row r="23">
      <x:c r="A23" s="32" t="str">
        <x:v>DISPATCHABLE / PROGRAMMABLE</x:v>
      </x:c>
      <x:c r="B23" s="24" t="str">
        <x:v>GAS_CCS</x:v>
      </x:c>
      <x:c r="C23" s="28" t="n">
        <x:v>6.97096074868</x:v>
      </x:c>
      <x:c r="D23" s="28" t="n">
        <x:v>0.482841663882</x:v>
      </x:c>
      <x:c r="E23" s="28" t="n">
        <x:v>1.912342054331</x:v>
      </x:c>
      <x:c r="F23" s="28" t="n">
        <x:v>1.336230917459</x:v>
      </x:c>
      <x:c r="G23" s="28" t="n">
        <x:v>0.9771136520289999</x:v>
      </x:c>
      <x:c r="H23" s="28" t="n">
        <x:v>0.9159933255460001</x:v>
      </x:c>
      <x:c r="I23" s="28" t="n">
        <x:v>0.19209341753299997</x:v>
      </x:c>
      <x:c r="J23" s="28" t="n">
        <x:f>SUM(C23:I23)</x:f>
        <x:v>12.78757577946</x:v>
      </x:c>
    </x:row>
    <x:row r="24">
      <x:c r="A24" s="35" t="str">
        <x:v>DISPATCHABLE / PROGRAMMABLE</x:v>
      </x:c>
      <x:c r="B24" s="36" t="str">
        <x:v>GAS_OTHER_FOSSIL</x:v>
      </x:c>
      <x:c r="C24" s="37" t="n">
        <x:v>1.685337114098</x:v>
      </x:c>
      <x:c r="D24" s="37" t="n">
        <x:v>0.9594669859089999</x:v>
      </x:c>
      <x:c r="E24" s="37" t="n">
        <x:v>1.539351426829</x:v>
      </x:c>
      <x:c r="F24" s="37" t="n">
        <x:v>0.512522965444</x:v>
      </x:c>
      <x:c r="G24" s="37" t="n">
        <x:v>0.432706034848</x:v>
      </x:c>
      <x:c r="H24" s="37" t="n">
        <x:v>1.305862188693</x:v>
      </x:c>
      <x:c r="I24" s="37" t="n">
        <x:v>0.278230568401</x:v>
      </x:c>
      <x:c r="J24" s="37" t="n">
        <x:f>SUM(C24:I24)</x:f>
        <x:v>6.713477284221999</x:v>
      </x:c>
    </x:row>
    <x:row r="25">
      <x:c r="A25" s="32" t="str">
        <x:v>DISPATCHABLE / PROGRAMMABLE</x:v>
      </x:c>
      <x:c r="B25" s="24" t="str">
        <x:v>GEOTHERMAL</x:v>
      </x:c>
      <x:c r="C25" s="28" t="n">
        <x:v>0</x:v>
      </x:c>
      <x:c r="D25" s="28" t="n">
        <x:v>1.5300170097519998</x:v>
      </x:c>
      <x:c r="E25" s="28" t="n">
        <x:v>0</x:v>
      </x:c>
      <x:c r="F25" s="28" t="n">
        <x:v>0</x:v>
      </x:c>
      <x:c r="G25" s="28" t="n">
        <x:v>0</x:v>
      </x:c>
      <x:c r="H25" s="28" t="n">
        <x:v>0</x:v>
      </x:c>
      <x:c r="I25" s="28" t="n">
        <x:v>0</x:v>
      </x:c>
      <x:c r="J25" s="28" t="n">
        <x:f>SUM(C25:I25)</x:f>
        <x:v>1.5300170097519998</x:v>
      </x:c>
    </x:row>
    <x:row r="26">
      <x:c r="A26" s="35" t="str">
        <x:v>DISPATCHABLE / PROGRAMMABLE</x:v>
      </x:c>
      <x:c r="B26" s="36" t="str">
        <x:v>NUCLEAR</x:v>
      </x:c>
      <x:c r="C26" s="37" t="n">
        <x:v>5</x:v>
      </x:c>
      <x:c r="D26" s="37" t="n">
        <x:v>0</x:v>
      </x:c>
      <x:c r="E26" s="37" t="n">
        <x:v>3</x:v>
      </x:c>
      <x:c r="F26" s="37" t="n">
        <x:v>0</x:v>
      </x:c>
      <x:c r="G26" s="37" t="n">
        <x:v>0</x:v>
      </x:c>
      <x:c r="H26" s="37" t="n">
        <x:v>0</x:v>
      </x:c>
      <x:c r="I26" s="37" t="n">
        <x:v>0</x:v>
      </x:c>
      <x:c r="J26" s="37" t="n">
        <x:f>SUM(C26:I26)</x:f>
        <x:v>8</x:v>
      </x:c>
    </x:row>
    <x:row r="27">
      <x:c r="A27" s="33" t="str">
        <x:v>DISPATCHABLE / PROGRAMMABLE TOTAL</x:v>
      </x:c>
      <x:c r="B27" s="25" t="str"/>
      <x:c r="C27" s="29" t="n">
        <x:f>SUM(C21:C26)</x:f>
        <x:v>27.758081950432</x:v>
      </x:c>
      <x:c r="D27" s="29" t="n">
        <x:f>SUM(D21:D26)</x:f>
        <x:v>4.037990700981</x:v>
      </x:c>
      <x:c r="E27" s="29" t="n">
        <x:f>SUM(E21:E26)</x:f>
        <x:v>9.101182393648001</x:v>
      </x:c>
      <x:c r="F27" s="29" t="n">
        <x:f>SUM(F21:F26)</x:f>
        <x:v>4.499579873648</x:v>
      </x:c>
      <x:c r="G27" s="29" t="n">
        <x:f>SUM(G21:G26)</x:f>
        <x:v>2.45242577376</x:v>
      </x:c>
      <x:c r="H27" s="29" t="n">
        <x:f>SUM(H21:H26)</x:f>
        <x:v>2.634501635678</x:v>
      </x:c>
      <x:c r="I27" s="29" t="n">
        <x:f>SUM(I21:I26)</x:f>
        <x:v>1.129622419697</x:v>
      </x:c>
      <x:c r="J27" s="29" t="n">
        <x:f>SUM(J21:J26)</x:f>
        <x:v>51.613384747844</x:v>
      </x:c>
    </x:row>
    <x:row r="28">
      <x:c r="A28" s="40"/>
      <x:c r="B28" s="41"/>
      <x:c r="C28" s="42"/>
      <x:c r="D28" s="42"/>
      <x:c r="E28" s="42"/>
      <x:c r="F28" s="42"/>
      <x:c r="G28" s="42"/>
      <x:c r="H28" s="42"/>
      <x:c r="I28" s="42"/>
      <x:c r="J28" s="42"/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3" t="str">
        <x:v>2050 Base — installed capacity by MEM market zone (GW)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Fixed p_nom scenario table. Slow adds the corrected Terna-CDP dispatchable increment; annual dispatch remains endogenous.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3" t="str">
        <x:v>Block</x:v>
      </x:c>
      <x:c r="B4" s="13" t="str">
        <x:v>Technology</x:v>
      </x:c>
      <x:c r="C4" s="13" t="str">
        <x:v>NORD</x:v>
      </x:c>
      <x:c r="D4" s="13" t="str">
        <x:v>CNOR</x:v>
      </x:c>
      <x:c r="E4" s="13" t="str">
        <x:v>CSUD</x:v>
      </x:c>
      <x:c r="F4" s="13" t="str">
        <x:v>SUD</x:v>
      </x:c>
      <x:c r="G4" s="13" t="str">
        <x:v>CALA</x:v>
      </x:c>
      <x:c r="H4" s="13" t="str">
        <x:v>SICI</x:v>
      </x:c>
      <x:c r="I4" s="13" t="str">
        <x:v>SARD</x:v>
      </x:c>
      <x:c r="J4" s="13" t="str">
        <x:v>ITALY</x:v>
      </x:c>
    </x:row>
    <x:row r="5">
      <x:c r="A5" s="31" t="str">
        <x:v>VARIABLE RENEWABLES</x:v>
      </x:c>
      <x:c r="B5" s="23" t="str">
        <x:v>SOLAR_PV_ROOFTOP</x:v>
      </x:c>
      <x:c r="C5" s="27" t="n">
        <x:v>50.86435070306</x:v>
      </x:c>
      <x:c r="D5" s="27" t="n">
        <x:v>6.687344913151</x:v>
      </x:c>
      <x:c r="E5" s="27" t="n">
        <x:v>11.145574855252</x:v>
      </x:c>
      <x:c r="F5" s="27" t="n">
        <x:v>3.4449958643509997</x:v>
      </x:c>
      <x:c r="G5" s="27" t="n">
        <x:v>2.22911497105</x:v>
      </x:c>
      <x:c r="H5" s="27" t="n">
        <x:v>6.687344913151</x:v>
      </x:c>
      <x:c r="I5" s="27" t="n">
        <x:v>3.4449958643509997</x:v>
      </x:c>
      <x:c r="J5" s="27" t="n">
        <x:f>SUM(C5:I5)</x:f>
        <x:v>84.50372208436599</x:v>
      </x:c>
    </x:row>
    <x:row r="6">
      <x:c r="A6" s="35" t="str">
        <x:v>VARIABLE RENEWABLES</x:v>
      </x:c>
      <x:c r="B6" s="36" t="str">
        <x:v>SOLAR_PV_UTILITY</x:v>
      </x:c>
      <x:c r="C6" s="37" t="n">
        <x:v>35.057899090157</x:v>
      </x:c>
      <x:c r="D6" s="37" t="n">
        <x:v>12.766749379653</x:v>
      </x:c>
      <x:c r="E6" s="37" t="n">
        <x:v>29.586435070306003</x:v>
      </x:c>
      <x:c r="F6" s="37" t="n">
        <x:v>39.110835401158</x:v>
      </x:c>
      <x:c r="G6" s="37" t="n">
        <x:v>5.066170388751</x:v>
      </x:c>
      <x:c r="H6" s="37" t="n">
        <x:v>23.304383788255</x:v>
      </x:c>
      <x:c r="I6" s="37" t="n">
        <x:v>15.603804797353</x:v>
      </x:c>
      <x:c r="J6" s="37" t="n">
        <x:f>SUM(C6:I6)</x:f>
        <x:v>160.49627791563302</x:v>
      </x:c>
    </x:row>
    <x:row r="7">
      <x:c r="A7" s="32" t="str">
        <x:v>VARIABLE RENEWABLES</x:v>
      </x:c>
      <x:c r="B7" s="24" t="str">
        <x:v>WIND_ONSHORE</x:v>
      </x:c>
      <x:c r="C7" s="28" t="n">
        <x:v>0.633431085044</x:v>
      </x:c>
      <x:c r="D7" s="28" t="n">
        <x:v>0.422287390029</x:v>
      </x:c>
      <x:c r="E7" s="28" t="n">
        <x:v>7.178885630499001</x:v>
      </x:c>
      <x:c r="F7" s="28" t="n">
        <x:v>13.935483870968001</x:v>
      </x:c>
      <x:c r="G7" s="28" t="n">
        <x:v>3.4838709677420003</x:v>
      </x:c>
      <x:c r="H7" s="28" t="n">
        <x:v>6.651026392962</x:v>
      </x:c>
      <x:c r="I7" s="28" t="n">
        <x:v>3.6950146627570004</x:v>
      </x:c>
      <x:c r="J7" s="28" t="n">
        <x:f>SUM(C7:I7)</x:f>
        <x:v>36.00000000000101</x:v>
      </x:c>
    </x:row>
    <x:row r="8">
      <x:c r="A8" s="35" t="str">
        <x:v>VARIABLE RENEWABLES</x:v>
      </x:c>
      <x:c r="B8" s="36" t="str">
        <x:v>WIND_OFFSHORE</x:v>
      </x:c>
      <x:c r="C8" s="37" t="n">
        <x:v>1.4802631578949998</x:v>
      </x:c>
      <x:c r="D8" s="37" t="n">
        <x:v>0.789473684211</x:v>
      </x:c>
      <x:c r="E8" s="37" t="n">
        <x:v>1.578947368421</x:v>
      </x:c>
      <x:c r="F8" s="37" t="n">
        <x:v>4.638157894737</x:v>
      </x:c>
      <x:c r="G8" s="37" t="n">
        <x:v>0.5921052631579999</x:v>
      </x:c>
      <x:c r="H8" s="37" t="n">
        <x:v>2.960526315789</x:v>
      </x:c>
      <x:c r="I8" s="37" t="n">
        <x:v>2.960526315789</x:v>
      </x:c>
      <x:c r="J8" s="37" t="n">
        <x:f>SUM(C8:I8)</x:f>
        <x:v>15</x:v>
      </x:c>
    </x:row>
    <x:row r="9">
      <x:c r="A9" s="33" t="str">
        <x:v>VARIABLE RENEWABLES TOTAL</x:v>
      </x:c>
      <x:c r="B9" s="25" t="str"/>
      <x:c r="C9" s="29" t="n">
        <x:f>SUM(C5:C8)</x:f>
        <x:v>88.03594403615598</x:v>
      </x:c>
      <x:c r="D9" s="29" t="n">
        <x:f>SUM(D5:D8)</x:f>
        <x:v>20.665855367044</x:v>
      </x:c>
      <x:c r="E9" s="29" t="n">
        <x:f>SUM(E5:E8)</x:f>
        <x:v>49.489842924478005</x:v>
      </x:c>
      <x:c r="F9" s="29" t="n">
        <x:f>SUM(F5:F8)</x:f>
        <x:v>61.129473031214</x:v>
      </x:c>
      <x:c r="G9" s="29" t="n">
        <x:f>SUM(G5:G8)</x:f>
        <x:v>11.371261590701</x:v>
      </x:c>
      <x:c r="H9" s="29" t="n">
        <x:f>SUM(H5:H8)</x:f>
        <x:v>39.603281410156995</x:v>
      </x:c>
      <x:c r="I9" s="29" t="n">
        <x:f>SUM(I5:I8)</x:f>
        <x:v>25.70434164025</x:v>
      </x:c>
      <x:c r="J9" s="29" t="n">
        <x:f>SUM(J5:J8)</x:f>
        <x:v>296</x:v>
      </x:c>
    </x:row>
    <x:row r="10">
      <x:c r="A10" s="35"/>
      <x:c r="B10" s="36"/>
      <x:c r="C10" s="37"/>
      <x:c r="D10" s="37"/>
      <x:c r="E10" s="37"/>
      <x:c r="F10" s="37"/>
      <x:c r="G10" s="37"/>
      <x:c r="H10" s="37"/>
      <x:c r="I10" s="37"/>
      <x:c r="J10" s="37"/>
    </x:row>
    <x:row r="11">
      <x:c r="A11" s="32" t="str">
        <x:v>HYDRO — MUTUALLY EXCLUSIVE CLASSES</x:v>
      </x:c>
      <x:c r="B11" s="24" t="str">
        <x:v>HYDRO_RUN_OF_RIVER</x:v>
      </x:c>
      <x:c r="C11" s="28" t="n">
        <x:v>5.228210866305</x:v>
      </x:c>
      <x:c r="D11" s="28" t="n">
        <x:v>0.209314034422</x:v>
      </x:c>
      <x:c r="E11" s="28" t="n">
        <x:v>0.579820027388</x:v>
      </x:c>
      <x:c r="F11" s="28" t="n">
        <x:v>0.045411334869</x:v>
      </x:c>
      <x:c r="G11" s="28" t="n">
        <x:v>0.10674382989900001</x:v>
      </x:c>
      <x:c r="H11" s="28" t="n">
        <x:v>0.031552391362</x:v>
      </x:c>
      <x:c r="I11" s="28" t="n">
        <x:v>0.037947515755</x:v>
      </x:c>
      <x:c r="J11" s="28" t="n">
        <x:f>SUM(C11:I11)</x:f>
        <x:v>6.239000000000001</x:v>
      </x:c>
    </x:row>
    <x:row r="12">
      <x:c r="A12" s="35" t="str">
        <x:v>HYDRO — MUTUALLY EXCLUSIVE CLASSES</x:v>
      </x:c>
      <x:c r="B12" s="36" t="str">
        <x:v>HYDRO_BASIN</x:v>
      </x:c>
      <x:c r="C12" s="37" t="n">
        <x:v>3.512208833846</x:v>
      </x:c>
      <x:c r="D12" s="37" t="n">
        <x:v>0.238064607896</x:v>
      </x:c>
      <x:c r="E12" s="37" t="n">
        <x:v>0.582887284562</x:v>
      </x:c>
      <x:c r="F12" s="37" t="n">
        <x:v>0.103488209848</x:v>
      </x:c>
      <x:c r="G12" s="37" t="n">
        <x:v>0.417949832196</x:v>
      </x:c>
      <x:c r="H12" s="37" t="n">
        <x:v>0.058808504061</x:v>
      </x:c>
      <x:c r="I12" s="37" t="n">
        <x:v>0.10649272759299999</x:v>
      </x:c>
      <x:c r="J12" s="37" t="n">
        <x:f>SUM(C12:I12)</x:f>
        <x:v>5.019900000002</x:v>
      </x:c>
    </x:row>
    <x:row r="13">
      <x:c r="A13" s="32" t="str">
        <x:v>HYDRO — MUTUALLY EXCLUSIVE CLASSES</x:v>
      </x:c>
      <x:c r="B13" s="24" t="str">
        <x:v>HYDRO_RESERVOIR</x:v>
      </x:c>
      <x:c r="C13" s="28" t="n">
        <x:v>3.669318175474</x:v>
      </x:c>
      <x:c r="D13" s="28" t="n">
        <x:v>0.175818907682</x:v>
      </x:c>
      <x:c r="E13" s="28" t="n">
        <x:v>0.43048232401799996</x:v>
      </x:c>
      <x:c r="F13" s="28" t="n">
        <x:v>0.076429605283</x:v>
      </x:c>
      <x:c r="G13" s="28" t="n">
        <x:v>0.308670337905</x:v>
      </x:c>
      <x:c r="H13" s="28" t="n">
        <x:v>0.043432104578</x:v>
      </x:c>
      <x:c r="I13" s="28" t="n">
        <x:v>0.07864854506</x:v>
      </x:c>
      <x:c r="J13" s="28" t="n">
        <x:f>SUM(C13:I13)</x:f>
        <x:v>4.782799999999999</x:v>
      </x:c>
    </x:row>
    <x:row r="14">
      <x:c r="A14" s="35" t="str">
        <x:v>HYDRO — MUTUALLY EXCLUSIVE CLASSES</x:v>
      </x:c>
      <x:c r="B14" s="36" t="str">
        <x:v>PUMPED_HYDRO_PURE</x:v>
      </x:c>
      <x:c r="C14" s="37" t="n">
        <x:v>2.393185354581</x:v>
      </x:c>
      <x:c r="D14" s="37" t="n">
        <x:v>0</x:v>
      </x:c>
      <x:c r="E14" s="37" t="n">
        <x:v>0.9959156698220001</x:v>
      </x:c>
      <x:c r="F14" s="37" t="n">
        <x:v>0</x:v>
      </x:c>
      <x:c r="G14" s="37" t="n">
        <x:v>0</x:v>
      </x:c>
      <x:c r="H14" s="37" t="n">
        <x:v>0.5804745855969999</x:v>
      </x:c>
      <x:c r="I14" s="37" t="n">
        <x:v>0</x:v>
      </x:c>
      <x:c r="J14" s="37" t="n">
        <x:f>SUM(C14:I14)</x:f>
        <x:v>3.96957561</x:v>
      </x:c>
    </x:row>
    <x:row r="15">
      <x:c r="A15" s="32" t="str">
        <x:v>HYDRO — MUTUALLY EXCLUSIVE CLASSES</x:v>
      </x:c>
      <x:c r="B15" s="24" t="str">
        <x:v>PUMPED_HYDRO_MIXED</x:v>
      </x:c>
      <x:c r="C15" s="28" t="n">
        <x:v>2.305444434376</x:v>
      </x:c>
      <x:c r="D15" s="28" t="n">
        <x:v>0</x:v>
      </x:c>
      <x:c r="E15" s="28" t="n">
        <x:v>0.736949744032</x:v>
      </x:c>
      <x:c r="F15" s="28" t="n">
        <x:v>0</x:v>
      </x:c>
      <x:c r="G15" s="28" t="n">
        <x:v>0</x:v>
      </x:c>
      <x:c r="H15" s="28" t="n">
        <x:v>0</x:v>
      </x:c>
      <x:c r="I15" s="28" t="n">
        <x:v>0.24033021159200002</x:v>
      </x:c>
      <x:c r="J15" s="28" t="n">
        <x:f>SUM(C15:I15)</x:f>
        <x:v>3.2827243900000003</x:v>
      </x:c>
    </x:row>
    <x:row r="16">
      <x:c r="A16" s="35" t="str">
        <x:v>HYDRO — MUTUALLY EXCLUSIVE CLASSES TOTAL</x:v>
      </x:c>
      <x:c r="B16" s="38" t="str"/>
      <x:c r="C16" s="39" t="n">
        <x:f>SUM(C11:C15)</x:f>
        <x:v>17.108367664582</x:v>
      </x:c>
      <x:c r="D16" s="39" t="n">
        <x:f>SUM(D11:D15)</x:f>
        <x:v>0.62319755</x:v>
      </x:c>
      <x:c r="E16" s="39" t="n">
        <x:f>SUM(E11:E15)</x:f>
        <x:v>3.326055049822</x:v>
      </x:c>
      <x:c r="F16" s="39" t="n">
        <x:f>SUM(F11:F15)</x:f>
        <x:v>0.22532915</x:v>
      </x:c>
      <x:c r="G16" s="39" t="n">
        <x:f>SUM(G11:G15)</x:f>
        <x:v>0.833364</x:v>
      </x:c>
      <x:c r="H16" s="39" t="n">
        <x:f>SUM(H11:H15)</x:f>
        <x:v>0.714267585598</x:v>
      </x:c>
      <x:c r="I16" s="39" t="n">
        <x:f>SUM(I11:I15)</x:f>
        <x:v>0.463419</x:v>
      </x:c>
      <x:c r="J16" s="39" t="n">
        <x:f>SUM(J11:J15)</x:f>
        <x:v>23.294000000002</x:v>
      </x:c>
    </x:row>
    <x:row r="17">
      <x:c r="A17" s="32"/>
      <x:c r="B17" s="24"/>
      <x:c r="C17" s="28"/>
      <x:c r="D17" s="28"/>
      <x:c r="E17" s="28"/>
      <x:c r="F17" s="28"/>
      <x:c r="G17" s="28"/>
      <x:c r="H17" s="28"/>
      <x:c r="I17" s="28"/>
      <x:c r="J17" s="28"/>
    </x:row>
    <x:row r="18">
      <x:c r="A18" s="35" t="str">
        <x:v>STORAGE POWER</x:v>
      </x:c>
      <x:c r="B18" s="36" t="str">
        <x:v>BESS</x:v>
      </x:c>
      <x:c r="C18" s="37" t="n">
        <x:v>3.8016179444750002</x:v>
      </x:c>
      <x:c r="D18" s="37" t="n">
        <x:v>1.310902739474</x:v>
      </x:c>
      <x:c r="E18" s="37" t="n">
        <x:v>6.869130354845</x:v>
      </x:c>
      <x:c r="F18" s="37" t="n">
        <x:v>12.768192682478</x:v>
      </x:c>
      <x:c r="G18" s="37" t="n">
        <x:v>2.831549917264</x:v>
      </x:c>
      <x:c r="H18" s="37" t="n">
        <x:v>9.753116381688</x:v>
      </x:c>
      <x:c r="I18" s="37" t="n">
        <x:v>6.318551204265</x:v>
      </x:c>
      <x:c r="J18" s="37" t="n">
        <x:f>SUM(C18:I18)</x:f>
        <x:v>43.653061224489</x:v>
      </x:c>
    </x:row>
    <x:row r="19">
      <x:c r="A19" s="33" t="str">
        <x:v>STORAGE POWER TOTAL</x:v>
      </x:c>
      <x:c r="B19" s="25" t="str"/>
      <x:c r="C19" s="29" t="n">
        <x:f>SUM(C18:C18)</x:f>
        <x:v>3.8016179444750002</x:v>
      </x:c>
      <x:c r="D19" s="29" t="n">
        <x:f>SUM(D18:D18)</x:f>
        <x:v>1.310902739474</x:v>
      </x:c>
      <x:c r="E19" s="29" t="n">
        <x:f>SUM(E18:E18)</x:f>
        <x:v>6.869130354845</x:v>
      </x:c>
      <x:c r="F19" s="29" t="n">
        <x:f>SUM(F18:F18)</x:f>
        <x:v>12.768192682478</x:v>
      </x:c>
      <x:c r="G19" s="29" t="n">
        <x:f>SUM(G18:G18)</x:f>
        <x:v>2.831549917264</x:v>
      </x:c>
      <x:c r="H19" s="29" t="n">
        <x:f>SUM(H18:H18)</x:f>
        <x:v>9.753116381688</x:v>
      </x:c>
      <x:c r="I19" s="29" t="n">
        <x:f>SUM(I18:I18)</x:f>
        <x:v>6.318551204265</x:v>
      </x:c>
      <x:c r="J19" s="29" t="n">
        <x:f>SUM(J18:J18)</x:f>
        <x:v>43.653061224489</x:v>
      </x:c>
    </x:row>
    <x:row r="20">
      <x:c r="A20" s="35"/>
      <x:c r="B20" s="36"/>
      <x:c r="C20" s="37"/>
      <x:c r="D20" s="37"/>
      <x:c r="E20" s="37"/>
      <x:c r="F20" s="37"/>
      <x:c r="G20" s="37"/>
      <x:c r="H20" s="37"/>
      <x:c r="I20" s="37"/>
      <x:c r="J20" s="37"/>
    </x:row>
    <x:row r="21">
      <x:c r="A21" s="32" t="str">
        <x:v>DISPATCHABLE / PROGRAMMABLE</x:v>
      </x:c>
      <x:c r="B21" s="24" t="str">
        <x:v>BIOENERGY</x:v>
      </x:c>
      <x:c r="C21" s="28" t="n">
        <x:v>4.542288621371</x:v>
      </x:c>
      <x:c r="D21" s="28" t="n">
        <x:v>0.343258566564</x:v>
      </x:c>
      <x:c r="E21" s="28" t="n">
        <x:v>0.85341991232</x:v>
      </x:c>
      <x:c r="F21" s="28" t="n">
        <x:v>0.8538505950840001</x:v>
      </x:c>
      <x:c r="G21" s="28" t="n">
        <x:v>0.335831107297</x:v>
      </x:c>
      <x:c r="H21" s="28" t="n">
        <x:v>0.132916357988</x:v>
      </x:c>
      <x:c r="I21" s="28" t="n">
        <x:v>0.212364886255</x:v>
      </x:c>
      <x:c r="J21" s="28" t="n">
        <x:f>SUM(C21:I21)</x:f>
        <x:v>7.273930046879</x:v>
      </x:c>
    </x:row>
    <x:row r="22">
      <x:c r="A22" s="35" t="str">
        <x:v>DISPATCHABLE / PROGRAMMABLE</x:v>
      </x:c>
      <x:c r="B22" s="36" t="str">
        <x:v>BIOENERGY_CCS</x:v>
      </x:c>
      <x:c r="C22" s="37" t="n">
        <x:v>2.5711067668139997</x:v>
      </x:c>
      <x:c r="D22" s="37" t="n">
        <x:v>0.194297301828</x:v>
      </x:c>
      <x:c r="E22" s="37" t="n">
        <x:v>0.483067874898</x:v>
      </x:c>
      <x:c r="F22" s="37" t="n">
        <x:v>0.483311657595</x:v>
      </x:c>
      <x:c r="G22" s="37" t="n">
        <x:v>0.19009307960199998</x:v>
      </x:c>
      <x:c r="H22" s="37" t="n">
        <x:v>0.075235674333</x:v>
      </x:c>
      <x:c r="I22" s="37" t="n">
        <x:v>0.12020653939</x:v>
      </x:c>
      <x:c r="J22" s="37" t="n">
        <x:f>SUM(C22:I22)</x:f>
        <x:v>4.117318894459999</x:v>
      </x:c>
    </x:row>
    <x:row r="23">
      <x:c r="A23" s="32" t="str">
        <x:v>DISPATCHABLE / PROGRAMMABLE</x:v>
      </x:c>
      <x:c r="B23" s="24" t="str">
        <x:v>GAS_CCS</x:v>
      </x:c>
      <x:c r="C23" s="28" t="n">
        <x:v>3.516377767001</x:v>
      </x:c>
      <x:c r="D23" s="28" t="n">
        <x:v>0.243560931279</x:v>
      </x:c>
      <x:c r="E23" s="28" t="n">
        <x:v>0.964647101768</x:v>
      </x:c>
      <x:c r="F23" s="28" t="n">
        <x:v>0.674038035664</x:v>
      </x:c>
      <x:c r="G23" s="28" t="n">
        <x:v>0.492887687322</x:v>
      </x:c>
      <x:c r="H23" s="28" t="n">
        <x:v>0.462056620428</x:v>
      </x:c>
      <x:c r="I23" s="28" t="n">
        <x:v>0.096898124513</x:v>
      </x:c>
      <x:c r="J23" s="28" t="n">
        <x:f>SUM(C23:I23)</x:f>
        <x:v>6.450466267975</x:v>
      </x:c>
    </x:row>
    <x:row r="24">
      <x:c r="A24" s="35" t="str">
        <x:v>DISPATCHABLE / PROGRAMMABLE</x:v>
      </x:c>
      <x:c r="B24" s="36" t="str">
        <x:v>GAS_OTHER_FOSSIL</x:v>
      </x:c>
      <x:c r="C24" s="37" t="n">
        <x:v>0.850138477546</x:v>
      </x:c>
      <x:c r="D24" s="37" t="n">
        <x:v>0.483986138935</x:v>
      </x:c>
      <x:c r="E24" s="37" t="n">
        <x:v>0.77649858148</x:v>
      </x:c>
      <x:c r="F24" s="37" t="n">
        <x:v>0.258533138507</x:v>
      </x:c>
      <x:c r="G24" s="37" t="n">
        <x:v>0.218270900589</x:v>
      </x:c>
      <x:c r="H24" s="37" t="n">
        <x:v>0.6587190679499999</x:v>
      </x:c>
      <x:c r="I24" s="37" t="n">
        <x:v>0.14034848568199998</x:v>
      </x:c>
      <x:c r="J24" s="37" t="n">
        <x:f>SUM(C24:I24)</x:f>
        <x:v>3.3864947906889995</x:v>
      </x:c>
    </x:row>
    <x:row r="25">
      <x:c r="A25" s="32" t="str">
        <x:v>DISPATCHABLE / PROGRAMMABLE</x:v>
      </x:c>
      <x:c r="B25" s="24" t="str">
        <x:v>GEOTHERMAL</x:v>
      </x:c>
      <x:c r="C25" s="28" t="n">
        <x:v>0</x:v>
      </x:c>
      <x:c r="D25" s="28" t="n">
        <x:v>0.77179</x:v>
      </x:c>
      <x:c r="E25" s="28" t="n">
        <x:v>0</x:v>
      </x:c>
      <x:c r="F25" s="28" t="n">
        <x:v>0</x:v>
      </x:c>
      <x:c r="G25" s="28" t="n">
        <x:v>0</x:v>
      </x:c>
      <x:c r="H25" s="28" t="n">
        <x:v>0</x:v>
      </x:c>
      <x:c r="I25" s="28" t="n">
        <x:v>0</x:v>
      </x:c>
      <x:c r="J25" s="28" t="n">
        <x:f>SUM(C25:I25)</x:f>
        <x:v>0.77179</x:v>
      </x:c>
    </x:row>
    <x:row r="26">
      <x:c r="A26" s="35" t="str">
        <x:v>DISPATCHABLE / PROGRAMMABLE</x:v>
      </x:c>
      <x:c r="B26" s="36" t="str">
        <x:v>NUCLEAR</x:v>
      </x:c>
      <x:c r="C26" s="37" t="n">
        <x:v>5</x:v>
      </x:c>
      <x:c r="D26" s="37" t="n">
        <x:v>0</x:v>
      </x:c>
      <x:c r="E26" s="37" t="n">
        <x:v>3</x:v>
      </x:c>
      <x:c r="F26" s="37" t="n">
        <x:v>0</x:v>
      </x:c>
      <x:c r="G26" s="37" t="n">
        <x:v>0</x:v>
      </x:c>
      <x:c r="H26" s="37" t="n">
        <x:v>0</x:v>
      </x:c>
      <x:c r="I26" s="37" t="n">
        <x:v>0</x:v>
      </x:c>
      <x:c r="J26" s="37" t="n">
        <x:f>SUM(C26:I26)</x:f>
        <x:v>8</x:v>
      </x:c>
    </x:row>
    <x:row r="27">
      <x:c r="A27" s="33" t="str">
        <x:v>DISPATCHABLE / PROGRAMMABLE TOTAL</x:v>
      </x:c>
      <x:c r="B27" s="25" t="str"/>
      <x:c r="C27" s="29" t="n">
        <x:f>SUM(C21:C26)</x:f>
        <x:v>16.479911632731998</x:v>
      </x:c>
      <x:c r="D27" s="29" t="n">
        <x:f>SUM(D21:D26)</x:f>
        <x:v>2.036892938606</x:v>
      </x:c>
      <x:c r="E27" s="29" t="n">
        <x:f>SUM(E21:E26)</x:f>
        <x:v>6.077633470466</x:v>
      </x:c>
      <x:c r="F27" s="29" t="n">
        <x:f>SUM(F21:F26)</x:f>
        <x:v>2.2697334268500002</x:v>
      </x:c>
      <x:c r="G27" s="29" t="n">
        <x:f>SUM(G21:G26)</x:f>
        <x:v>1.23708277481</x:v>
      </x:c>
      <x:c r="H27" s="29" t="n">
        <x:f>SUM(H21:H26)</x:f>
        <x:v>1.3289277206989998</x:v>
      </x:c>
      <x:c r="I27" s="29" t="n">
        <x:f>SUM(I21:I26)</x:f>
        <x:v>0.56981803584</x:v>
      </x:c>
      <x:c r="J27" s="29" t="n">
        <x:f>SUM(J21:J26)</x:f>
        <x:v>30.000000000003</x:v>
      </x:c>
    </x:row>
    <x:row r="28">
      <x:c r="A28" s="40"/>
      <x:c r="B28" s="41"/>
      <x:c r="C28" s="42"/>
      <x:c r="D28" s="42"/>
      <x:c r="E28" s="42"/>
      <x:c r="F28" s="42"/>
      <x:c r="G28" s="42"/>
      <x:c r="H28" s="42"/>
      <x:c r="I28" s="42"/>
      <x:c r="J28" s="42"/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3" t="str">
        <x:v>2050 High — installed capacity by MEM market zone (GW)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Fixed p_nom scenario table. Slow adds the corrected Terna-CDP dispatchable increment; annual dispatch remains endogenous.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3" t="str">
        <x:v>Block</x:v>
      </x:c>
      <x:c r="B4" s="13" t="str">
        <x:v>Technology</x:v>
      </x:c>
      <x:c r="C4" s="13" t="str">
        <x:v>NORD</x:v>
      </x:c>
      <x:c r="D4" s="13" t="str">
        <x:v>CNOR</x:v>
      </x:c>
      <x:c r="E4" s="13" t="str">
        <x:v>CSUD</x:v>
      </x:c>
      <x:c r="F4" s="13" t="str">
        <x:v>SUD</x:v>
      </x:c>
      <x:c r="G4" s="13" t="str">
        <x:v>CALA</x:v>
      </x:c>
      <x:c r="H4" s="13" t="str">
        <x:v>SICI</x:v>
      </x:c>
      <x:c r="I4" s="13" t="str">
        <x:v>SARD</x:v>
      </x:c>
      <x:c r="J4" s="13" t="str">
        <x:v>ITALY</x:v>
      </x:c>
    </x:row>
    <x:row r="5">
      <x:c r="A5" s="31" t="str">
        <x:v>VARIABLE RENEWABLES</x:v>
      </x:c>
      <x:c r="B5" s="23" t="str">
        <x:v>SOLAR_PV_ROOFTOP</x:v>
      </x:c>
      <x:c r="C5" s="27" t="n">
        <x:v>55.950785773366</x:v>
      </x:c>
      <x:c r="D5" s="27" t="n">
        <x:v>7.356079404467</x:v>
      </x:c>
      <x:c r="E5" s="27" t="n">
        <x:v>12.260132340778</x:v>
      </x:c>
      <x:c r="F5" s="27" t="n">
        <x:v>3.789495450786</x:v>
      </x:c>
      <x:c r="G5" s="27" t="n">
        <x:v>2.4520264681560002</x:v>
      </x:c>
      <x:c r="H5" s="27" t="n">
        <x:v>7.356079404467</x:v>
      </x:c>
      <x:c r="I5" s="27" t="n">
        <x:v>3.789495450786</x:v>
      </x:c>
      <x:c r="J5" s="27" t="n">
        <x:f>SUM(C5:I5)</x:f>
        <x:v>92.95409429280602</x:v>
      </x:c>
    </x:row>
    <x:row r="6">
      <x:c r="A6" s="35" t="str">
        <x:v>VARIABLE RENEWABLES</x:v>
      </x:c>
      <x:c r="B6" s="36" t="str">
        <x:v>SOLAR_PV_UTILITY</x:v>
      </x:c>
      <x:c r="C6" s="37" t="n">
        <x:v>38.563688999172996</x:v>
      </x:c>
      <x:c r="D6" s="37" t="n">
        <x:v>14.043424317618001</x:v>
      </x:c>
      <x:c r="E6" s="37" t="n">
        <x:v>32.545078577337</x:v>
      </x:c>
      <x:c r="F6" s="37" t="n">
        <x:v>43.021918941274</x:v>
      </x:c>
      <x:c r="G6" s="37" t="n">
        <x:v>5.572787427626</x:v>
      </x:c>
      <x:c r="H6" s="37" t="n">
        <x:v>25.634822167080003</x:v>
      </x:c>
      <x:c r="I6" s="37" t="n">
        <x:v>17.164185277089</x:v>
      </x:c>
      <x:c r="J6" s="37" t="n">
        <x:f>SUM(C6:I6)</x:f>
        <x:v>176.54590570719702</x:v>
      </x:c>
    </x:row>
    <x:row r="7">
      <x:c r="A7" s="32" t="str">
        <x:v>VARIABLE RENEWABLES</x:v>
      </x:c>
      <x:c r="B7" s="24" t="str">
        <x:v>WIND_ONSHORE</x:v>
      </x:c>
      <x:c r="C7" s="28" t="n">
        <x:v>0.696774193548</x:v>
      </x:c>
      <x:c r="D7" s="28" t="n">
        <x:v>0.46451612903199996</x:v>
      </x:c>
      <x:c r="E7" s="28" t="n">
        <x:v>7.896774193548</x:v>
      </x:c>
      <x:c r="F7" s="28" t="n">
        <x:v>15.329032258065</x:v>
      </x:c>
      <x:c r="G7" s="28" t="n">
        <x:v>3.832258064516</x:v>
      </x:c>
      <x:c r="H7" s="28" t="n">
        <x:v>7.316129032258</x:v>
      </x:c>
      <x:c r="I7" s="28" t="n">
        <x:v>4.064516129032</x:v>
      </x:c>
      <x:c r="J7" s="28" t="n">
        <x:f>SUM(C7:I7)</x:f>
        <x:v>39.599999999999</x:v>
      </x:c>
    </x:row>
    <x:row r="8">
      <x:c r="A8" s="35" t="str">
        <x:v>VARIABLE RENEWABLES</x:v>
      </x:c>
      <x:c r="B8" s="36" t="str">
        <x:v>WIND_OFFSHORE</x:v>
      </x:c>
      <x:c r="C8" s="37" t="n">
        <x:v>1.6282894736840001</x:v>
      </x:c>
      <x:c r="D8" s="37" t="n">
        <x:v>0.8684210526320001</x:v>
      </x:c>
      <x:c r="E8" s="37" t="n">
        <x:v>1.7368421052629999</x:v>
      </x:c>
      <x:c r="F8" s="37" t="n">
        <x:v>5.101973684211</x:v>
      </x:c>
      <x:c r="G8" s="37" t="n">
        <x:v>0.651315789474</x:v>
      </x:c>
      <x:c r="H8" s="37" t="n">
        <x:v>3.2565789473680002</x:v>
      </x:c>
      <x:c r="I8" s="37" t="n">
        <x:v>3.2565789473680002</x:v>
      </x:c>
      <x:c r="J8" s="37" t="n">
        <x:f>SUM(C8:I8)</x:f>
        <x:v>16.5</x:v>
      </x:c>
    </x:row>
    <x:row r="9">
      <x:c r="A9" s="33" t="str">
        <x:v>VARIABLE RENEWABLES TOTAL</x:v>
      </x:c>
      <x:c r="B9" s="25" t="str"/>
      <x:c r="C9" s="29" t="n">
        <x:f>SUM(C5:C8)</x:f>
        <x:v>96.83953843977099</x:v>
      </x:c>
      <x:c r="D9" s="29" t="n">
        <x:f>SUM(D5:D8)</x:f>
        <x:v>22.732440903749</x:v>
      </x:c>
      <x:c r="E9" s="29" t="n">
        <x:f>SUM(E5:E8)</x:f>
        <x:v>54.438827216926</x:v>
      </x:c>
      <x:c r="F9" s="29" t="n">
        <x:f>SUM(F5:F8)</x:f>
        <x:v>67.242420334336</x:v>
      </x:c>
      <x:c r="G9" s="29" t="n">
        <x:f>SUM(G5:G8)</x:f>
        <x:v>12.508387749772</x:v>
      </x:c>
      <x:c r="H9" s="29" t="n">
        <x:f>SUM(H5:H8)</x:f>
        <x:v>43.563609551172995</x:v>
      </x:c>
      <x:c r="I9" s="29" t="n">
        <x:f>SUM(I5:I8)</x:f>
        <x:v>28.274775804275002</x:v>
      </x:c>
      <x:c r="J9" s="29" t="n">
        <x:f>SUM(J5:J8)</x:f>
        <x:v>325.60000000000207</x:v>
      </x:c>
    </x:row>
    <x:row r="10">
      <x:c r="A10" s="35"/>
      <x:c r="B10" s="36"/>
      <x:c r="C10" s="37"/>
      <x:c r="D10" s="37"/>
      <x:c r="E10" s="37"/>
      <x:c r="F10" s="37"/>
      <x:c r="G10" s="37"/>
      <x:c r="H10" s="37"/>
      <x:c r="I10" s="37"/>
      <x:c r="J10" s="37"/>
    </x:row>
    <x:row r="11">
      <x:c r="A11" s="32" t="str">
        <x:v>HYDRO — MUTUALLY EXCLUSIVE CLASSES</x:v>
      </x:c>
      <x:c r="B11" s="24" t="str">
        <x:v>HYDRO_RUN_OF_RIVER</x:v>
      </x:c>
      <x:c r="C11" s="28" t="n">
        <x:v>5.228210866305</x:v>
      </x:c>
      <x:c r="D11" s="28" t="n">
        <x:v>0.209314034422</x:v>
      </x:c>
      <x:c r="E11" s="28" t="n">
        <x:v>0.579820027388</x:v>
      </x:c>
      <x:c r="F11" s="28" t="n">
        <x:v>0.045411334869</x:v>
      </x:c>
      <x:c r="G11" s="28" t="n">
        <x:v>0.10674382989900001</x:v>
      </x:c>
      <x:c r="H11" s="28" t="n">
        <x:v>0.031552391362</x:v>
      </x:c>
      <x:c r="I11" s="28" t="n">
        <x:v>0.037947515755</x:v>
      </x:c>
      <x:c r="J11" s="28" t="n">
        <x:f>SUM(C11:I11)</x:f>
        <x:v>6.239000000000001</x:v>
      </x:c>
    </x:row>
    <x:row r="12">
      <x:c r="A12" s="35" t="str">
        <x:v>HYDRO — MUTUALLY EXCLUSIVE CLASSES</x:v>
      </x:c>
      <x:c r="B12" s="36" t="str">
        <x:v>HYDRO_BASIN</x:v>
      </x:c>
      <x:c r="C12" s="37" t="n">
        <x:v>3.512208833846</x:v>
      </x:c>
      <x:c r="D12" s="37" t="n">
        <x:v>0.238064607896</x:v>
      </x:c>
      <x:c r="E12" s="37" t="n">
        <x:v>0.582887284562</x:v>
      </x:c>
      <x:c r="F12" s="37" t="n">
        <x:v>0.103488209848</x:v>
      </x:c>
      <x:c r="G12" s="37" t="n">
        <x:v>0.417949832196</x:v>
      </x:c>
      <x:c r="H12" s="37" t="n">
        <x:v>0.058808504061</x:v>
      </x:c>
      <x:c r="I12" s="37" t="n">
        <x:v>0.10649272759299999</x:v>
      </x:c>
      <x:c r="J12" s="37" t="n">
        <x:f>SUM(C12:I12)</x:f>
        <x:v>5.019900000002</x:v>
      </x:c>
    </x:row>
    <x:row r="13">
      <x:c r="A13" s="32" t="str">
        <x:v>HYDRO — MUTUALLY EXCLUSIVE CLASSES</x:v>
      </x:c>
      <x:c r="B13" s="24" t="str">
        <x:v>HYDRO_RESERVOIR</x:v>
      </x:c>
      <x:c r="C13" s="28" t="n">
        <x:v>3.669318175474</x:v>
      </x:c>
      <x:c r="D13" s="28" t="n">
        <x:v>0.175818907682</x:v>
      </x:c>
      <x:c r="E13" s="28" t="n">
        <x:v>0.43048232401799996</x:v>
      </x:c>
      <x:c r="F13" s="28" t="n">
        <x:v>0.076429605283</x:v>
      </x:c>
      <x:c r="G13" s="28" t="n">
        <x:v>0.308670337905</x:v>
      </x:c>
      <x:c r="H13" s="28" t="n">
        <x:v>0.043432104578</x:v>
      </x:c>
      <x:c r="I13" s="28" t="n">
        <x:v>0.07864854506</x:v>
      </x:c>
      <x:c r="J13" s="28" t="n">
        <x:f>SUM(C13:I13)</x:f>
        <x:v>4.782799999999999</x:v>
      </x:c>
    </x:row>
    <x:row r="14">
      <x:c r="A14" s="35" t="str">
        <x:v>HYDRO — MUTUALLY EXCLUSIVE CLASSES</x:v>
      </x:c>
      <x:c r="B14" s="36" t="str">
        <x:v>PUMPED_HYDRO_PURE</x:v>
      </x:c>
      <x:c r="C14" s="37" t="n">
        <x:v>2.393185354581</x:v>
      </x:c>
      <x:c r="D14" s="37" t="n">
        <x:v>0</x:v>
      </x:c>
      <x:c r="E14" s="37" t="n">
        <x:v>0.9959156698220001</x:v>
      </x:c>
      <x:c r="F14" s="37" t="n">
        <x:v>0</x:v>
      </x:c>
      <x:c r="G14" s="37" t="n">
        <x:v>0</x:v>
      </x:c>
      <x:c r="H14" s="37" t="n">
        <x:v>0.5804745855969999</x:v>
      </x:c>
      <x:c r="I14" s="37" t="n">
        <x:v>0</x:v>
      </x:c>
      <x:c r="J14" s="37" t="n">
        <x:f>SUM(C14:I14)</x:f>
        <x:v>3.96957561</x:v>
      </x:c>
    </x:row>
    <x:row r="15">
      <x:c r="A15" s="32" t="str">
        <x:v>HYDRO — MUTUALLY EXCLUSIVE CLASSES</x:v>
      </x:c>
      <x:c r="B15" s="24" t="str">
        <x:v>PUMPED_HYDRO_MIXED</x:v>
      </x:c>
      <x:c r="C15" s="28" t="n">
        <x:v>2.305444434376</x:v>
      </x:c>
      <x:c r="D15" s="28" t="n">
        <x:v>0</x:v>
      </x:c>
      <x:c r="E15" s="28" t="n">
        <x:v>0.736949744032</x:v>
      </x:c>
      <x:c r="F15" s="28" t="n">
        <x:v>0</x:v>
      </x:c>
      <x:c r="G15" s="28" t="n">
        <x:v>0</x:v>
      </x:c>
      <x:c r="H15" s="28" t="n">
        <x:v>0</x:v>
      </x:c>
      <x:c r="I15" s="28" t="n">
        <x:v>0.24033021159200002</x:v>
      </x:c>
      <x:c r="J15" s="28" t="n">
        <x:f>SUM(C15:I15)</x:f>
        <x:v>3.2827243900000003</x:v>
      </x:c>
    </x:row>
    <x:row r="16">
      <x:c r="A16" s="35" t="str">
        <x:v>HYDRO — MUTUALLY EXCLUSIVE CLASSES TOTAL</x:v>
      </x:c>
      <x:c r="B16" s="38" t="str"/>
      <x:c r="C16" s="39" t="n">
        <x:f>SUM(C11:C15)</x:f>
        <x:v>17.108367664582</x:v>
      </x:c>
      <x:c r="D16" s="39" t="n">
        <x:f>SUM(D11:D15)</x:f>
        <x:v>0.62319755</x:v>
      </x:c>
      <x:c r="E16" s="39" t="n">
        <x:f>SUM(E11:E15)</x:f>
        <x:v>3.326055049822</x:v>
      </x:c>
      <x:c r="F16" s="39" t="n">
        <x:f>SUM(F11:F15)</x:f>
        <x:v>0.22532915</x:v>
      </x:c>
      <x:c r="G16" s="39" t="n">
        <x:f>SUM(G11:G15)</x:f>
        <x:v>0.833364</x:v>
      </x:c>
      <x:c r="H16" s="39" t="n">
        <x:f>SUM(H11:H15)</x:f>
        <x:v>0.714267585598</x:v>
      </x:c>
      <x:c r="I16" s="39" t="n">
        <x:f>SUM(I11:I15)</x:f>
        <x:v>0.463419</x:v>
      </x:c>
      <x:c r="J16" s="39" t="n">
        <x:f>SUM(J11:J15)</x:f>
        <x:v>23.294000000002</x:v>
      </x:c>
    </x:row>
    <x:row r="17">
      <x:c r="A17" s="32"/>
      <x:c r="B17" s="24"/>
      <x:c r="C17" s="28"/>
      <x:c r="D17" s="28"/>
      <x:c r="E17" s="28"/>
      <x:c r="F17" s="28"/>
      <x:c r="G17" s="28"/>
      <x:c r="H17" s="28"/>
      <x:c r="I17" s="28"/>
      <x:c r="J17" s="28"/>
    </x:row>
    <x:row r="18">
      <x:c r="A18" s="35" t="str">
        <x:v>STORAGE POWER</x:v>
      </x:c>
      <x:c r="B18" s="36" t="str">
        <x:v>BESS</x:v>
      </x:c>
      <x:c r="C18" s="37" t="n">
        <x:v>4.181779738923</x:v>
      </x:c>
      <x:c r="D18" s="37" t="n">
        <x:v>1.441993013422</x:v>
      </x:c>
      <x:c r="E18" s="37" t="n">
        <x:v>7.556043390329</x:v>
      </x:c>
      <x:c r="F18" s="37" t="n">
        <x:v>14.045011950726</x:v>
      </x:c>
      <x:c r="G18" s="37" t="n">
        <x:v>3.114704908991</x:v>
      </x:c>
      <x:c r="H18" s="37" t="n">
        <x:v>10.728428019856999</x:v>
      </x:c>
      <x:c r="I18" s="37" t="n">
        <x:v>6.9504063246920005</x:v>
      </x:c>
      <x:c r="J18" s="37" t="n">
        <x:f>SUM(C18:I18)</x:f>
        <x:v>48.018367346939996</x:v>
      </x:c>
    </x:row>
    <x:row r="19">
      <x:c r="A19" s="33" t="str">
        <x:v>STORAGE POWER TOTAL</x:v>
      </x:c>
      <x:c r="B19" s="25" t="str"/>
      <x:c r="C19" s="29" t="n">
        <x:f>SUM(C18:C18)</x:f>
        <x:v>4.181779738923</x:v>
      </x:c>
      <x:c r="D19" s="29" t="n">
        <x:f>SUM(D18:D18)</x:f>
        <x:v>1.441993013422</x:v>
      </x:c>
      <x:c r="E19" s="29" t="n">
        <x:f>SUM(E18:E18)</x:f>
        <x:v>7.556043390329</x:v>
      </x:c>
      <x:c r="F19" s="29" t="n">
        <x:f>SUM(F18:F18)</x:f>
        <x:v>14.045011950726</x:v>
      </x:c>
      <x:c r="G19" s="29" t="n">
        <x:f>SUM(G18:G18)</x:f>
        <x:v>3.114704908991</x:v>
      </x:c>
      <x:c r="H19" s="29" t="n">
        <x:f>SUM(H18:H18)</x:f>
        <x:v>10.728428019856999</x:v>
      </x:c>
      <x:c r="I19" s="29" t="n">
        <x:f>SUM(I18:I18)</x:f>
        <x:v>6.9504063246920005</x:v>
      </x:c>
      <x:c r="J19" s="29" t="n">
        <x:f>SUM(J18:J18)</x:f>
        <x:v>48.018367346939996</x:v>
      </x:c>
    </x:row>
    <x:row r="20">
      <x:c r="A20" s="35"/>
      <x:c r="B20" s="36"/>
      <x:c r="C20" s="37"/>
      <x:c r="D20" s="37"/>
      <x:c r="E20" s="37"/>
      <x:c r="F20" s="37"/>
      <x:c r="G20" s="37"/>
      <x:c r="H20" s="37"/>
      <x:c r="I20" s="37"/>
      <x:c r="J20" s="37"/>
    </x:row>
    <x:row r="21">
      <x:c r="A21" s="32" t="str">
        <x:v>DISPATCHABLE / PROGRAMMABLE</x:v>
      </x:c>
      <x:c r="B21" s="24" t="str">
        <x:v>BIOENERGY</x:v>
      </x:c>
      <x:c r="C21" s="28" t="n">
        <x:v>4.542288621371</x:v>
      </x:c>
      <x:c r="D21" s="28" t="n">
        <x:v>0.343258566564</x:v>
      </x:c>
      <x:c r="E21" s="28" t="n">
        <x:v>0.85341991232</x:v>
      </x:c>
      <x:c r="F21" s="28" t="n">
        <x:v>0.8538505950840001</x:v>
      </x:c>
      <x:c r="G21" s="28" t="n">
        <x:v>0.335831107297</x:v>
      </x:c>
      <x:c r="H21" s="28" t="n">
        <x:v>0.132916357988</x:v>
      </x:c>
      <x:c r="I21" s="28" t="n">
        <x:v>0.212364886255</x:v>
      </x:c>
      <x:c r="J21" s="28" t="n">
        <x:f>SUM(C21:I21)</x:f>
        <x:v>7.273930046879</x:v>
      </x:c>
    </x:row>
    <x:row r="22">
      <x:c r="A22" s="35" t="str">
        <x:v>DISPATCHABLE / PROGRAMMABLE</x:v>
      </x:c>
      <x:c r="B22" s="36" t="str">
        <x:v>BIOENERGY_CCS</x:v>
      </x:c>
      <x:c r="C22" s="37" t="n">
        <x:v>2.5711067668139997</x:v>
      </x:c>
      <x:c r="D22" s="37" t="n">
        <x:v>0.194297301828</x:v>
      </x:c>
      <x:c r="E22" s="37" t="n">
        <x:v>0.483067874898</x:v>
      </x:c>
      <x:c r="F22" s="37" t="n">
        <x:v>0.483311657595</x:v>
      </x:c>
      <x:c r="G22" s="37" t="n">
        <x:v>0.19009307960199998</x:v>
      </x:c>
      <x:c r="H22" s="37" t="n">
        <x:v>0.075235674333</x:v>
      </x:c>
      <x:c r="I22" s="37" t="n">
        <x:v>0.12020653939</x:v>
      </x:c>
      <x:c r="J22" s="37" t="n">
        <x:f>SUM(C22:I22)</x:f>
        <x:v>4.117318894459999</x:v>
      </x:c>
    </x:row>
    <x:row r="23">
      <x:c r="A23" s="32" t="str">
        <x:v>DISPATCHABLE / PROGRAMMABLE</x:v>
      </x:c>
      <x:c r="B23" s="24" t="str">
        <x:v>GAS_CCS</x:v>
      </x:c>
      <x:c r="C23" s="28" t="n">
        <x:v>3.516377767001</x:v>
      </x:c>
      <x:c r="D23" s="28" t="n">
        <x:v>0.243560931279</x:v>
      </x:c>
      <x:c r="E23" s="28" t="n">
        <x:v>0.964647101768</x:v>
      </x:c>
      <x:c r="F23" s="28" t="n">
        <x:v>0.674038035664</x:v>
      </x:c>
      <x:c r="G23" s="28" t="n">
        <x:v>0.492887687322</x:v>
      </x:c>
      <x:c r="H23" s="28" t="n">
        <x:v>0.462056620428</x:v>
      </x:c>
      <x:c r="I23" s="28" t="n">
        <x:v>0.096898124513</x:v>
      </x:c>
      <x:c r="J23" s="28" t="n">
        <x:f>SUM(C23:I23)</x:f>
        <x:v>6.450466267975</x:v>
      </x:c>
    </x:row>
    <x:row r="24">
      <x:c r="A24" s="35" t="str">
        <x:v>DISPATCHABLE / PROGRAMMABLE</x:v>
      </x:c>
      <x:c r="B24" s="36" t="str">
        <x:v>GAS_OTHER_FOSSIL</x:v>
      </x:c>
      <x:c r="C24" s="37" t="n">
        <x:v>0.850138477546</x:v>
      </x:c>
      <x:c r="D24" s="37" t="n">
        <x:v>0.483986138935</x:v>
      </x:c>
      <x:c r="E24" s="37" t="n">
        <x:v>0.77649858148</x:v>
      </x:c>
      <x:c r="F24" s="37" t="n">
        <x:v>0.258533138507</x:v>
      </x:c>
      <x:c r="G24" s="37" t="n">
        <x:v>0.218270900589</x:v>
      </x:c>
      <x:c r="H24" s="37" t="n">
        <x:v>0.6587190679499999</x:v>
      </x:c>
      <x:c r="I24" s="37" t="n">
        <x:v>0.14034848568199998</x:v>
      </x:c>
      <x:c r="J24" s="37" t="n">
        <x:f>SUM(C24:I24)</x:f>
        <x:v>3.3864947906889995</x:v>
      </x:c>
    </x:row>
    <x:row r="25">
      <x:c r="A25" s="32" t="str">
        <x:v>DISPATCHABLE / PROGRAMMABLE</x:v>
      </x:c>
      <x:c r="B25" s="24" t="str">
        <x:v>GEOTHERMAL</x:v>
      </x:c>
      <x:c r="C25" s="28" t="n">
        <x:v>0</x:v>
      </x:c>
      <x:c r="D25" s="28" t="n">
        <x:v>0.77179</x:v>
      </x:c>
      <x:c r="E25" s="28" t="n">
        <x:v>0</x:v>
      </x:c>
      <x:c r="F25" s="28" t="n">
        <x:v>0</x:v>
      </x:c>
      <x:c r="G25" s="28" t="n">
        <x:v>0</x:v>
      </x:c>
      <x:c r="H25" s="28" t="n">
        <x:v>0</x:v>
      </x:c>
      <x:c r="I25" s="28" t="n">
        <x:v>0</x:v>
      </x:c>
      <x:c r="J25" s="28" t="n">
        <x:f>SUM(C25:I25)</x:f>
        <x:v>0.77179</x:v>
      </x:c>
    </x:row>
    <x:row r="26">
      <x:c r="A26" s="35" t="str">
        <x:v>DISPATCHABLE / PROGRAMMABLE</x:v>
      </x:c>
      <x:c r="B26" s="36" t="str">
        <x:v>NUCLEAR</x:v>
      </x:c>
      <x:c r="C26" s="37" t="n">
        <x:v>5</x:v>
      </x:c>
      <x:c r="D26" s="37" t="n">
        <x:v>0</x:v>
      </x:c>
      <x:c r="E26" s="37" t="n">
        <x:v>3</x:v>
      </x:c>
      <x:c r="F26" s="37" t="n">
        <x:v>0</x:v>
      </x:c>
      <x:c r="G26" s="37" t="n">
        <x:v>0</x:v>
      </x:c>
      <x:c r="H26" s="37" t="n">
        <x:v>0</x:v>
      </x:c>
      <x:c r="I26" s="37" t="n">
        <x:v>0</x:v>
      </x:c>
      <x:c r="J26" s="37" t="n">
        <x:f>SUM(C26:I26)</x:f>
        <x:v>8</x:v>
      </x:c>
    </x:row>
    <x:row r="27">
      <x:c r="A27" s="33" t="str">
        <x:v>DISPATCHABLE / PROGRAMMABLE TOTAL</x:v>
      </x:c>
      <x:c r="B27" s="25" t="str"/>
      <x:c r="C27" s="29" t="n">
        <x:f>SUM(C21:C26)</x:f>
        <x:v>16.479911632731998</x:v>
      </x:c>
      <x:c r="D27" s="29" t="n">
        <x:f>SUM(D21:D26)</x:f>
        <x:v>2.036892938606</x:v>
      </x:c>
      <x:c r="E27" s="29" t="n">
        <x:f>SUM(E21:E26)</x:f>
        <x:v>6.077633470466</x:v>
      </x:c>
      <x:c r="F27" s="29" t="n">
        <x:f>SUM(F21:F26)</x:f>
        <x:v>2.2697334268500002</x:v>
      </x:c>
      <x:c r="G27" s="29" t="n">
        <x:f>SUM(G21:G26)</x:f>
        <x:v>1.23708277481</x:v>
      </x:c>
      <x:c r="H27" s="29" t="n">
        <x:f>SUM(H21:H26)</x:f>
        <x:v>1.3289277206989998</x:v>
      </x:c>
      <x:c r="I27" s="29" t="n">
        <x:f>SUM(I21:I26)</x:f>
        <x:v>0.56981803584</x:v>
      </x:c>
      <x:c r="J27" s="29" t="n">
        <x:f>SUM(J21:J26)</x:f>
        <x:v>30.000000000003</x:v>
      </x:c>
    </x:row>
    <x:row r="28">
      <x:c r="A28" s="40"/>
      <x:c r="B28" s="41"/>
      <x:c r="C28" s="42"/>
      <x:c r="D28" s="42"/>
      <x:c r="E28" s="42"/>
      <x:c r="F28" s="42"/>
      <x:c r="G28" s="42"/>
      <x:c r="H28" s="42"/>
      <x:c r="I28" s="42"/>
      <x:c r="J28" s="42"/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" t="str">
        <x:v>Allocation anchors — 2024 post-coal/oil thermal geography and fixed hydro capacity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t="str">
        <x:v>Values in GW NET. Bioenergy geography is a separate cross-classification proxy and is not subtracted from the historical conversion matrix.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46" t="str">
        <x:v>Anchor</x:v>
      </x:c>
      <x:c r="B4" s="46" t="str">
        <x:v>Technology</x:v>
      </x:c>
      <x:c r="C4" s="46" t="str">
        <x:v>NORD</x:v>
      </x:c>
      <x:c r="D4" s="46" t="str">
        <x:v>CNOR</x:v>
      </x:c>
      <x:c r="E4" s="46" t="str">
        <x:v>CSUD</x:v>
      </x:c>
      <x:c r="F4" s="46" t="str">
        <x:v>SUD</x:v>
      </x:c>
      <x:c r="G4" s="46" t="str">
        <x:v>CALA</x:v>
      </x:c>
      <x:c r="H4" s="46" t="str">
        <x:v>SICI</x:v>
      </x:c>
      <x:c r="I4" s="46" t="str">
        <x:v>SARD</x:v>
      </x:c>
      <x:c r="J4" s="46" t="str">
        <x:v>ITALY</x:v>
      </x:c>
    </x:row>
    <x:row r="5">
      <x:c r="A5" s="47" t="str">
        <x:v>POST_COAL_OIL_THERMAL</x:v>
      </x:c>
      <x:c r="B5" s="47" t="str">
        <x:v>CCGT</x:v>
      </x:c>
      <x:c r="C5" s="49" t="n">
        <x:v>22.753473000000003</x:v>
      </x:c>
      <x:c r="D5" s="49" t="n">
        <x:v>1.5760129999999999</x:v>
      </x:c>
      <x:c r="E5" s="49" t="n">
        <x:v>6.241955</x:v>
      </x:c>
      <x:c r="F5" s="49" t="n">
        <x:v>4.361507</x:v>
      </x:c>
      <x:c r="G5" s="49" t="n">
        <x:v>3.1893350000000003</x:v>
      </x:c>
      <x:c r="H5" s="49" t="n">
        <x:v>2.989836</x:v>
      </x:c>
      <x:c r="I5" s="49" t="n">
        <x:v>0.627</x:v>
      </x:c>
      <x:c r="J5" s="49" t="n">
        <x:f>SUM(C5:I5)</x:f>
        <x:v>41.739119</x:v>
      </x:c>
    </x:row>
    <x:row r="6">
      <x:c r="A6" s="47" t="str">
        <x:v>POST_COAL_OIL_THERMAL</x:v>
      </x:c>
      <x:c r="B6" s="47" t="str">
        <x:v>GT_OCGT</x:v>
      </x:c>
      <x:c r="C6" s="49" t="n">
        <x:v>0.830030842327</x:v>
      </x:c>
      <x:c r="D6" s="49" t="n">
        <x:v>0.472538807717</x:v>
      </x:c>
      <x:c r="E6" s="49" t="n">
        <x:v>0.758132690936</x:v>
      </x:c>
      <x:c r="F6" s="49" t="n">
        <x:v>0.252418264072</x:v>
      </x:c>
      <x:c r="G6" s="49" t="n">
        <x:v>0.21310831618200002</x:v>
      </x:c>
      <x:c r="H6" s="49" t="n">
        <x:v>0.643138920622</x:v>
      </x:c>
      <x:c r="I6" s="49" t="n">
        <x:v>0.137028936893</x:v>
      </x:c>
      <x:c r="J6" s="49" t="n">
        <x:f>SUM(C6:I6)</x:f>
        <x:v>3.306396778749</x:v>
      </x:c>
    </x:row>
    <x:row r="7">
      <x:c r="A7" s="47" t="str">
        <x:v>POST_COAL_OIL_THERMAL</x:v>
      </x:c>
      <x:c r="B7" s="47" t="str">
        <x:v>INTERNAL_COMBUSTION</x:v>
      </x:c>
      <x:c r="C7" s="49" t="n">
        <x:v>3.406731147716</x:v>
      </x:c>
      <x:c r="D7" s="49" t="n">
        <x:v>0.382475223466</x:v>
      </x:c>
      <x:c r="E7" s="49" t="n">
        <x:v>0.769178136776</x:v>
      </x:c>
      <x:c r="F7" s="49" t="n">
        <x:v>0.43153518216700004</x:v>
      </x:c>
      <x:c r="G7" s="49" t="n">
        <x:v>0.03765737891</x:v>
      </x:c>
      <x:c r="H7" s="49" t="n">
        <x:v>0.203643544805</x:v>
      </x:c>
      <x:c r="I7" s="49" t="n">
        <x:v>0.022015982527999998</x:v>
      </x:c>
      <x:c r="J7" s="49" t="n">
        <x:f>SUM(C7:I7)</x:f>
        <x:v>5.253236596367999</x:v>
      </x:c>
    </x:row>
    <x:row r="8">
      <x:c r="A8" s="47" t="str">
        <x:v>POST_COAL_OIL_THERMAL</x:v>
      </x:c>
      <x:c r="B8" s="47" t="str">
        <x:v>STEAM_OTHER_SURVIVING</x:v>
      </x:c>
      <x:c r="C8" s="49" t="n">
        <x:v>1.565323568332</x:v>
      </x:c>
      <x:c r="D8" s="49" t="n">
        <x:v>0.049961663917</x:v>
      </x:c>
      <x:c r="E8" s="49" t="n">
        <x:v>0.176405572198</x:v>
      </x:c>
      <x:c r="F8" s="49" t="n">
        <x:v>0.534897936318</x:v>
      </x:c>
      <x:c r="G8" s="49" t="n">
        <x:v>0.14262793925400002</x:v>
      </x:c>
      <x:c r="H8" s="49" t="n">
        <x:v>0.14052317478200002</x:v>
      </x:c>
      <x:c r="I8" s="49" t="n">
        <x:v>0.24317155141000002</x:v>
      </x:c>
      <x:c r="J8" s="49" t="n">
        <x:f>SUM(C8:I8)</x:f>
        <x:v>2.8529114062109997</x:v>
      </x:c>
    </x:row>
    <x:row r="9">
      <x:c r="A9" s="47" t="str">
        <x:v>POST_COAL_OIL_THERMAL</x:v>
      </x:c>
      <x:c r="B9" s="47" t="str">
        <x:v>OTHER_SURVIVING_THERMAL</x:v>
      </x:c>
      <x:c r="C9" s="49" t="n">
        <x:v>0.052386686083</x:v>
      </x:c>
      <x:c r="D9" s="49" t="n">
        <x:v>0.033857</x:v>
      </x:c>
      <x:c r="E9" s="49" t="n">
        <x:v>0.030618336479</x:v>
      </x:c>
      <x:c r="F9" s="49" t="n">
        <x:v>0.118501920673</x:v>
      </x:c>
      <x:c r="G9" s="49" t="n">
        <x:v>0</x:v>
      </x:c>
      <x:c r="H9" s="49" t="n">
        <x:v>0.021960999999999998</x:v>
      </x:c>
      <x:c r="I9" s="49" t="n">
        <x:v>0.028085545436</x:v>
      </x:c>
      <x:c r="J9" s="49" t="n">
        <x:f>SUM(C9:I9)</x:f>
        <x:v>0.285410488671</x:v>
      </x:c>
    </x:row>
    <x:row r="10">
      <x:c r="A10" s="47" t="str">
        <x:v>POST_COAL_OIL_THERMAL</x:v>
      </x:c>
      <x:c r="B10" s="47" t="str">
        <x:v>GEOTHERMAL</x:v>
      </x:c>
      <x:c r="C10" s="49" t="n">
        <x:v>0</x:v>
      </x:c>
      <x:c r="D10" s="49" t="n">
        <x:v>0.77179</x:v>
      </x:c>
      <x:c r="E10" s="49" t="n">
        <x:v>0</x:v>
      </x:c>
      <x:c r="F10" s="49" t="n">
        <x:v>0</x:v>
      </x:c>
      <x:c r="G10" s="49" t="n">
        <x:v>0</x:v>
      </x:c>
      <x:c r="H10" s="49" t="n">
        <x:v>0</x:v>
      </x:c>
      <x:c r="I10" s="49" t="n">
        <x:v>0</x:v>
      </x:c>
      <x:c r="J10" s="49" t="n">
        <x:f>SUM(C10:I10)</x:f>
        <x:v>0.77179</x:v>
      </x:c>
    </x:row>
    <x:row r="11">
      <x:c r="A11" s="47"/>
      <x:c r="B11" s="47"/>
      <x:c r="C11" s="49"/>
      <x:c r="D11" s="49"/>
      <x:c r="E11" s="49"/>
      <x:c r="F11" s="49"/>
      <x:c r="G11" s="49"/>
      <x:c r="H11" s="49"/>
      <x:c r="I11" s="49"/>
      <x:c r="J11" s="49"/>
    </x:row>
    <x:row r="12">
      <x:c r="A12" s="47" t="str">
        <x:v>GEOGRAPHY_SHARE</x:v>
      </x:c>
      <x:c r="B12" s="47" t="str">
        <x:v>BIOENERGY</x:v>
      </x:c>
      <x:c r="C12" s="49" t="n">
        <x:v>0.624461411108</x:v>
      </x:c>
      <x:c r="D12" s="49" t="n">
        <x:v>0.047190248511</x:v>
      </x:c>
      <x:c r="E12" s="49" t="n">
        <x:v>0.117325834428</x:v>
      </x:c>
      <x:c r="F12" s="49" t="n">
        <x:v>0.117385043516</x:v>
      </x:c>
      <x:c r="G12" s="49" t="n">
        <x:v>0.046169141734</x:v>
      </x:c>
      <x:c r="H12" s="49" t="n">
        <x:v>0.018272977212</x:v>
      </x:c>
      <x:c r="I12" s="49" t="n">
        <x:v>0.029195343492</x:v>
      </x:c>
      <x:c r="J12" s="49" t="n">
        <x:f>SUM(C12:I12)</x:f>
        <x:v>1.000000000001</x:v>
      </x:c>
    </x:row>
    <x:row r="13">
      <x:c r="A13" s="47" t="str">
        <x:v>GEOGRAPHY_SHARE</x:v>
      </x:c>
      <x:c r="B13" s="47" t="str">
        <x:v>BIOENERGY_CCS</x:v>
      </x:c>
      <x:c r="C13" s="49" t="n">
        <x:v>0.624461411108</x:v>
      </x:c>
      <x:c r="D13" s="49" t="n">
        <x:v>0.047190248511</x:v>
      </x:c>
      <x:c r="E13" s="49" t="n">
        <x:v>0.117325834428</x:v>
      </x:c>
      <x:c r="F13" s="49" t="n">
        <x:v>0.117385043516</x:v>
      </x:c>
      <x:c r="G13" s="49" t="n">
        <x:v>0.046169141734</x:v>
      </x:c>
      <x:c r="H13" s="49" t="n">
        <x:v>0.018272977212</x:v>
      </x:c>
      <x:c r="I13" s="49" t="n">
        <x:v>0.029195343492</x:v>
      </x:c>
      <x:c r="J13" s="49" t="n">
        <x:f>SUM(C13:I13)</x:f>
        <x:v>1.000000000001</x:v>
      </x:c>
    </x:row>
    <x:row r="14">
      <x:c r="A14" s="47" t="str">
        <x:v>GEOGRAPHY_SHARE</x:v>
      </x:c>
      <x:c r="B14" s="47" t="str">
        <x:v>GAS_CCS</x:v>
      </x:c>
      <x:c r="C14" s="49" t="n">
        <x:v>0.545135439969</x:v>
      </x:c>
      <x:c r="D14" s="49" t="n">
        <x:v>0.037758655136</x:v>
      </x:c>
      <x:c r="E14" s="49" t="n">
        <x:v>0.149546879511</x:v>
      </x:c>
      <x:c r="F14" s="49" t="n">
        <x:v>0.104494467169</x:v>
      </x:c>
      <x:c r="G14" s="49" t="n">
        <x:v>0.076411171975</x:v>
      </x:c>
      <x:c r="H14" s="49" t="n">
        <x:v>0.071631507124</x:v>
      </x:c>
      <x:c r="I14" s="49" t="n">
        <x:v>0.015021879115</x:v>
      </x:c>
      <x:c r="J14" s="49" t="n">
        <x:f>SUM(C14:I14)</x:f>
        <x:v>0.999999999999</x:v>
      </x:c>
    </x:row>
    <x:row r="15">
      <x:c r="A15" s="47" t="str">
        <x:v>GEOGRAPHY_SHARE</x:v>
      </x:c>
      <x:c r="B15" s="47" t="str">
        <x:v>GAS_OTHER_FOSSIL</x:v>
      </x:c>
      <x:c r="C15" s="49" t="n">
        <x:v>0.251037881376</x:v>
      </x:c>
      <x:c r="D15" s="49" t="n">
        <x:v>0.142916546119</x:v>
      </x:c>
      <x:c r="E15" s="49" t="n">
        <x:v>0.229292713993</x:v>
      </x:c>
      <x:c r="F15" s="49" t="n">
        <x:v>0.076342399586</x:v>
      </x:c>
      <x:c r="G15" s="49" t="n">
        <x:v>0.064453340129</x:v>
      </x:c>
      <x:c r="H15" s="49" t="n">
        <x:v>0.19451353351</x:v>
      </x:c>
      <x:c r="I15" s="49" t="n">
        <x:v>0.041443585287</x:v>
      </x:c>
      <x:c r="J15" s="49" t="n">
        <x:f>SUM(C15:I15)</x:f>
        <x:v>1</x:v>
      </x:c>
    </x:row>
    <x:row r="16">
      <x:c r="A16" s="47" t="str">
        <x:v>GEOGRAPHY_SHARE</x:v>
      </x:c>
      <x:c r="B16" s="47" t="str">
        <x:v>NUCLEAR</x:v>
      </x:c>
      <x:c r="C16" s="49" t="n">
        <x:v>0.625</x:v>
      </x:c>
      <x:c r="D16" s="49" t="n">
        <x:v>0</x:v>
      </x:c>
      <x:c r="E16" s="49" t="n">
        <x:v>0.375</x:v>
      </x:c>
      <x:c r="F16" s="49" t="n">
        <x:v>0</x:v>
      </x:c>
      <x:c r="G16" s="49" t="n">
        <x:v>0</x:v>
      </x:c>
      <x:c r="H16" s="49" t="n">
        <x:v>0</x:v>
      </x:c>
      <x:c r="I16" s="49" t="n">
        <x:v>0</x:v>
      </x:c>
      <x:c r="J16" s="49" t="n">
        <x:f>SUM(C16:I16)</x:f>
        <x:v>1</x:v>
      </x:c>
    </x:row>
    <x:row r="17">
      <x:c r="A17" s="47"/>
      <x:c r="B17" s="47"/>
      <x:c r="C17" s="49"/>
      <x:c r="D17" s="49"/>
      <x:c r="E17" s="49"/>
      <x:c r="F17" s="49"/>
      <x:c r="G17" s="49"/>
      <x:c r="H17" s="49"/>
      <x:c r="I17" s="49"/>
      <x:c r="J17" s="49"/>
    </x:row>
    <x:row r="18">
      <x:c r="A18" s="47" t="str">
        <x:v>FIXED_CURRENT_HYDRO</x:v>
      </x:c>
      <x:c r="B18" s="47" t="str">
        <x:v>HYDRO_RUN_OF_RIVER</x:v>
      </x:c>
      <x:c r="C18" s="49" t="n">
        <x:v>5.228210866305</x:v>
      </x:c>
      <x:c r="D18" s="49" t="n">
        <x:v>0.209314034422</x:v>
      </x:c>
      <x:c r="E18" s="49" t="n">
        <x:v>0.579820027388</x:v>
      </x:c>
      <x:c r="F18" s="49" t="n">
        <x:v>0.045411334869</x:v>
      </x:c>
      <x:c r="G18" s="49" t="n">
        <x:v>0.10674382989900001</x:v>
      </x:c>
      <x:c r="H18" s="49" t="n">
        <x:v>0.031552391362</x:v>
      </x:c>
      <x:c r="I18" s="49" t="n">
        <x:v>0.037947515755</x:v>
      </x:c>
      <x:c r="J18" s="49" t="n">
        <x:f>SUM(C18:I18)</x:f>
        <x:v>6.239000000000001</x:v>
      </x:c>
    </x:row>
    <x:row r="19">
      <x:c r="A19" s="47" t="str">
        <x:v>FIXED_CURRENT_HYDRO</x:v>
      </x:c>
      <x:c r="B19" s="47" t="str">
        <x:v>HYDRO_BASIN</x:v>
      </x:c>
      <x:c r="C19" s="49" t="n">
        <x:v>3.512208833846</x:v>
      </x:c>
      <x:c r="D19" s="49" t="n">
        <x:v>0.238064607896</x:v>
      </x:c>
      <x:c r="E19" s="49" t="n">
        <x:v>0.582887284562</x:v>
      </x:c>
      <x:c r="F19" s="49" t="n">
        <x:v>0.103488209848</x:v>
      </x:c>
      <x:c r="G19" s="49" t="n">
        <x:v>0.417949832196</x:v>
      </x:c>
      <x:c r="H19" s="49" t="n">
        <x:v>0.058808504061</x:v>
      </x:c>
      <x:c r="I19" s="49" t="n">
        <x:v>0.10649272759299999</x:v>
      </x:c>
      <x:c r="J19" s="49" t="n">
        <x:f>SUM(C19:I19)</x:f>
        <x:v>5.019900000002</x:v>
      </x:c>
    </x:row>
    <x:row r="20">
      <x:c r="A20" s="47" t="str">
        <x:v>FIXED_CURRENT_HYDRO</x:v>
      </x:c>
      <x:c r="B20" s="47" t="str">
        <x:v>HYDRO_RESERVOIR</x:v>
      </x:c>
      <x:c r="C20" s="49" t="n">
        <x:v>3.669318175474</x:v>
      </x:c>
      <x:c r="D20" s="49" t="n">
        <x:v>0.175818907682</x:v>
      </x:c>
      <x:c r="E20" s="49" t="n">
        <x:v>0.43048232401799996</x:v>
      </x:c>
      <x:c r="F20" s="49" t="n">
        <x:v>0.076429605283</x:v>
      </x:c>
      <x:c r="G20" s="49" t="n">
        <x:v>0.308670337905</x:v>
      </x:c>
      <x:c r="H20" s="49" t="n">
        <x:v>0.043432104578</x:v>
      </x:c>
      <x:c r="I20" s="49" t="n">
        <x:v>0.07864854506</x:v>
      </x:c>
      <x:c r="J20" s="49" t="n">
        <x:f>SUM(C20:I20)</x:f>
        <x:v>4.782799999999999</x:v>
      </x:c>
    </x:row>
    <x:row r="21">
      <x:c r="A21" s="47" t="str">
        <x:v>FIXED_CURRENT_HYDRO</x:v>
      </x:c>
      <x:c r="B21" s="47" t="str">
        <x:v>PUMPED_HYDRO_PURE</x:v>
      </x:c>
      <x:c r="C21" s="49" t="n">
        <x:v>2.393185354581</x:v>
      </x:c>
      <x:c r="D21" s="49" t="n">
        <x:v>0</x:v>
      </x:c>
      <x:c r="E21" s="49" t="n">
        <x:v>0.9959156698220001</x:v>
      </x:c>
      <x:c r="F21" s="49" t="n">
        <x:v>0</x:v>
      </x:c>
      <x:c r="G21" s="49" t="n">
        <x:v>0</x:v>
      </x:c>
      <x:c r="H21" s="49" t="n">
        <x:v>0.5804745855969999</x:v>
      </x:c>
      <x:c r="I21" s="49" t="n">
        <x:v>0</x:v>
      </x:c>
      <x:c r="J21" s="49" t="n">
        <x:f>SUM(C21:I21)</x:f>
        <x:v>3.96957561</x:v>
      </x:c>
    </x:row>
    <x:row r="22">
      <x:c r="A22" s="47" t="str">
        <x:v>FIXED_CURRENT_HYDRO</x:v>
      </x:c>
      <x:c r="B22" s="47" t="str">
        <x:v>PUMPED_HYDRO_MIXED</x:v>
      </x:c>
      <x:c r="C22" s="49" t="n">
        <x:v>2.305444434376</x:v>
      </x:c>
      <x:c r="D22" s="49" t="n">
        <x:v>0</x:v>
      </x:c>
      <x:c r="E22" s="49" t="n">
        <x:v>0.736949744032</x:v>
      </x:c>
      <x:c r="F22" s="49" t="n">
        <x:v>0</x:v>
      </x:c>
      <x:c r="G22" s="49" t="n">
        <x:v>0</x:v>
      </x:c>
      <x:c r="H22" s="49" t="n">
        <x:v>0</x:v>
      </x:c>
      <x:c r="I22" s="49" t="n">
        <x:v>0.24033021159200002</x:v>
      </x:c>
      <x:c r="J22" s="49" t="n">
        <x:f>SUM(C22:I22)</x:f>
        <x:v>3.2827243900000003</x:v>
      </x:c>
    </x:row>
    <x:row r="23">
      <x:c r="A23" s="48"/>
      <x:c r="B23" s="48"/>
      <x:c r="C23" s="50"/>
      <x:c r="D23" s="50"/>
      <x:c r="E23" s="50"/>
      <x:c r="F23" s="50"/>
      <x:c r="G23" s="50"/>
      <x:c r="H23" s="50"/>
      <x:c r="I23" s="50"/>
      <x:c r="J23" s="50"/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" t="str">
        <x:v>National capacity logic — 2040 anchor scaling and 2050 programmable normalization</x:v>
      </x:c>
      <x:c r="B1" s="3"/>
      <x:c r="C1" s="3"/>
      <x:c r="D1" s="3"/>
      <x:c r="E1" s="3"/>
      <x:c r="F1" s="3"/>
      <x:c r="G1" s="3"/>
      <x:c r="H1" s="3"/>
    </x:row>
    <x:row r="3">
      <x:c r="A3" s="12" t="str">
        <x:v>2040 calculation</x:v>
      </x:c>
      <x:c r="B3" s="12" t="str">
        <x:v>Value</x:v>
      </x:c>
      <x:c r="C3" s="12" t="str">
        <x:v>Unit</x:v>
      </x:c>
      <x:c r="D3" s="12" t="str">
        <x:v>Evidence role</x:v>
      </x:c>
      <x:c r="E3" s="12"/>
      <x:c r="F3" s="12"/>
      <x:c r="G3" s="12"/>
      <x:c r="H3" s="12"/>
    </x:row>
    <x:row r="4">
      <x:c r="A4" s="46" t="str">
        <x:v>Post-coal/oil anchor</x:v>
      </x:c>
      <x:c r="B4" s="51" t="n">
        <x:v>54.208864269999</x:v>
      </x:c>
      <x:c r="C4" s="51" t="str">
        <x:v>GW NET</x:v>
      </x:c>
      <x:c r="D4" s="51" t="str">
        <x:v>Derived from removal mask</x:v>
      </x:c>
      <x:c r="E4" s="51"/>
      <x:c r="F4" s="51"/>
      <x:c r="G4" s="51"/>
      <x:c r="H4" s="46"/>
    </x:row>
    <x:row r="5">
      <x:c r="A5" s="47" t="str">
        <x:v>Terna 2040 envelope</x:v>
      </x:c>
      <x:c r="B5" s="52" t="n">
        <x:v>55</x:v>
      </x:c>
      <x:c r="C5" s="52" t="str">
        <x:v>GW NET</x:v>
      </x:c>
      <x:c r="D5" s="52" t="str">
        <x:v>Terna capacity control</x:v>
      </x:c>
      <x:c r="E5" s="52"/>
      <x:c r="F5" s="52"/>
      <x:c r="G5" s="52"/>
      <x:c r="H5" s="47"/>
    </x:row>
    <x:row r="6">
      <x:c r="A6" s="47" t="str">
        <x:v>Scaling factor</x:v>
      </x:c>
      <x:c r="B6" s="52" t="n">
        <x:f>B5/B4</x:f>
        <x:v>1.0145942133386263</x:v>
      </x:c>
      <x:c r="C6" s="52" t="str">
        <x:v>x</x:v>
      </x:c>
      <x:c r="D6" s="52" t="str">
        <x:v>Formula</x:v>
      </x:c>
      <x:c r="E6" s="52"/>
      <x:c r="F6" s="52"/>
      <x:c r="G6" s="52"/>
      <x:c r="H6" s="47"/>
    </x:row>
    <x:row r="7">
      <x:c r="A7" s="47" t="str">
        <x:v>Scaled total</x:v>
      </x:c>
      <x:c r="B7" s="52" t="n">
        <x:f>B4*B6</x:f>
        <x:v>55</x:v>
      </x:c>
      <x:c r="C7" s="52" t="str">
        <x:v>GW NET</x:v>
      </x:c>
      <x:c r="D7" s="52" t="str">
        <x:v>Formula</x:v>
      </x:c>
      <x:c r="E7" s="52"/>
      <x:c r="F7" s="52"/>
      <x:c r="G7" s="52"/>
      <x:c r="H7" s="47"/>
    </x:row>
    <x:row r="8">
      <x:c r="A8" s="47"/>
      <x:c r="B8" s="52"/>
      <x:c r="C8" s="52"/>
      <x:c r="D8" s="52"/>
      <x:c r="E8" s="52"/>
      <x:c r="F8" s="52"/>
      <x:c r="G8" s="52"/>
      <x:c r="H8" s="47"/>
    </x:row>
    <x:row r="9">
      <x:c r="A9" s="47"/>
      <x:c r="B9" s="52"/>
      <x:c r="C9" s="52"/>
      <x:c r="D9" s="52"/>
      <x:c r="E9" s="52"/>
      <x:c r="F9" s="52"/>
      <x:c r="G9" s="52"/>
      <x:c r="H9" s="47"/>
    </x:row>
    <x:row r="10">
      <x:c r="A10" s="47" t="str">
        <x:v>2050 technology</x:v>
      </x:c>
      <x:c r="B10" s="52" t="str">
        <x:v>PNIEC TWh</x:v>
      </x:c>
      <x:c r="C10" s="52" t="str">
        <x:v>Initial CF</x:v>
      </x:c>
      <x:c r="D10" s="52" t="str">
        <x:v>Raw GW</x:v>
      </x:c>
      <x:c r="E10" s="52" t="str">
        <x:v>Raw weight</x:v>
      </x:c>
      <x:c r="F10" s="52" t="str">
        <x:v>Normalization envelope GW</x:v>
      </x:c>
      <x:c r="G10" s="52" t="str">
        <x:v>Final GW</x:v>
      </x:c>
      <x:c r="H10" s="47" t="str">
        <x:v>Role</x:v>
      </x:c>
    </x:row>
    <x:row r="11">
      <x:c r="A11" s="47" t="str">
        <x:v>BIOENERGY</x:v>
      </x:c>
      <x:c r="B11" s="52" t="n">
        <x:v>10.6</x:v>
      </x:c>
      <x:c r="C11" s="52" t="n">
        <x:v>0.47</x:v>
      </x:c>
      <x:c r="D11" s="52" t="n">
        <x:v>2.5745652385116102</x:v>
      </x:c>
      <x:c r="E11" s="52" t="n">
        <x:v>0.3426539518344917</x:v>
      </x:c>
      <x:c r="F11" s="52" t="n">
        <x:v>21.22821</x:v>
      </x:c>
      <x:c r="G11" s="52" t="n">
        <x:v>7.273930046872475</x:v>
      </x:c>
      <x:c r="H11" s="47" t="str">
        <x:v>Weight normalized to envelope</x:v>
      </x:c>
    </x:row>
    <x:row r="12">
      <x:c r="A12" s="47" t="str">
        <x:v>BIOENERGY_CCS</x:v>
      </x:c>
      <x:c r="B12" s="52" t="n">
        <x:v>6</x:v>
      </x:c>
      <x:c r="C12" s="52" t="n">
        <x:v>0.47</x:v>
      </x:c>
      <x:c r="D12" s="52" t="n">
        <x:v>1.4573010784027982</x:v>
      </x:c>
      <x:c r="E12" s="52" t="n">
        <x:v>0.1939550670761274</x:v>
      </x:c>
      <x:c r="F12" s="52" t="n">
        <x:v>21.22821</x:v>
      </x:c>
      <x:c r="G12" s="52" t="n">
        <x:v>4.117318894456118</x:v>
      </x:c>
      <x:c r="H12" s="47" t="str">
        <x:v>Weight normalized to envelope</x:v>
      </x:c>
    </x:row>
    <x:row r="13">
      <x:c r="A13" s="47" t="str">
        <x:v>GAS_CCS</x:v>
      </x:c>
      <x:c r="B13" s="52" t="n">
        <x:v>4</x:v>
      </x:c>
      <x:c r="C13" s="52" t="n">
        <x:v>0.2</x:v>
      </x:c>
      <x:c r="D13" s="52" t="n">
        <x:v>2.2831050228310503</x:v>
      </x:c>
      <x:c r="E13" s="52" t="n">
        <x:v>0.3038629384192662</x:v>
      </x:c>
      <x:c r="F13" s="52" t="n">
        <x:v>21.22821</x:v>
      </x:c>
      <x:c r="G13" s="52" t="n">
        <x:v>6.450466267981251</x:v>
      </x:c>
      <x:c r="H13" s="47" t="str">
        <x:v>Weight normalized to envelope</x:v>
      </x:c>
    </x:row>
    <x:row r="14">
      <x:c r="A14" s="47" t="str">
        <x:v>GAS_OTHER_FOSSIL</x:v>
      </x:c>
      <x:c r="B14" s="52" t="n">
        <x:v>2.1</x:v>
      </x:c>
      <x:c r="C14" s="52" t="n">
        <x:v>0.2</x:v>
      </x:c>
      <x:c r="D14" s="52" t="n">
        <x:v>1.1986301369863015</x:v>
      </x:c>
      <x:c r="E14" s="52" t="n">
        <x:v>0.15952804267011478</x:v>
      </x:c>
      <x:c r="F14" s="52" t="n">
        <x:v>21.22821</x:v>
      </x:c>
      <x:c r="G14" s="52" t="n">
        <x:v>3.3864947906901572</x:v>
      </x:c>
      <x:c r="H14" s="47" t="str">
        <x:v>Weight normalized to envelope</x:v>
      </x:c>
    </x:row>
    <x:row r="15">
      <x:c r="A15" s="47" t="str">
        <x:v>GEOTHERMAL</x:v>
      </x:c>
      <x:c r="B15" s="52" t="str"/>
      <x:c r="C15" s="52" t="str"/>
      <x:c r="D15" s="52" t="str"/>
      <x:c r="E15" s="52" t="str"/>
      <x:c r="F15" s="52" t="n">
        <x:v>30</x:v>
      </x:c>
      <x:c r="G15" s="52" t="n">
        <x:v>0.77179</x:v>
      </x:c>
      <x:c r="H15" s="47" t="str">
        <x:v>Inside 30-GW control</x:v>
      </x:c>
    </x:row>
    <x:row r="16">
      <x:c r="A16" s="47" t="str">
        <x:v>NUCLEAR</x:v>
      </x:c>
      <x:c r="B16" s="52" t="n">
        <x:v>64.2</x:v>
      </x:c>
      <x:c r="C16" s="52" t="str">
        <x:v>Direct capacity</x:v>
      </x:c>
      <x:c r="D16" s="52" t="n">
        <x:v>8</x:v>
      </x:c>
      <x:c r="E16" s="52" t="str"/>
      <x:c r="F16" s="52" t="n">
        <x:v>30</x:v>
      </x:c>
      <x:c r="G16" s="52" t="n">
        <x:v>8</x:v>
      </x:c>
      <x:c r="H16" s="47" t="str">
        <x:v>Direct 8-GW capacity</x:v>
      </x:c>
    </x:row>
    <x:row r="17">
      <x:c r="A17" s="48" t="str">
        <x:v>PROGRAMMABLE TOTAL</x:v>
      </x:c>
      <x:c r="B17" s="53" t="str"/>
      <x:c r="C17" s="53" t="str"/>
      <x:c r="D17" s="53" t="str"/>
      <x:c r="E17" s="53" t="str"/>
      <x:c r="F17" s="53" t="n">
        <x:v>30</x:v>
      </x:c>
      <x:c r="G17" s="53" t="n">
        <x:f>SUM(G11:G16)</x:f>
        <x:v>30</x:v>
      </x:c>
      <x:c r="H17" s="48" t="str">
        <x:v>Formula</x:v>
      </x:c>
    </x:row>
    <x:row r="18">
      <x:c r="B18" s="54"/>
      <x:c r="C18" s="54"/>
      <x:c r="D18" s="54"/>
      <x:c r="E18" s="54"/>
      <x:c r="F18" s="54"/>
      <x:c r="G18" s="54"/>
    </x:row>
    <x:row r="19">
      <x:c r="B19" s="54"/>
      <x:c r="C19" s="54"/>
      <x:c r="D19" s="54"/>
      <x:c r="E19" s="54"/>
      <x:c r="F19" s="54"/>
      <x:c r="G19" s="54"/>
    </x:row>
    <x:row r="20">
      <x:c r="B20" s="54"/>
      <x:c r="C20" s="54"/>
      <x:c r="D20" s="54"/>
      <x:c r="E20" s="54"/>
      <x:c r="F20" s="54"/>
      <x:c r="G20" s="54"/>
    </x:row>
    <x:row r="21">
      <x:c r="B21" s="54"/>
      <x:c r="C21" s="54"/>
      <x:c r="D21" s="54"/>
      <x:c r="E21" s="54"/>
      <x:c r="F21" s="54"/>
      <x:c r="G21" s="54"/>
    </x:row>
    <x:row r="22">
      <x:c r="B22" s="54"/>
      <x:c r="C22" s="54"/>
      <x:c r="D22" s="54"/>
      <x:c r="E22" s="54"/>
      <x:c r="F22" s="54"/>
      <x:c r="G22" s="54"/>
    </x:row>
    <x:row r="23">
      <x:c r="B23" s="54"/>
      <x:c r="C23" s="54"/>
      <x:c r="D23" s="54"/>
      <x:c r="E23" s="54"/>
      <x:c r="F23" s="54"/>
      <x:c r="G23" s="54"/>
    </x:row>
    <x:row r="24">
      <x:c r="B24" s="54"/>
      <x:c r="C24" s="54"/>
      <x:c r="D24" s="54"/>
      <x:c r="E24" s="54"/>
      <x:c r="F24" s="54"/>
      <x:c r="G24" s="54"/>
    </x:row>
    <x:row r="25">
      <x:c r="B25" s="54"/>
      <x:c r="C25" s="54"/>
      <x:c r="D25" s="54"/>
      <x:c r="E25" s="54"/>
      <x:c r="F25" s="54"/>
      <x:c r="G25" s="54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" t="str">
        <x:v>Slow capacity adjustment — source-correct Terna CDP mapping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t="str">
        <x:v>Figure 55: PV 32/180, wind 17/66, electrochemical storage 29/36. Figure 56: illustrative 15% rating implies 0.85 availability.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46" t="str">
        <x:v>Year</x:v>
      </x:c>
      <x:c r="B4" s="46" t="str">
        <x:v>Resource</x:v>
      </x:c>
      <x:c r="C4" s="46" t="str">
        <x:v>Base GW</x:v>
      </x:c>
      <x:c r="D4" s="46" t="str">
        <x:v>Slow GW</x:v>
      </x:c>
      <x:c r="E4" s="46" t="str">
        <x:v>Loss GW</x:v>
      </x:c>
      <x:c r="F4" s="46" t="str">
        <x:v>CDP numerator</x:v>
      </x:c>
      <x:c r="G4" s="46" t="str">
        <x:v>Installed denominator</x:v>
      </x:c>
      <x:c r="H4" s="46" t="str">
        <x:v>CDP ratio</x:v>
      </x:c>
      <x:c r="I4" s="46" t="str">
        <x:v>Lost CDP GW</x:v>
      </x:c>
      <x:c r="J4" s="46" t="str">
        <x:v>Status</x:v>
      </x:c>
    </x:row>
    <x:row r="5">
      <x:c r="A5" s="47" t="n">
        <x:v>2040</x:v>
      </x:c>
      <x:c r="B5" s="47" t="str">
        <x:v>PV</x:v>
      </x:c>
      <x:c r="C5" s="52" t="n">
        <x:v>120.9</x:v>
      </x:c>
      <x:c r="D5" s="52" t="n">
        <x:v>96.72000000000001</x:v>
      </x:c>
      <x:c r="E5" s="52" t="n">
        <x:v>24.180000000000003</x:v>
      </x:c>
      <x:c r="F5" s="52" t="n">
        <x:v>32</x:v>
      </x:c>
      <x:c r="G5" s="52" t="n">
        <x:v>180</x:v>
      </x:c>
      <x:c r="H5" s="52" t="n">
        <x:f>F5/G5</x:f>
        <x:v>0.17777777777777778</x:v>
      </x:c>
      <x:c r="I5" s="52" t="n">
        <x:f>E5*H5</x:f>
        <x:v>4.2986666666666675</x:v>
      </x:c>
      <x:c r="J5" s="47" t="str">
        <x:v>ACTIVE</x:v>
      </x:c>
    </x:row>
    <x:row r="6">
      <x:c r="A6" s="47" t="n">
        <x:v>2040</x:v>
      </x:c>
      <x:c r="B6" s="47" t="str">
        <x:v>WIND</x:v>
      </x:c>
      <x:c r="C6" s="52" t="n">
        <x:v>49.3</x:v>
      </x:c>
      <x:c r="D6" s="52" t="n">
        <x:v>39.44</x:v>
      </x:c>
      <x:c r="E6" s="52" t="n">
        <x:v>9.86</x:v>
      </x:c>
      <x:c r="F6" s="52" t="n">
        <x:v>17</x:v>
      </x:c>
      <x:c r="G6" s="52" t="n">
        <x:v>66</x:v>
      </x:c>
      <x:c r="H6" s="52" t="n">
        <x:f>F6/G6</x:f>
        <x:v>0.25757575757575757</x:v>
      </x:c>
      <x:c r="I6" s="52" t="n">
        <x:f>E6*H6</x:f>
        <x:v>2.5396969696969696</x:v>
      </x:c>
      <x:c r="J6" s="47" t="str">
        <x:v>ACTIVE</x:v>
      </x:c>
    </x:row>
    <x:row r="7">
      <x:c r="A7" s="47" t="n">
        <x:v>2040</x:v>
      </x:c>
      <x:c r="B7" s="47" t="str">
        <x:v>BESS</x:v>
      </x:c>
      <x:c r="C7" s="52" t="n">
        <x:v>27.266666666666666</x:v>
      </x:c>
      <x:c r="D7" s="52" t="n">
        <x:v>21.813333333333333</x:v>
      </x:c>
      <x:c r="E7" s="52" t="n">
        <x:v>5.453333333333333</x:v>
      </x:c>
      <x:c r="F7" s="52" t="n">
        <x:v>29</x:v>
      </x:c>
      <x:c r="G7" s="52" t="n">
        <x:v>36</x:v>
      </x:c>
      <x:c r="H7" s="52" t="n">
        <x:f>F7/G7</x:f>
        <x:v>0.8055555555555556</x:v>
      </x:c>
      <x:c r="I7" s="52" t="n">
        <x:f>E7*H7</x:f>
        <x:v>4.3929629629629625</x:v>
      </x:c>
      <x:c r="J7" s="47" t="str">
        <x:v>ACTIVE</x:v>
      </x:c>
    </x:row>
    <x:row r="8">
      <x:c r="A8" s="47" t="n">
        <x:v>2040</x:v>
      </x:c>
      <x:c r="B8" s="47" t="str">
        <x:v>TOTAL LOST CDP</x:v>
      </x:c>
      <x:c r="C8" s="52" t="str"/>
      <x:c r="D8" s="52" t="str"/>
      <x:c r="E8" s="52" t="str"/>
      <x:c r="F8" s="52" t="str"/>
      <x:c r="G8" s="52" t="str"/>
      <x:c r="H8" s="52" t="str"/>
      <x:c r="I8" s="52" t="n">
        <x:f>SUM(I5:I7)</x:f>
        <x:v>11.2313265993266</x:v>
      </x:c>
      <x:c r="J8" s="47" t="str">
        <x:v>CONTROLLING</x:v>
      </x:c>
    </x:row>
    <x:row r="9">
      <x:c r="A9" s="47" t="n">
        <x:v>2040</x:v>
      </x:c>
      <x:c r="B9" s="47" t="str">
        <x:v>ADDITIONAL DISPATCHABLE</x:v>
      </x:c>
      <x:c r="C9" s="52" t="str"/>
      <x:c r="D9" s="52" t="str"/>
      <x:c r="E9" s="52" t="str"/>
      <x:c r="F9" s="52" t="str"/>
      <x:c r="G9" s="52" t="str"/>
      <x:c r="H9" s="52" t="n">
        <x:v>0.85</x:v>
      </x:c>
      <x:c r="I9" s="52" t="n">
        <x:f>I8/H9</x:f>
        <x:v>13.213325410972471</x:v>
      </x:c>
      <x:c r="J9" s="47" t="str">
        <x:v>CONTROLLING</x:v>
      </x:c>
    </x:row>
    <x:row r="10">
      <x:c r="A10" s="47"/>
      <x:c r="B10" s="47"/>
      <x:c r="C10" s="52"/>
      <x:c r="D10" s="52"/>
      <x:c r="E10" s="52"/>
      <x:c r="F10" s="52"/>
      <x:c r="G10" s="52"/>
      <x:c r="H10" s="52"/>
      <x:c r="I10" s="52"/>
      <x:c r="J10" s="47"/>
    </x:row>
    <x:row r="11">
      <x:c r="A11" s="47" t="n">
        <x:v>2050</x:v>
      </x:c>
      <x:c r="B11" s="47" t="str">
        <x:v>PV</x:v>
      </x:c>
      <x:c r="C11" s="52" t="n">
        <x:v>245</x:v>
      </x:c>
      <x:c r="D11" s="52" t="n">
        <x:v>196</x:v>
      </x:c>
      <x:c r="E11" s="52" t="n">
        <x:v>49</x:v>
      </x:c>
      <x:c r="F11" s="52" t="n">
        <x:v>32</x:v>
      </x:c>
      <x:c r="G11" s="52" t="n">
        <x:v>180</x:v>
      </x:c>
      <x:c r="H11" s="52" t="n">
        <x:f>F11/G11</x:f>
        <x:v>0.17777777777777778</x:v>
      </x:c>
      <x:c r="I11" s="52" t="n">
        <x:f>E11*H11</x:f>
        <x:v>8.711111111111112</x:v>
      </x:c>
      <x:c r="J11" s="47" t="str">
        <x:v>ACTIVE</x:v>
      </x:c>
    </x:row>
    <x:row r="12">
      <x:c r="A12" s="47" t="n">
        <x:v>2050</x:v>
      </x:c>
      <x:c r="B12" s="47" t="str">
        <x:v>WIND</x:v>
      </x:c>
      <x:c r="C12" s="52" t="n">
        <x:v>50.99999999999999</x:v>
      </x:c>
      <x:c r="D12" s="52" t="n">
        <x:v>40.8</x:v>
      </x:c>
      <x:c r="E12" s="52" t="n">
        <x:v>10.2</x:v>
      </x:c>
      <x:c r="F12" s="52" t="n">
        <x:v>17</x:v>
      </x:c>
      <x:c r="G12" s="52" t="n">
        <x:v>66</x:v>
      </x:c>
      <x:c r="H12" s="52" t="n">
        <x:f>F12/G12</x:f>
        <x:v>0.25757575757575757</x:v>
      </x:c>
      <x:c r="I12" s="52" t="n">
        <x:f>E12*H12</x:f>
        <x:v>2.627272727272727</x:v>
      </x:c>
      <x:c r="J12" s="47" t="str">
        <x:v>ACTIVE</x:v>
      </x:c>
    </x:row>
    <x:row r="13">
      <x:c r="A13" s="47" t="n">
        <x:v>2050</x:v>
      </x:c>
      <x:c r="B13" s="47" t="str">
        <x:v>BESS</x:v>
      </x:c>
      <x:c r="C13" s="52" t="n">
        <x:v>43.65306122448979</x:v>
      </x:c>
      <x:c r="D13" s="52" t="n">
        <x:v>34.922448979591834</x:v>
      </x:c>
      <x:c r="E13" s="52" t="n">
        <x:v>8.730612244897959</x:v>
      </x:c>
      <x:c r="F13" s="52" t="n">
        <x:v>29</x:v>
      </x:c>
      <x:c r="G13" s="52" t="n">
        <x:v>36</x:v>
      </x:c>
      <x:c r="H13" s="52" t="n">
        <x:f>F13/G13</x:f>
        <x:v>0.8055555555555556</x:v>
      </x:c>
      <x:c r="I13" s="52" t="n">
        <x:f>E13*H13</x:f>
        <x:v>7.032993197278912</x:v>
      </x:c>
      <x:c r="J13" s="47" t="str">
        <x:v>ACTIVE</x:v>
      </x:c>
    </x:row>
    <x:row r="14">
      <x:c r="A14" s="47" t="n">
        <x:v>2050</x:v>
      </x:c>
      <x:c r="B14" s="47" t="str">
        <x:v>TOTAL LOST CDP</x:v>
      </x:c>
      <x:c r="C14" s="52" t="str"/>
      <x:c r="D14" s="52" t="str"/>
      <x:c r="E14" s="52" t="str"/>
      <x:c r="F14" s="52" t="str"/>
      <x:c r="G14" s="52" t="str"/>
      <x:c r="H14" s="52" t="str"/>
      <x:c r="I14" s="52" t="n">
        <x:f>SUM(I11:I13)</x:f>
        <x:v>18.37137703566275</x:v>
      </x:c>
      <x:c r="J14" s="47" t="str">
        <x:v>CONTROLLING</x:v>
      </x:c>
    </x:row>
    <x:row r="15">
      <x:c r="A15" s="47" t="n">
        <x:v>2050</x:v>
      </x:c>
      <x:c r="B15" s="47" t="str">
        <x:v>ADDITIONAL DISPATCHABLE</x:v>
      </x:c>
      <x:c r="C15" s="52" t="str"/>
      <x:c r="D15" s="52" t="str"/>
      <x:c r="E15" s="52" t="str"/>
      <x:c r="F15" s="52" t="str"/>
      <x:c r="G15" s="52" t="str"/>
      <x:c r="H15" s="52" t="n">
        <x:v>0.85</x:v>
      </x:c>
      <x:c r="I15" s="52" t="n">
        <x:f>I14/H15</x:f>
        <x:v>21.61338474783853</x:v>
      </x:c>
      <x:c r="J15" s="47" t="str">
        <x:v>CONTROLLING</x:v>
      </x:c>
    </x:row>
    <x:row r="16">
      <x:c r="A16" s="47"/>
      <x:c r="B16" s="47"/>
      <x:c r="C16" s="52"/>
      <x:c r="D16" s="52"/>
      <x:c r="E16" s="52"/>
      <x:c r="F16" s="52"/>
      <x:c r="G16" s="52"/>
      <x:c r="H16" s="52"/>
      <x:c r="I16" s="52"/>
      <x:c r="J16" s="47"/>
    </x:row>
    <x:row r="17">
      <x:c r="A17" s="57" t="n">
        <x:v>2050</x:v>
      </x:c>
      <x:c r="B17" s="57" t="str">
        <x:v>LEGACY WIND</x:v>
      </x:c>
      <x:c r="C17" s="58" t="n">
        <x:v>51</x:v>
      </x:c>
      <x:c r="D17" s="58" t="n">
        <x:v>40.8</x:v>
      </x:c>
      <x:c r="E17" s="58" t="n">
        <x:v>10.2</x:v>
      </x:c>
      <x:c r="F17" s="58" t="n">
        <x:v>29</x:v>
      </x:c>
      <x:c r="G17" s="58" t="n">
        <x:v>66</x:v>
      </x:c>
      <x:c r="H17" s="58" t="n">
        <x:v>0.4393939393939394</x:v>
      </x:c>
      <x:c r="I17" s="58" t="n">
        <x:v>4.4818181818181815</x:v>
      </x:c>
      <x:c r="J17" s="57" t="str">
        <x:v>SUPERSEDED</x:v>
      </x:c>
    </x:row>
    <x:row r="18">
      <x:c r="A18" s="57" t="n">
        <x:v>2050</x:v>
      </x:c>
      <x:c r="B18" s="57" t="str">
        <x:v>LEGACY BESS</x:v>
      </x:c>
      <x:c r="C18" s="58" t="n">
        <x:v>43.65306122448979</x:v>
      </x:c>
      <x:c r="D18" s="58" t="n">
        <x:v>34.922448979591834</x:v>
      </x:c>
      <x:c r="E18" s="58" t="n">
        <x:v>8.730612244897959</x:v>
      </x:c>
      <x:c r="F18" s="58" t="n">
        <x:v>12</x:v>
      </x:c>
      <x:c r="G18" s="58" t="n">
        <x:v>36</x:v>
      </x:c>
      <x:c r="H18" s="58" t="n">
        <x:v>0.3333333333333333</x:v>
      </x:c>
      <x:c r="I18" s="58" t="n">
        <x:v>2.910204081632653</x:v>
      </x:c>
      <x:c r="J18" s="57" t="str">
        <x:v>SUPERSEDED</x:v>
      </x:c>
    </x:row>
    <x:row r="19">
      <x:c r="A19" s="57" t="n">
        <x:v>2050</x:v>
      </x:c>
      <x:c r="B19" s="57" t="str">
        <x:v>LEGACY ADDITIONAL</x:v>
      </x:c>
      <x:c r="C19" s="58" t="str"/>
      <x:c r="D19" s="58" t="str"/>
      <x:c r="E19" s="58" t="str"/>
      <x:c r="F19" s="58" t="str"/>
      <x:c r="G19" s="58" t="str"/>
      <x:c r="H19" s="58" t="n">
        <x:v>0.85</x:v>
      </x:c>
      <x:c r="I19" s="58" t="n">
        <x:v>18.94486279360229</x:v>
      </x:c>
      <x:c r="J19" s="57" t="str">
        <x:v>SUPERSEDED 18.9449-GW LINEAGE</x:v>
      </x:c>
    </x:row>
    <x:row r="20">
      <x:c r="A20" s="48"/>
      <x:c r="B20" s="48"/>
      <x:c r="C20" s="53"/>
      <x:c r="D20" s="53"/>
      <x:c r="E20" s="53"/>
      <x:c r="F20" s="53"/>
      <x:c r="G20" s="53"/>
      <x:c r="H20" s="53"/>
      <x:c r="I20" s="53"/>
      <x:c r="J20" s="48"/>
    </x:row>
    <x:row r="21">
      <x:c r="C21" s="54"/>
      <x:c r="D21" s="54"/>
      <x:c r="E21" s="54"/>
      <x:c r="F21" s="54"/>
      <x:c r="G21" s="54"/>
      <x:c r="H21" s="54"/>
      <x:c r="I21" s="54"/>
    </x:row>
    <x:row r="22">
      <x:c r="C22" s="54"/>
      <x:c r="D22" s="54"/>
      <x:c r="E22" s="54"/>
      <x:c r="F22" s="54"/>
      <x:c r="G22" s="54"/>
      <x:c r="H22" s="54"/>
      <x:c r="I22" s="54"/>
    </x:row>
    <x:row r="23">
      <x:c r="C23" s="54"/>
      <x:c r="D23" s="54"/>
      <x:c r="E23" s="54"/>
      <x:c r="F23" s="54"/>
      <x:c r="G23" s="54"/>
      <x:c r="H23" s="54"/>
      <x:c r="I23" s="54"/>
    </x:row>
    <x:row r="24">
      <x:c r="C24" s="54"/>
      <x:c r="D24" s="54"/>
      <x:c r="E24" s="54"/>
      <x:c r="F24" s="54"/>
      <x:c r="G24" s="54"/>
      <x:c r="H24" s="54"/>
      <x:c r="I24" s="54"/>
    </x:row>
    <x:row r="25">
      <x:c r="C25" s="54"/>
      <x:c r="D25" s="54"/>
      <x:c r="E25" s="54"/>
      <x:c r="F25" s="54"/>
      <x:c r="G25" s="54"/>
      <x:c r="H25" s="54"/>
      <x:c r="I25" s="54"/>
    </x:row>
    <x:row r="26">
      <x:c r="C26" s="54"/>
      <x:c r="D26" s="54"/>
      <x:c r="E26" s="54"/>
      <x:c r="F26" s="54"/>
      <x:c r="G26" s="54"/>
      <x:c r="H26" s="54"/>
      <x:c r="I26" s="54"/>
    </x:row>
    <x:row r="27">
      <x:c r="C27" s="54"/>
      <x:c r="D27" s="54"/>
      <x:c r="E27" s="54"/>
      <x:c r="F27" s="54"/>
      <x:c r="G27" s="54"/>
      <x:c r="H27" s="54"/>
      <x:c r="I27" s="54"/>
    </x:row>
    <x:row r="28">
      <x:c r="C28" s="54"/>
      <x:c r="D28" s="54"/>
      <x:c r="E28" s="54"/>
      <x:c r="F28" s="54"/>
      <x:c r="G28" s="54"/>
      <x:c r="H28" s="54"/>
      <x:c r="I28" s="54"/>
    </x:row>
    <x:row r="29">
      <x:c r="C29" s="54"/>
      <x:c r="D29" s="54"/>
      <x:c r="E29" s="54"/>
      <x:c r="F29" s="54"/>
      <x:c r="G29" s="54"/>
      <x:c r="H29" s="54"/>
      <x:c r="I29" s="54"/>
    </x:row>
    <x:row r="30">
      <x:c r="C30" s="54"/>
      <x:c r="D30" s="54"/>
      <x:c r="E30" s="54"/>
      <x:c r="F30" s="54"/>
      <x:c r="G30" s="54"/>
      <x:c r="H30" s="54"/>
      <x:c r="I30" s="54"/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" t="str">
        <x:v>Scenario reconciliation and double-counting guardrails</x:v>
      </x:c>
      <x:c r="B1" s="3"/>
      <x:c r="C1" s="3"/>
      <x:c r="D1" s="3"/>
      <x:c r="E1" s="3"/>
      <x:c r="F1" s="3"/>
      <x:c r="G1" s="3"/>
      <x:c r="H1" s="3"/>
    </x:row>
    <x:row r="3">
      <x:c r="A3" s="12" t="str">
        <x:v>Scenario</x:v>
      </x:c>
      <x:c r="B3" s="12" t="str">
        <x:v>Thermal / programmable GW</x:v>
      </x:c>
      <x:c r="C3" s="12" t="str">
        <x:v>Target GW</x:v>
      </x:c>
      <x:c r="D3" s="12" t="str">
        <x:v>Difference GW</x:v>
      </x:c>
      <x:c r="E3" s="12" t="str">
        <x:v>Hydro GW</x:v>
      </x:c>
      <x:c r="F3" s="12" t="str">
        <x:v>Nuclear GW</x:v>
      </x:c>
      <x:c r="G3" s="12" t="str">
        <x:v>CDP increment GW</x:v>
      </x:c>
      <x:c r="H3" s="12" t="str">
        <x:v>Status</x:v>
      </x:c>
    </x:row>
    <x:row r="4">
      <x:c r="A4" s="46" t="str">
        <x:v>2040 Slow</x:v>
      </x:c>
      <x:c r="B4" s="51" t="n">
        <x:f>'2040 Slow'!J27</x:f>
        <x:v>68.21332541096999</x:v>
      </x:c>
      <x:c r="C4" s="51" t="n">
        <x:v>68.21332541097246</x:v>
      </x:c>
      <x:c r="D4" s="51" t="n">
        <x:f>B4-C4</x:f>
        <x:v>-2.4726887204451486e-12</x:v>
      </x:c>
      <x:c r="E4" s="51" t="n">
        <x:f>'2040 Slow'!J16</x:f>
        <x:v>23.294000000002</x:v>
      </x:c>
      <x:c r="F4" s="51" t="n">
        <x:v>0</x:v>
      </x:c>
      <x:c r="G4" s="51" t="n">
        <x:v>13.213325410972466</x:v>
      </x:c>
      <x:c r="H4" s="46" t="str">
        <x:f>IF(ABS(D4)&lt;0.0001,"PASS","FAIL")</x:f>
        <x:v>PASS</x:v>
      </x:c>
    </x:row>
    <x:row r="5">
      <x:c r="A5" s="47" t="str">
        <x:v>2040 Base</x:v>
      </x:c>
      <x:c r="B5" s="52" t="n">
        <x:f>'2040 Base'!J27</x:f>
        <x:v>55.00000000000401</x:v>
      </x:c>
      <x:c r="C5" s="52" t="n">
        <x:v>55</x:v>
      </x:c>
      <x:c r="D5" s="52" t="n">
        <x:f>B5-C5</x:f>
        <x:v>4.007461029686965e-12</x:v>
      </x:c>
      <x:c r="E5" s="52" t="n">
        <x:f>'2040 Base'!J16</x:f>
        <x:v>23.294000000002</x:v>
      </x:c>
      <x:c r="F5" s="52" t="n">
        <x:v>0</x:v>
      </x:c>
      <x:c r="G5" s="52" t="n">
        <x:v>0</x:v>
      </x:c>
      <x:c r="H5" s="47" t="str">
        <x:f>IF(ABS(D5)&lt;0.0001,"PASS","FAIL")</x:f>
        <x:v>PASS</x:v>
      </x:c>
    </x:row>
    <x:row r="6">
      <x:c r="A6" s="47" t="str">
        <x:v>2040 High</x:v>
      </x:c>
      <x:c r="B6" s="52" t="n">
        <x:f>'2040 High'!J27</x:f>
        <x:v>55.00000000000401</x:v>
      </x:c>
      <x:c r="C6" s="52" t="n">
        <x:v>55</x:v>
      </x:c>
      <x:c r="D6" s="52" t="n">
        <x:f>B6-C6</x:f>
        <x:v>4.007461029686965e-12</x:v>
      </x:c>
      <x:c r="E6" s="52" t="n">
        <x:f>'2040 High'!J16</x:f>
        <x:v>23.294000000002</x:v>
      </x:c>
      <x:c r="F6" s="52" t="n">
        <x:v>0</x:v>
      </x:c>
      <x:c r="G6" s="52" t="n">
        <x:v>0</x:v>
      </x:c>
      <x:c r="H6" s="47" t="str">
        <x:f>IF(ABS(D6)&lt;0.0001,"PASS","FAIL")</x:f>
        <x:v>PASS</x:v>
      </x:c>
    </x:row>
    <x:row r="7">
      <x:c r="A7" s="47" t="str">
        <x:v>2050 Slow</x:v>
      </x:c>
      <x:c r="B7" s="52" t="n">
        <x:f>'2050 Slow'!J27</x:f>
        <x:v>51.613384747844</x:v>
      </x:c>
      <x:c r="C7" s="52" t="n">
        <x:v>51.61338474783852</x:v>
      </x:c>
      <x:c r="D7" s="52" t="n">
        <x:f>B7-C7</x:f>
        <x:v>5.4782844927103724e-12</x:v>
      </x:c>
      <x:c r="E7" s="52" t="n">
        <x:f>'2050 Slow'!J16</x:f>
        <x:v>23.294000000002</x:v>
      </x:c>
      <x:c r="F7" s="52" t="n">
        <x:f>'2050 Slow'!J26</x:f>
        <x:v>8</x:v>
      </x:c>
      <x:c r="G7" s="52" t="n">
        <x:v>21.613384747838527</x:v>
      </x:c>
      <x:c r="H7" s="47" t="str">
        <x:f>IF(ABS(D7)&lt;0.0001,"PASS","FAIL")</x:f>
        <x:v>PASS</x:v>
      </x:c>
    </x:row>
    <x:row r="8">
      <x:c r="A8" s="47" t="str">
        <x:v>2050 Base</x:v>
      </x:c>
      <x:c r="B8" s="52" t="n">
        <x:f>'2050 Base'!J27</x:f>
        <x:v>30.000000000003</x:v>
      </x:c>
      <x:c r="C8" s="52" t="n">
        <x:v>30</x:v>
      </x:c>
      <x:c r="D8" s="52" t="n">
        <x:f>B8-C8</x:f>
        <x:v>2.9984903449076228e-12</x:v>
      </x:c>
      <x:c r="E8" s="52" t="n">
        <x:f>'2050 Base'!J16</x:f>
        <x:v>23.294000000002</x:v>
      </x:c>
      <x:c r="F8" s="52" t="n">
        <x:f>'2050 Base'!J26</x:f>
        <x:v>8</x:v>
      </x:c>
      <x:c r="G8" s="52" t="n">
        <x:v>0</x:v>
      </x:c>
      <x:c r="H8" s="47" t="str">
        <x:f>IF(ABS(D8)&lt;0.0001,"PASS","FAIL")</x:f>
        <x:v>PASS</x:v>
      </x:c>
    </x:row>
    <x:row r="9">
      <x:c r="A9" s="47" t="str">
        <x:v>2050 High</x:v>
      </x:c>
      <x:c r="B9" s="52" t="n">
        <x:f>'2050 High'!J27</x:f>
        <x:v>30.000000000003</x:v>
      </x:c>
      <x:c r="C9" s="52" t="n">
        <x:v>30</x:v>
      </x:c>
      <x:c r="D9" s="52" t="n">
        <x:f>B9-C9</x:f>
        <x:v>2.9984903449076228e-12</x:v>
      </x:c>
      <x:c r="E9" s="52" t="n">
        <x:f>'2050 High'!J16</x:f>
        <x:v>23.294000000002</x:v>
      </x:c>
      <x:c r="F9" s="52" t="n">
        <x:f>'2050 High'!J26</x:f>
        <x:v>8</x:v>
      </x:c>
      <x:c r="G9" s="52" t="n">
        <x:v>0</x:v>
      </x:c>
      <x:c r="H9" s="47" t="str">
        <x:f>IF(ABS(D9)&lt;0.0001,"PASS","FAIL")</x:f>
        <x:v>PASS</x:v>
      </x:c>
    </x:row>
    <x:row r="10">
      <x:c r="A10" s="47"/>
      <x:c r="B10" s="52"/>
      <x:c r="C10" s="52"/>
      <x:c r="D10" s="52"/>
      <x:c r="E10" s="52"/>
      <x:c r="F10" s="52"/>
      <x:c r="G10" s="52"/>
      <x:c r="H10" s="47"/>
    </x:row>
    <x:row r="11">
      <x:c r="A11" s="47" t="str">
        <x:v>Guardrails: no coal/oil future carriers; bioenergy source geography is non-additive to the 2040 conversion anchor; pumped-hydro classes sum within the 23.294-GW hydro control; nuclear is separate.</x:v>
      </x:c>
      <x:c r="B11" s="52"/>
      <x:c r="C11" s="52"/>
      <x:c r="D11" s="52"/>
      <x:c r="E11" s="52"/>
      <x:c r="F11" s="52"/>
      <x:c r="G11" s="52"/>
      <x:c r="H11" s="47"/>
    </x:row>
    <x:row r="12">
      <x:c r="A12" s="48"/>
      <x:c r="B12" s="53"/>
      <x:c r="C12" s="53"/>
      <x:c r="D12" s="53"/>
      <x:c r="E12" s="53"/>
      <x:c r="F12" s="53"/>
      <x:c r="G12" s="53"/>
      <x:c r="H12" s="48"/>
    </x:row>
    <x:row r="13">
      <x:c r="B13" s="54"/>
      <x:c r="C13" s="54"/>
      <x:c r="D13" s="54"/>
      <x:c r="E13" s="54"/>
      <x:c r="F13" s="54"/>
      <x:c r="G13" s="54"/>
    </x:row>
    <x:row r="14">
      <x:c r="B14" s="54"/>
      <x:c r="C14" s="54"/>
      <x:c r="D14" s="54"/>
      <x:c r="E14" s="54"/>
      <x:c r="F14" s="54"/>
      <x:c r="G14" s="54"/>
    </x:row>
    <x:row r="15">
      <x:c r="B15" s="54"/>
      <x:c r="C15" s="54"/>
      <x:c r="D15" s="54"/>
      <x:c r="E15" s="54"/>
      <x:c r="F15" s="54"/>
      <x:c r="G15" s="54"/>
    </x:row>
  </x:sheetData>
  <x:mergeCells>
    <x:mergeCell ref="A1:H1"/>
    <x:mergeCell ref="A11:H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5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" t="str">
        <x:v>Controlling assumptions and evidence classifications</x:v>
      </x:c>
      <x:c r="B1" s="3"/>
      <x:c r="C1" s="3"/>
      <x:c r="D1" s="3"/>
      <x:c r="E1" s="3"/>
      <x:c r="F1" s="3"/>
    </x:row>
    <x:row r="3">
      <x:c r="A3" s="12" t="str">
        <x:v>Assumption</x:v>
      </x:c>
      <x:c r="B3" s="12" t="str">
        <x:v>Value</x:v>
      </x:c>
      <x:c r="C3" s="12" t="str">
        <x:v>Unit</x:v>
      </x:c>
      <x:c r="D3" s="12" t="str">
        <x:v>Evidence class</x:v>
      </x:c>
      <x:c r="E3" s="12" t="str">
        <x:v>Source</x:v>
      </x:c>
      <x:c r="F3" s="12" t="str">
        <x:v>Guardrail</x:v>
      </x:c>
    </x:row>
    <x:row r="4">
      <x:c r="A4" s="46" t="str">
        <x:v>2040 thermal envelope</x:v>
      </x:c>
      <x:c r="B4" s="46" t="n">
        <x:v>55</x:v>
      </x:c>
      <x:c r="C4" s="46" t="str">
        <x:v>GW NET</x:v>
      </x:c>
      <x:c r="D4" s="46" t="str">
        <x:v>TERNA CAPACITY CONTROL</x:v>
      </x:c>
      <x:c r="E4" s="46" t="str">
        <x:v>Terna/DDS 2040</x:v>
      </x:c>
      <x:c r="F4" s="46" t="str">
        <x:v>Includes applicable thermoelectric categories and geothermal; excludes hydro.</x:v>
      </x:c>
    </x:row>
    <x:row r="5">
      <x:c r="A5" s="47" t="str">
        <x:v>2050 programmable envelope</x:v>
      </x:c>
      <x:c r="B5" s="47" t="n">
        <x:v>30</x:v>
      </x:c>
      <x:c r="C5" s="47" t="str">
        <x:v>GW</x:v>
      </x:c>
      <x:c r="D5" s="47" t="str">
        <x:v>TERNA ADEQUACY BENCHMARK</x:v>
      </x:c>
      <x:c r="E5" s="47" t="str">
        <x:v>Terna Figure 56</x:v>
      </x:c>
      <x:c r="F5" s="47" t="str">
        <x:v>Includes nuclear and adopted non-hydro programmable geothermal treatment.</x:v>
      </x:c>
    </x:row>
    <x:row r="6">
      <x:c r="A6" s="47" t="str">
        <x:v>Nuclear</x:v>
      </x:c>
      <x:c r="B6" s="47" t="n">
        <x:v>8</x:v>
      </x:c>
      <x:c r="C6" s="47" t="str">
        <x:v>GW</x:v>
      </x:c>
      <x:c r="D6" s="47" t="str">
        <x:v>DIRECT SOURCE CAPACITY + PROJECT SITING</x:v>
      </x:c>
      <x:c r="E6" s="47" t="str">
        <x:v>PNIEC/Terna</x:v>
      </x:c>
      <x:c r="F6" s="47" t="str">
        <x:v>5 GW NORD; 3 GW CSUD.</x:v>
      </x:c>
    </x:row>
    <x:row r="7">
      <x:c r="A7" s="47" t="str">
        <x:v>Slow multiplier</x:v>
      </x:c>
      <x:c r="B7" s="47" t="n">
        <x:v>0.8</x:v>
      </x:c>
      <x:c r="C7" s="47" t="str">
        <x:v>x Base</x:v>
      </x:c>
      <x:c r="D7" s="47" t="str">
        <x:v>PROJECT SCENARIO RULE</x:v>
      </x:c>
      <x:c r="E7" s="47" t="str">
        <x:v>Accepted v2.9</x:v>
      </x:c>
      <x:c r="F7" s="47" t="str">
        <x:v>Applies to PV, wind and BESS power.</x:v>
      </x:c>
    </x:row>
    <x:row r="8">
      <x:c r="A8" s="47" t="str">
        <x:v>CDP PV</x:v>
      </x:c>
      <x:c r="B8" s="47" t="n">
        <x:v>0.17777777777777778</x:v>
      </x:c>
      <x:c r="C8" s="47" t="str">
        <x:v>ratio</x:v>
      </x:c>
      <x:c r="D8" s="47" t="str">
        <x:v>DIRECT TERNA FIGURE 55</x:v>
      </x:c>
      <x:c r="E8" s="47" t="str">
        <x:v>Terna 2050 Figure 55</x:v>
      </x:c>
      <x:c r="F8" s="47" t="str">
        <x:v>Controlling.</x:v>
      </x:c>
    </x:row>
    <x:row r="9">
      <x:c r="A9" s="47" t="str">
        <x:v>CDP wind</x:v>
      </x:c>
      <x:c r="B9" s="47" t="n">
        <x:v>0.25757575757575757</x:v>
      </x:c>
      <x:c r="C9" s="47" t="str">
        <x:v>ratio</x:v>
      </x:c>
      <x:c r="D9" s="47" t="str">
        <x:v>DIRECT TERNA FIGURE 55</x:v>
      </x:c>
      <x:c r="E9" s="47" t="str">
        <x:v>Terna 2050 Figure 55</x:v>
      </x:c>
      <x:c r="F9" s="47" t="str">
        <x:v>Controlling; 29/66 superseded.</x:v>
      </x:c>
    </x:row>
    <x:row r="10">
      <x:c r="A10" s="47" t="str">
        <x:v>CDP BESS</x:v>
      </x:c>
      <x:c r="B10" s="47" t="n">
        <x:v>0.8055555555555556</x:v>
      </x:c>
      <x:c r="C10" s="47" t="str">
        <x:v>ratio</x:v>
      </x:c>
      <x:c r="D10" s="47" t="str">
        <x:v>DIRECT TERNA FIGURE 55</x:v>
      </x:c>
      <x:c r="E10" s="47" t="str">
        <x:v>Terna 2050 Figure 55</x:v>
      </x:c>
      <x:c r="F10" s="47" t="str">
        <x:v>Controlling; 12/36 superseded.</x:v>
      </x:c>
    </x:row>
    <x:row r="11">
      <x:c r="A11" s="47" t="str">
        <x:v>Programmable availability</x:v>
      </x:c>
      <x:c r="B11" s="47" t="n">
        <x:v>0.85</x:v>
      </x:c>
      <x:c r="C11" s="47" t="str">
        <x:v>ratio</x:v>
      </x:c>
      <x:c r="D11" s="47" t="str">
        <x:v>TERNA ILLUSTRATIVE RATING ADOPTED BY PROJECT</x:v>
      </x:c>
      <x:c r="E11" s="47" t="str">
        <x:v>Terna 2050 Figure 56</x:v>
      </x:c>
      <x:c r="F11" s="47" t="str">
        <x:v>15% rating/derating implies 85% installed-to-available conversion.</x:v>
      </x:c>
    </x:row>
    <x:row r="12">
      <x:c r="A12" s="47" t="str">
        <x:v>Hydro future capacity</x:v>
      </x:c>
      <x:c r="B12" s="47" t="n">
        <x:v>23.294</x:v>
      </x:c>
      <x:c r="C12" s="47" t="str">
        <x:v>GW NET</x:v>
      </x:c>
      <x:c r="D12" s="47" t="str">
        <x:v>PROJECT SCENARIO ASSUMPTION CONFIRMED BY USER</x:v>
      </x:c>
      <x:c r="E12" s="47" t="str">
        <x:v>Current Terna control</x:v>
      </x:c>
      <x:c r="F12" s="47" t="str">
        <x:v>Identical in all six scenarios; operation remains partial.</x:v>
      </x:c>
    </x:row>
    <x:row r="13">
      <x:c r="A13" s="47" t="str">
        <x:v>Internal commercial Link loss</x:v>
      </x:c>
      <x:c r="B13" s="47" t="n">
        <x:v>1</x:v>
      </x:c>
      <x:c r="C13" s="47" t="str">
        <x:v>efficiency</x:v>
      </x:c>
      <x:c r="D13" s="47" t="str">
        <x:v>ACCOUNTING GUARDRAIL</x:v>
      </x:c>
      <x:c r="E13" s="47" t="str">
        <x:v>DDS demand includes losses</x:v>
      </x:c>
      <x:c r="F13" s="47" t="str">
        <x:v>Do not double-count network losses.</x:v>
      </x:c>
    </x:row>
    <x:row r="14">
      <x:c r="A14" s="47" t="str">
        <x:v>2050 CF use</x:v>
      </x:c>
      <x:c r="B14" s="47" t="str">
        <x:v>WEIGHTS ONLY</x:v>
      </x:c>
      <x:c r="C14" s="47" t="str"/>
      <x:c r="D14" s="47" t="str">
        <x:v>PROJECT DERIVATION</x:v>
      </x:c>
      <x:c r="E14" s="47" t="str">
        <x:v>Approved CF assumptions</x:v>
      </x:c>
      <x:c r="F14" s="47" t="str">
        <x:v>Not realized dispatch constraints.</x:v>
      </x:c>
    </x:row>
    <x:row r="15">
      <x:c r="A15" s="48" t="str">
        <x:v>Workbook promotion</x:v>
      </x:c>
      <x:c r="B15" s="48" t="str">
        <x:v>BLOCKED</x:v>
      </x:c>
      <x:c r="C15" s="48" t="str"/>
      <x:c r="D15" s="48" t="str">
        <x:v>RELEASE GATE</x:v>
      </x:c>
      <x:c r="E15" s="48" t="str">
        <x:v>Accepted v2.9 hash absent</x:v>
      </x:c>
      <x:c r="F15" s="48" t="str">
        <x:v>This standalone workbook does not promote v2.9.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72" hidden="0" customWidth="1"/>
    <x:col min="4" max="4" width="4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" t="str">
        <x:v>Primary and controlling sources</x:v>
      </x:c>
      <x:c r="B1" s="3"/>
      <x:c r="C1" s="3"/>
      <x:c r="D1" s="3"/>
      <x:c r="E1" s="3"/>
    </x:row>
    <x:row r="3">
      <x:c r="A3" s="12" t="str">
        <x:v>Source ID</x:v>
      </x:c>
      <x:c r="B3" s="12" t="str">
        <x:v>Title</x:v>
      </x:c>
      <x:c r="C3" s="12" t="str">
        <x:v>URL</x:v>
      </x:c>
      <x:c r="D3" s="12" t="str">
        <x:v>Use</x:v>
      </x:c>
      <x:c r="E3" s="12" t="str">
        <x:v>Class</x:v>
      </x:c>
    </x:row>
    <x:row r="4">
      <x:c r="A4" s="46" t="str">
        <x:v>TERNA_2024_IMPIANTI_GENERAZIONE_TABLE19</x:v>
      </x:c>
      <x:c r="B4" s="46" t="str">
        <x:v>Terna — Impianti di Generazione 2024</x:v>
      </x:c>
      <x:c r="C4" s="46" t="str">
        <x:v>https://download.terna.it/terna/03_IMPIANTI%20DI%20GENERAZIONE_8dec285ed22347a.pdf</x:v>
      </x:c>
      <x:c r="D4" s="46" t="str">
        <x:v>National NET fuel controls and active/inactive classification</x:v>
      </x:c>
      <x:c r="E4" s="46" t="str">
        <x:v>PRIMARY</x:v>
      </x:c>
    </x:row>
    <x:row r="5">
      <x:c r="A5" s="47" t="str">
        <x:v>TERNA_2050_PERSPECTIVES_FIG55_56</x:v>
      </x:c>
      <x:c r="B5" s="47" t="str">
        <x:v>Terna — Prospettive di Sviluppo del Sistema Energetico 2050</x:v>
      </x:c>
      <x:c r="C5" s="47" t="str">
        <x:v>https://download.terna.it/terna/Terna_Prospettive_Sviluppo_Sistema_Energetico_2050_Copertura_domanda_elettrica_8de15802728e7d1.pdf</x:v>
      </x:c>
      <x:c r="D5" s="47" t="str">
        <x:v>CDP ratios, 15% rating, ~30-GW programmable benchmark</x:v>
      </x:c>
      <x:c r="E5" s="47" t="str">
        <x:v>PRIMARY</x:v>
      </x:c>
    </x:row>
    <x:row r="6">
      <x:c r="A6" s="47" t="str">
        <x:v>ENEL_ESG_FOCUS_MAY2024</x:v>
      </x:c>
      <x:c r="B6" s="47" t="str">
        <x:v>Enel ESG focus for investors, May 2024</x:v>
      </x:c>
      <x:c r="C6" s="47" t="str">
        <x:v>https://www.enel.com/content/dam/enel-com/documenti/investitori/informazioni-finanziarie/2024/esg-focus-for-investors_may2024.pdf</x:v>
      </x:c>
      <x:c r="D6" s="47" t="str">
        <x:v>Coal plant identity and approximate capacity</x:v>
      </x:c>
      <x:c r="E6" s="47" t="str">
        <x:v>OPERATOR</x:v>
      </x:c>
    </x:row>
    <x:row r="7">
      <x:c r="A7" s="47" t="str">
        <x:v>EP_PRODUZIONE_SUSTAINABILITY_2024</x:v>
      </x:c>
      <x:c r="B7" s="47" t="str">
        <x:v>EP Produzione — Sustainability report 2024</x:v>
      </x:c>
      <x:c r="C7" s="47" t="str">
        <x:v>https://epproduzione.com/wp-content/uploads/2025/07/BDS-2024-INT-17.07.2025.pdf</x:v>
      </x:c>
      <x:c r="D7" s="47" t="str">
        <x:v>Fiume Santo 599 MW net and coal units</x:v>
      </x:c>
      <x:c r="E7" s="47" t="str">
        <x:v>OPERATOR</x:v>
      </x:c>
    </x:row>
    <x:row r="8">
      <x:c r="A8" s="47" t="str">
        <x:v>A2A_SAN_FILIPPO_PLANT_PAGE</x:v>
      </x:c>
      <x:c r="B8" s="47" t="str">
        <x:v>A2A — San Filippo del Mela plant</x:v>
      </x:c>
      <x:c r="C8" s="47" t="str">
        <x:v>https://www.gruppoa2a.it/it/chi-siamo/nostri-impianti/termoelettrici/centrale-san-filippo</x:v>
      </x:c>
      <x:c r="D8" s="47" t="str">
        <x:v>Oil fuel, nominal capacity and units</x:v>
      </x:c>
      <x:c r="E8" s="47" t="str">
        <x:v>OPERATOR</x:v>
      </x:c>
    </x:row>
    <x:row r="9">
      <x:c r="A9" s="47" t="str">
        <x:v>ENEL_FUSINA_ENVIRONMENTAL_2025</x:v>
      </x:c>
      <x:c r="B9" s="47" t="str">
        <x:v>Enel — Fusina environmental statement 2025</x:v>
      </x:c>
      <x:c r="C9" s="47" t="str">
        <x:v>https://corporate.enel.it/content/dam/enel-corporate/progetti/documenti/impianti-emas---termoelettrici/fusina/dichiarazione-ambientale-aggiornamento-2025.pdf</x:v>
      </x:c>
      <x:c r="D9" s="47" t="str">
        <x:v>Coal service ended in 2023; prevents false direct 2024 coal attribution</x:v>
      </x:c>
      <x:c r="E9" s="47" t="str">
        <x:v>OPERATOR</x:v>
      </x:c>
    </x:row>
    <x:row r="10">
      <x:c r="A10" s="47" t="str">
        <x:v>TERNA_DOWNLOAD_CENTER_THERMOELECTRIC_CAPACITY_2024</x:v>
      </x:c>
      <x:c r="B10" s="47" t="str">
        <x:v>Terna Download Center capacity export</x:v>
      </x:c>
      <x:c r="C10" s="47" t="str">
        <x:v>https://dati.terna.it/en/download-center</x:v>
      </x:c>
      <x:c r="D10" s="47" t="str">
        <x:v>2024 NET province×conversion matrix</x:v>
      </x:c>
      <x:c r="E10" s="47" t="str">
        <x:v>PRIMARY</x:v>
      </x:c>
    </x:row>
    <x:row r="11">
      <x:c r="A11" s="48" t="str">
        <x:v>MEM_V2_9_SCENARIO_MATRIX</x:v>
      </x:c>
      <x:c r="B11" s="48" t="str">
        <x:v>Accepted v2.9 scenario content; local binary promotion provenance unresolved</x:v>
      </x:c>
      <x:c r="C11" s="48" t="str"/>
      <x:c r="D11" s="48" t="str">
        <x:v>Frozen zonal PV/wind/BESS scenario inputs only</x:v>
      </x:c>
      <x:c r="E11" s="48" t="str">
        <x:v>PROJECT CONTROL</x:v>
      </x:c>
    </x:row>
  </x:sheetData>
  <x:mergeCells>
    <x:mergeCell ref="A1:E1"/>
  </x:mergeCells>
  <x:pageMargins left="0.7" right="0.7" top="0.75" bottom="0.75" header="0.3" footer="0.3"/>
</x:worksheet>
</file>
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ff06467e8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40 Slow" sheetId="1" r:id="Rc46ff31afeb04e14"/>
    <x:sheet xmlns:r="http://schemas.openxmlformats.org/officeDocument/2006/relationships" name="2040 Base" sheetId="2" r:id="R8b15247c15274961"/>
    <x:sheet xmlns:r="http://schemas.openxmlformats.org/officeDocument/2006/relationships" name="2040 High" sheetId="3" r:id="R47fc99f5db1f45fe"/>
    <x:sheet xmlns:r="http://schemas.openxmlformats.org/officeDocument/2006/relationships" name="2050 Slow" sheetId="4" r:id="Rb9e5274d75dc4138"/>
    <x:sheet xmlns:r="http://schemas.openxmlformats.org/officeDocument/2006/relationships" name="2050 Base" sheetId="5" r:id="Rea2493bbb64a4241"/>
    <x:sheet xmlns:r="http://schemas.openxmlformats.org/officeDocument/2006/relationships" name="2050 High" sheetId="6" r:id="R8d5f567a0600457d"/>
    <x:sheet xmlns:r="http://schemas.openxmlformats.org/officeDocument/2006/relationships" name="Allocation Anchors" sheetId="7" r:id="R99b3daa9ddff4a9f"/>
    <x:sheet xmlns:r="http://schemas.openxmlformats.org/officeDocument/2006/relationships" name="National Capacity Logic" sheetId="8" r:id="Rc84f8fcb5f034c1a"/>
    <x:sheet xmlns:r="http://schemas.openxmlformats.org/officeDocument/2006/relationships" name="CDP Slow Adjustment" sheetId="9" r:id="R807689b5967247b9"/>
    <x:sheet xmlns:r="http://schemas.openxmlformats.org/officeDocument/2006/relationships" name="Slow Increment Breakdown" sheetId="10" r:id="R8b7ece96764749d6"/>
    <x:sheet xmlns:r="http://schemas.openxmlformats.org/officeDocument/2006/relationships" name="Reconciliation" sheetId="11" r:id="Rbeac7edaeefe477d"/>
    <x:sheet xmlns:r="http://schemas.openxmlformats.org/officeDocument/2006/relationships" name="Assumptions" sheetId="12" r:id="R4e82cea399424646"/>
    <x:sheet xmlns:r="http://schemas.openxmlformats.org/officeDocument/2006/relationships" name="Sources" sheetId="13" r:id="Re9a71d6c4c97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sz val="11"/>
      <x:color rgb="FF66727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E"/>
      </x:patternFill>
    </x:fill>
    <x:fill>
      <x:patternFill patternType="solid">
        <x:fgColor rgb="FF0F5C5E"/>
      </x:patternFill>
    </x:fill>
    <x:fill>
      <x:patternFill patternType="solid">
        <x:fgColor rgb="FFF4F7F9"/>
      </x:patternFill>
    </x:fill>
    <x:fill>
      <x:patternFill patternType="solid">
        <x:fgColor rgb="FFDFF1E5"/>
      </x:patternFill>
    </x:fill>
    <x:fill>
      <x:patternFill patternType="solid">
        <x:fgColor rgb="FFCFE8D6"/>
      </x:patternFill>
    </x:fill>
  </x:fills>
  <x:borders count="7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double">
        <x:color rgb="FF17324D"/>
      </x:bottom>
    </x:border>
    <x:border>
      <x:bottom style="thin">
        <x:color rgb="FFE7ECF0"/>
      </x:bottom>
    </x:border>
    <x:border>
      <x:top style="thin">
        <x:color rgb="FFE7ECF0"/>
      </x:top>
      <x:bottom style="thin">
        <x:color rgb="FFE7ECF0"/>
      </x:bottom>
    </x:border>
    <x:border>
      <x:top style="thin">
        <x:color rgb="FFE7ECF0"/>
      </x:top>
    </x:border>
    <x:border>
      <x:bottom style="double">
        <x:color rgb="FF17324D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6" borderId="0" xfId="0" applyNumberFormat="1" applyFont="1" applyFill="1" applyBorder="1"/>
    <x:xf numFmtId="0" fontId="4" fillId="0" borderId="0" xfId="0" applyNumberFormat="1" applyFont="1" applyFill="1" applyBorder="1"/>
    <x:xf numFmtId="0" fontId="5" fillId="5" borderId="2" xfId="0" applyNumberFormat="1" applyFont="1" applyFill="1" applyBorder="1"/>
    <x:xf numFmtId="0" fontId="4" fillId="6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5" borderId="4" xfId="0" applyNumberFormat="1" applyFont="1" applyFill="1" applyBorder="1"/>
    <x:xf numFmtId="0" fontId="4" fillId="6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5" borderId="4" xfId="0" applyNumberFormat="1" applyFont="1" applyFill="1" applyBorder="1" applyAlignment="1">
      <x:alignment vertical="center" wrapText="1"/>
    </x:xf>
    <x:xf numFmtId="201" fontId="4" fillId="6" borderId="4" xfId="0" applyNumberFormat="1" applyFont="1" applyFill="1" applyBorder="1" applyAlignment="1">
      <x:alignment vertical="center" wrapText="1"/>
    </x:xf>
    <x:xf numFmtId="201" fontId="5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b7d091dc84c11" /><Relationship Type="http://schemas.openxmlformats.org/officeDocument/2006/relationships/theme" Target="/xl/theme/theme1.xml" Id="R5acf87f93a0c445c" /><Relationship Type="http://schemas.openxmlformats.org/officeDocument/2006/relationships/sharedStrings" Target="/xl/sharedStrings.xml" Id="Rba54b7c68bf94135" /><Relationship Type="http://schemas.openxmlformats.org/officeDocument/2006/relationships/worksheet" Target="/xl/worksheets/sheet1.xml" Id="Rc46ff31afeb04e14" /><Relationship Type="http://schemas.openxmlformats.org/officeDocument/2006/relationships/worksheet" Target="/xl/worksheets/sheet2.xml" Id="R8b15247c15274961" /><Relationship Type="http://schemas.openxmlformats.org/officeDocument/2006/relationships/worksheet" Target="/xl/worksheets/sheet3.xml" Id="R47fc99f5db1f45fe" /><Relationship Type="http://schemas.openxmlformats.org/officeDocument/2006/relationships/worksheet" Target="/xl/worksheets/sheet4.xml" Id="Rb9e5274d75dc4138" /><Relationship Type="http://schemas.openxmlformats.org/officeDocument/2006/relationships/worksheet" Target="/xl/worksheets/sheet5.xml" Id="Rea2493bbb64a4241" /><Relationship Type="http://schemas.openxmlformats.org/officeDocument/2006/relationships/worksheet" Target="/xl/worksheets/sheet6.xml" Id="R8d5f567a0600457d" /><Relationship Type="http://schemas.openxmlformats.org/officeDocument/2006/relationships/worksheet" Target="/xl/worksheets/sheet7.xml" Id="R99b3daa9ddff4a9f" /><Relationship Type="http://schemas.openxmlformats.org/officeDocument/2006/relationships/worksheet" Target="/xl/worksheets/sheet8.xml" Id="Rc84f8fcb5f034c1a" /><Relationship Type="http://schemas.openxmlformats.org/officeDocument/2006/relationships/worksheet" Target="/xl/worksheets/sheet9.xml" Id="R807689b5967247b9" /><Relationship Type="http://schemas.openxmlformats.org/officeDocument/2006/relationships/worksheet" Target="/xl/worksheets/sheet10.xml" Id="R8b7ece96764749d6" /><Relationship Type="http://schemas.openxmlformats.org/officeDocument/2006/relationships/worksheet" Target="/xl/worksheets/sheet11.xml" Id="Rbeac7edaeefe477d" /><Relationship Type="http://schemas.openxmlformats.org/officeDocument/2006/relationships/worksheet" Target="/xl/worksheets/sheet12.xml" Id="R4e82cea399424646" /><Relationship Type="http://schemas.openxmlformats.org/officeDocument/2006/relationships/worksheet" Target="/xl/worksheets/sheet13.xml" Id="Re9a71d6c4c97423d" /></Relationships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2040 Slow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constrained resources remain fixed; only approved gas/methane technologies absorb the CDP increment.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20.08</x:v>
      </x:c>
      <x:c r="D5" s="28" t="n">
        <x:v>2.64</x:v>
      </x:c>
      <x:c r="E5" s="28" t="n">
        <x:v>4.4</x:v>
      </x:c>
      <x:c r="F5" s="28" t="n">
        <x:v>1.36</x:v>
      </x:c>
      <x:c r="G5" s="28" t="n">
        <x:v>0.88</x:v>
      </x:c>
      <x:c r="H5" s="28" t="n">
        <x:v>2.64</x:v>
      </x:c>
      <x:c r="I5" s="28" t="n">
        <x:v>1.36</x:v>
      </x:c>
      <x:c r="J5" s="28" t="n">
        <x:f>SUM(C5:I5)</x:f>
        <x:v>33.36</x:v>
      </x:c>
    </x:row>
    <x:row r="6">
      <x:c r="A6" s="34" t="str">
        <x:v>VARIABLE RENEWABLES</x:v>
      </x:c>
      <x:c r="B6" s="24" t="str">
        <x:v>SOLAR_PV_UTILITY</x:v>
      </x:c>
      <x:c r="C6" s="29" t="n">
        <x:v>13.84</x:v>
      </x:c>
      <x:c r="D6" s="29" t="n">
        <x:v>5.04</x:v>
      </x:c>
      <x:c r="E6" s="29" t="n">
        <x:v>11.68</x:v>
      </x:c>
      <x:c r="F6" s="29" t="n">
        <x:v>15.44</x:v>
      </x:c>
      <x:c r="G6" s="29" t="n">
        <x:v>2</x:v>
      </x:c>
      <x:c r="H6" s="29" t="n">
        <x:v>9.2</x:v>
      </x:c>
      <x:c r="I6" s="29" t="n">
        <x:v>6.16</x:v>
      </x:c>
      <x:c r="J6" s="29" t="n">
        <x:f>SUM(C6:I6)</x:f>
        <x:v>63.36</x:v>
      </x:c>
    </x:row>
    <x:row r="7">
      <x:c r="A7" s="34" t="str">
        <x:v>VARIABLE RENEWABLES</x:v>
      </x:c>
      <x:c r="B7" s="24" t="str">
        <x:v>WIND_ONSHORE</x:v>
      </x:c>
      <x:c r="C7" s="29" t="n">
        <x:v>0.48</x:v>
      </x:c>
      <x:c r="D7" s="29" t="n">
        <x:v>0.32</x:v>
      </x:c>
      <x:c r="E7" s="29" t="n">
        <x:v>5.44</x:v>
      </x:c>
      <x:c r="F7" s="29" t="n">
        <x:v>10.56</x:v>
      </x:c>
      <x:c r="G7" s="29" t="n">
        <x:v>2.64</x:v>
      </x:c>
      <x:c r="H7" s="29" t="n">
        <x:v>5.04</x:v>
      </x:c>
      <x:c r="I7" s="29" t="n">
        <x:v>2.8</x:v>
      </x:c>
      <x:c r="J7" s="29" t="n">
        <x:f>SUM(C7:I7)</x:f>
        <x:v>27.28</x:v>
      </x:c>
    </x:row>
    <x:row r="8">
      <x:c r="A8" s="34" t="str">
        <x:v>VARIABLE RENEWABLES</x:v>
      </x:c>
      <x:c r="B8" s="24" t="str">
        <x:v>WIND_OFFSHORE</x:v>
      </x:c>
      <x:c r="C8" s="29" t="n">
        <x:v>1.2</x:v>
      </x:c>
      <x:c r="D8" s="29" t="n">
        <x:v>0.64</x:v>
      </x:c>
      <x:c r="E8" s="29" t="n">
        <x:v>1.28</x:v>
      </x:c>
      <x:c r="F8" s="29" t="n">
        <x:v>3.76</x:v>
      </x:c>
      <x:c r="G8" s="29" t="n">
        <x:v>0.48</x:v>
      </x:c>
      <x:c r="H8" s="29" t="n">
        <x:v>2.4</x:v>
      </x:c>
      <x:c r="I8" s="29" t="n">
        <x:v>2.4</x:v>
      </x:c>
      <x:c r="J8" s="29" t="n">
        <x:f>SUM(C8:I8)</x:f>
        <x:v>12.16</x:v>
      </x:c>
    </x:row>
    <x:row r="9">
      <x:c r="A9" s="35" t="str">
        <x:v>VARIABLE RENEWABLES TOTAL</x:v>
      </x:c>
      <x:c r="B9" s="25"/>
      <x:c r="C9" s="30" t="n">
        <x:f>SUM(C5:C8)</x:f>
        <x:v>35.6</x:v>
      </x:c>
      <x:c r="D9" s="30" t="n">
        <x:f>SUM(D5:D8)</x:f>
        <x:v>8.64</x:v>
      </x:c>
      <x:c r="E9" s="30" t="n">
        <x:f>SUM(E5:E8)</x:f>
        <x:v>22.8</x:v>
      </x:c>
      <x:c r="F9" s="30" t="n">
        <x:f>SUM(F5:F8)</x:f>
        <x:v>31.119999999999997</x:v>
      </x:c>
      <x:c r="G9" s="30" t="n">
        <x:f>SUM(G5:G8)</x:f>
        <x:v>6</x:v>
      </x:c>
      <x:c r="H9" s="30" t="n">
        <x:f>SUM(H5:H8)</x:f>
        <x:v>19.279999999999998</x:v>
      </x:c>
      <x:c r="I9" s="30" t="n">
        <x:f>SUM(I5:I8)</x:f>
        <x:v>12.72</x:v>
      </x:c>
      <x:c r="J9" s="30" t="n">
        <x:f>SUM(J5:J8)</x:f>
        <x:v>136.16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4.42</x:v>
      </x:c>
      <x:c r="D18" s="29" t="n">
        <x:v>0.9066666666669999</x:v>
      </x:c>
      <x:c r="E18" s="29" t="n">
        <x:v>3.376666666667</x:v>
      </x:c>
      <x:c r="F18" s="29" t="n">
        <x:v>5.09</x:v>
      </x:c>
      <x:c r="G18" s="29" t="n">
        <x:v>1.1733333333329998</x:v>
      </x:c>
      <x:c r="H18" s="29" t="n">
        <x:v>3.9766666666669996</x:v>
      </x:c>
      <x:c r="I18" s="29" t="n">
        <x:v>2.87</x:v>
      </x:c>
      <x:c r="J18" s="29" t="n">
        <x:f>SUM(C18:I18)</x:f>
        <x:v>21.813333333334</x:v>
      </x:c>
    </x:row>
    <x:row r="19">
      <x:c r="A19" s="35" t="str">
        <x:v>STORAGE POWER TOTAL</x:v>
      </x:c>
      <x:c r="B19" s="25"/>
      <x:c r="C19" s="30" t="n">
        <x:f>SUM(C18:C18)</x:f>
        <x:v>4.42</x:v>
      </x:c>
      <x:c r="D19" s="30" t="n">
        <x:f>SUM(D18:D18)</x:f>
        <x:v>0.9066666666669999</x:v>
      </x:c>
      <x:c r="E19" s="30" t="n">
        <x:f>SUM(E18:E18)</x:f>
        <x:v>3.376666666667</x:v>
      </x:c>
      <x:c r="F19" s="30" t="n">
        <x:f>SUM(F18:F18)</x:f>
        <x:v>5.09</x:v>
      </x:c>
      <x:c r="G19" s="30" t="n">
        <x:f>SUM(G18:G18)</x:f>
        <x:v>1.1733333333329998</x:v>
      </x:c>
      <x:c r="H19" s="30" t="n">
        <x:f>SUM(H18:H18)</x:f>
        <x:v>3.9766666666669996</x:v>
      </x:c>
      <x:c r="I19" s="30" t="n">
        <x:f>SUM(I18:I18)</x:f>
        <x:v>2.87</x:v>
      </x:c>
      <x:c r="J19" s="30" t="n">
        <x:f>SUM(J18:J18)</x:f>
        <x:v>21.813333333334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4" t="str">
        <x:v>DISPATCHABLE / PROGRAMMABLE</x:v>
      </x:c>
      <x:c r="B21" s="24" t="str">
        <x:v>CCGT</x:v>
      </x:c>
      <x:c r="C21" s="29" t="n">
        <x:v>28.71176778384643</x:v>
      </x:c>
      <x:c r="D21" s="29" t="n">
        <x:v>1.9887126365416758</x:v>
      </x:c>
      <x:c r="E21" s="29" t="n">
        <x:v>7.876492633771277</x:v>
      </x:c>
      <x:c r="F21" s="29" t="n">
        <x:v>5.503624706945679</x:v>
      </x:c>
      <x:c r="G21" s="29" t="n">
        <x:v>4.024504123167603</x:v>
      </x:c>
      <x:c r="H21" s="29" t="n">
        <x:v>3.772763698262549</x:v>
      </x:c>
      <x:c r="I21" s="29" t="n">
        <x:v>0.791188158417066</x:v>
      </x:c>
      <x:c r="J21" s="29" t="n">
        <x:f>SUM(C21:I21)</x:f>
        <x:v>52.66905374095228</x:v>
      </x:c>
    </x:row>
    <x:row r="22">
      <x:c r="A22" s="34" t="str">
        <x:v>DISPATCHABLE / PROGRAMMABLE</x:v>
      </x:c>
      <x:c r="B22" s="24" t="str">
        <x:v>GT_OCGT</x:v>
      </x:c>
      <x:c r="C22" s="29" t="n">
        <x:v>1.0473852848018141</x:v>
      </x:c>
      <x:c r="D22" s="29" t="n">
        <x:v>0.596279280795386</x:v>
      </x:c>
      <x:c r="E22" s="29" t="n">
        <x:v>0.9566596612091129</x:v>
      </x:c>
      <x:c r="F22" s="29" t="n">
        <x:v>0.318517291071326</x:v>
      </x:c>
      <x:c r="G22" s="29" t="n">
        <x:v>0.26891351869824304</x:v>
      </x:c>
      <x:c r="H22" s="29" t="n">
        <x:v>0.8115532666883071</x:v>
      </x:c>
      <x:c r="I22" s="29" t="n">
        <x:v>0.172911757943543</x:v>
      </x:c>
      <x:c r="J22" s="29" t="n">
        <x:f>SUM(C22:I22)</x:f>
        <x:v>4.172220061207732</x:v>
      </x:c>
    </x:row>
    <x:row r="23">
      <x:c r="A23" s="34" t="str">
        <x:v>DISPATCHABLE / PROGRAMMABLE</x:v>
      </x:c>
      <x:c r="B23" s="24" t="str">
        <x:v>INTERNAL_COMBUSTION</x:v>
      </x:c>
      <x:c r="C23" s="29" t="n">
        <x:v>4.2988282982212835</x:v>
      </x:c>
      <x:c r="D23" s="29" t="n">
        <x:v>0.482631367933606</x:v>
      </x:c>
      <x:c r="E23" s="29" t="n">
        <x:v>0.970597501644587</x:v>
      </x:c>
      <x:c r="F23" s="29" t="n">
        <x:v>0.544538319093001</x:v>
      </x:c>
      <x:c r="G23" s="29" t="n">
        <x:v>0.047518456572494996</x:v>
      </x:c>
      <x:c r="H23" s="29" t="n">
        <x:v>0.256970273027011</x:v>
      </x:c>
      <x:c r="I23" s="29" t="n">
        <x:v>0.027781155776999</x:v>
      </x:c>
      <x:c r="J23" s="29" t="n">
        <x:f>SUM(C23:I23)</x:f>
        <x:v>6.628865372268982</x:v>
      </x:c>
    </x:row>
    <x:row r="24">
      <x:c r="A24" s="34" t="str">
        <x:v>DISPATCHABLE / PROGRAMMABLE</x:v>
      </x:c>
      <x:c r="B24" s="24" t="str">
        <x:v>STEAM_OTHER_SURVIVING</x:v>
      </x:c>
      <x:c r="C24" s="29" t="n">
        <x:v>1.975224037250202</x:v>
      </x:c>
      <x:c r="D24" s="29" t="n">
        <x:v>0.063044779690585</x:v>
      </x:c>
      <x:c r="E24" s="29" t="n">
        <x:v>0.222599680705081</x:v>
      </x:c>
      <x:c r="F24" s="29" t="n">
        <x:v>0.674967963599246</x:v>
      </x:c>
      <x:c r="G24" s="29" t="n">
        <x:v>0.179976932372605</x:v>
      </x:c>
      <x:c r="H24" s="29" t="n">
        <x:v>0.17732100776859602</x:v>
      </x:c>
      <x:c r="I24" s="29" t="n">
        <x:v>0.306849205645086</x:v>
      </x:c>
      <x:c r="J24" s="29" t="n">
        <x:f>SUM(C24:I24)</x:f>
        <x:v>3.599983607031401</x:v>
      </x:c>
    </x:row>
    <x:row r="25">
      <x:c r="A25" s="34" t="str">
        <x:v>DISPATCHABLE / PROGRAMMABLE</x:v>
      </x:c>
      <x:c r="B25" s="24" t="str">
        <x:v>OTHER_SURVIVING_THERMAL</x:v>
      </x:c>
      <x:c r="C25" s="29" t="n">
        <x:v>0.066104825658308</x:v>
      </x:c>
      <x:c r="D25" s="29" t="n">
        <x:v>0.042722898691444</x:v>
      </x:c>
      <x:c r="E25" s="29" t="n">
        <x:v>0.038636148728709005</x:v>
      </x:c>
      <x:c r="F25" s="29" t="n">
        <x:v>0.149533199977574</x:v>
      </x:c>
      <x:c r="G25" s="29" t="n">
        <x:v>0</x:v>
      </x:c>
      <x:c r="H25" s="29" t="n">
        <x:v>0.027711775353915002</x:v>
      </x:c>
      <x:c r="I25" s="29" t="n">
        <x:v>0.035440113192656</x:v>
      </x:c>
      <x:c r="J25" s="29" t="n">
        <x:f>SUM(C25:I25)</x:f>
        <x:v>0.36014896160260595</x:v>
      </x:c>
    </x:row>
    <x:row r="26">
      <x:c r="A26" s="36" t="str">
        <x:v>DISPATCHABLE / PROGRAMMABLE</x:v>
      </x:c>
      <x:c r="B26" s="26" t="str">
        <x:v>GEOTHERMAL</x:v>
      </x:c>
      <x:c r="C26" s="31" t="n">
        <x:v>0</x:v>
      </x:c>
      <x:c r="D26" s="31" t="n">
        <x:v>0.783053667913</x:v>
      </x:c>
      <x:c r="E26" s="31" t="n">
        <x:v>0</x:v>
      </x:c>
      <x:c r="F26" s="31" t="n">
        <x:v>0</x:v>
      </x:c>
      <x:c r="G26" s="31" t="n">
        <x:v>0</x:v>
      </x:c>
      <x:c r="H26" s="31" t="n">
        <x:v>0</x:v>
      </x:c>
      <x:c r="I26" s="31" t="n">
        <x:v>0</x:v>
      </x:c>
      <x:c r="J26" s="31" t="n">
        <x:f>SUM(C26:I26)</x:f>
        <x:v>0.783053667913</x:v>
      </x:c>
    </x:row>
    <x:row r="27">
      <x:c r="A27" s="35" t="str">
        <x:v>DISPATCHABLE / PROGRAMMABLE TOTAL</x:v>
      </x:c>
      <x:c r="B27" s="25"/>
      <x:c r="C27" s="30" t="n">
        <x:f>SUM(C21:C26)</x:f>
        <x:v>36.099310229778034</x:v>
      </x:c>
      <x:c r="D27" s="30" t="n">
        <x:f>SUM(D21:D26)</x:f>
        <x:v>3.956444631565697</x:v>
      </x:c>
      <x:c r="E27" s="30" t="n">
        <x:f>SUM(E21:E26)</x:f>
        <x:v>10.064985626058768</x:v>
      </x:c>
      <x:c r="F27" s="30" t="n">
        <x:f>SUM(F21:F26)</x:f>
        <x:v>7.191181480686827</x:v>
      </x:c>
      <x:c r="G27" s="30" t="n">
        <x:f>SUM(G21:G26)</x:f>
        <x:v>4.520913030810945</x:v>
      </x:c>
      <x:c r="H27" s="30" t="n">
        <x:f>SUM(H21:H26)</x:f>
        <x:v>5.046320021100378</x:v>
      </x:c>
      <x:c r="I27" s="30" t="n">
        <x:f>SUM(I21:I26)</x:f>
        <x:v>1.3341703909753502</x:v>
      </x:c>
      <x:c r="J27" s="30" t="n">
        <x:f>SUM(J21:J26)</x:f>
        <x:v>68.213325410976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2040 Base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Base/High capacity values are unchanged from the accepted baseline candidate.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25.1</x:v>
      </x:c>
      <x:c r="D5" s="28" t="n">
        <x:v>3.3</x:v>
      </x:c>
      <x:c r="E5" s="28" t="n">
        <x:v>5.5</x:v>
      </x:c>
      <x:c r="F5" s="28" t="n">
        <x:v>1.7</x:v>
      </x:c>
      <x:c r="G5" s="28" t="n">
        <x:v>1.1</x:v>
      </x:c>
      <x:c r="H5" s="28" t="n">
        <x:v>3.3</x:v>
      </x:c>
      <x:c r="I5" s="28" t="n">
        <x:v>1.7</x:v>
      </x:c>
      <x:c r="J5" s="28" t="n">
        <x:f>SUM(C5:I5)</x:f>
        <x:v>41.70000000000001</x:v>
      </x:c>
    </x:row>
    <x:row r="6">
      <x:c r="A6" s="34" t="str">
        <x:v>VARIABLE RENEWABLES</x:v>
      </x:c>
      <x:c r="B6" s="24" t="str">
        <x:v>SOLAR_PV_UTILITY</x:v>
      </x:c>
      <x:c r="C6" s="29" t="n">
        <x:v>17.3</x:v>
      </x:c>
      <x:c r="D6" s="29" t="n">
        <x:v>6.3</x:v>
      </x:c>
      <x:c r="E6" s="29" t="n">
        <x:v>14.6</x:v>
      </x:c>
      <x:c r="F6" s="29" t="n">
        <x:v>19.3</x:v>
      </x:c>
      <x:c r="G6" s="29" t="n">
        <x:v>2.5</x:v>
      </x:c>
      <x:c r="H6" s="29" t="n">
        <x:v>11.5</x:v>
      </x:c>
      <x:c r="I6" s="29" t="n">
        <x:v>7.7</x:v>
      </x:c>
      <x:c r="J6" s="29" t="n">
        <x:f>SUM(C6:I6)</x:f>
        <x:v>79.2</x:v>
      </x:c>
    </x:row>
    <x:row r="7">
      <x:c r="A7" s="34" t="str">
        <x:v>VARIABLE RENEWABLES</x:v>
      </x:c>
      <x:c r="B7" s="24" t="str">
        <x:v>WIND_ONSHORE</x:v>
      </x:c>
      <x:c r="C7" s="29" t="n">
        <x:v>0.6</x:v>
      </x:c>
      <x:c r="D7" s="29" t="n">
        <x:v>0.4</x:v>
      </x:c>
      <x:c r="E7" s="29" t="n">
        <x:v>6.8</x:v>
      </x:c>
      <x:c r="F7" s="29" t="n">
        <x:v>13.2</x:v>
      </x:c>
      <x:c r="G7" s="29" t="n">
        <x:v>3.3</x:v>
      </x:c>
      <x:c r="H7" s="29" t="n">
        <x:v>6.3</x:v>
      </x:c>
      <x:c r="I7" s="29" t="n">
        <x:v>3.5</x:v>
      </x:c>
      <x:c r="J7" s="29" t="n">
        <x:f>SUM(C7:I7)</x:f>
        <x:v>34.1</x:v>
      </x:c>
    </x:row>
    <x:row r="8">
      <x:c r="A8" s="34" t="str">
        <x:v>VARIABLE RENEWABLES</x:v>
      </x:c>
      <x:c r="B8" s="24" t="str">
        <x:v>WIND_OFFSHORE</x:v>
      </x:c>
      <x:c r="C8" s="29" t="n">
        <x:v>1.5</x:v>
      </x:c>
      <x:c r="D8" s="29" t="n">
        <x:v>0.8</x:v>
      </x:c>
      <x:c r="E8" s="29" t="n">
        <x:v>1.6</x:v>
      </x:c>
      <x:c r="F8" s="29" t="n">
        <x:v>4.7</x:v>
      </x:c>
      <x:c r="G8" s="29" t="n">
        <x:v>0.6</x:v>
      </x:c>
      <x:c r="H8" s="29" t="n">
        <x:v>3</x:v>
      </x:c>
      <x:c r="I8" s="29" t="n">
        <x:v>3</x:v>
      </x:c>
      <x:c r="J8" s="29" t="n">
        <x:f>SUM(C8:I8)</x:f>
        <x:v>15.2</x:v>
      </x:c>
    </x:row>
    <x:row r="9">
      <x:c r="A9" s="35" t="str">
        <x:v>VARIABLE RENEWABLES TOTAL</x:v>
      </x:c>
      <x:c r="B9" s="25"/>
      <x:c r="C9" s="30" t="n">
        <x:f>SUM(C5:C8)</x:f>
        <x:v>44.50000000000001</x:v>
      </x:c>
      <x:c r="D9" s="30" t="n">
        <x:f>SUM(D5:D8)</x:f>
        <x:v>10.8</x:v>
      </x:c>
      <x:c r="E9" s="30" t="n">
        <x:f>SUM(E5:E8)</x:f>
        <x:v>28.500000000000004</x:v>
      </x:c>
      <x:c r="F9" s="30" t="n">
        <x:f>SUM(F5:F8)</x:f>
        <x:v>38.900000000000006</x:v>
      </x:c>
      <x:c r="G9" s="30" t="n">
        <x:f>SUM(G5:G8)</x:f>
        <x:v>7.5</x:v>
      </x:c>
      <x:c r="H9" s="30" t="n">
        <x:f>SUM(H5:H8)</x:f>
        <x:v>24.1</x:v>
      </x:c>
      <x:c r="I9" s="30" t="n">
        <x:f>SUM(I5:I8)</x:f>
        <x:v>15.9</x:v>
      </x:c>
      <x:c r="J9" s="30" t="n">
        <x:f>SUM(J5:J8)</x:f>
        <x:v>170.2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5.525</x:v>
      </x:c>
      <x:c r="D18" s="29" t="n">
        <x:v>1.133333333333</x:v>
      </x:c>
      <x:c r="E18" s="29" t="n">
        <x:v>4.220833333333</x:v>
      </x:c>
      <x:c r="F18" s="29" t="n">
        <x:v>6.3625</x:v>
      </x:c>
      <x:c r="G18" s="29" t="n">
        <x:v>1.466666666667</x:v>
      </x:c>
      <x:c r="H18" s="29" t="n">
        <x:v>4.970833333333</x:v>
      </x:c>
      <x:c r="I18" s="29" t="n">
        <x:v>3.5875</x:v>
      </x:c>
      <x:c r="J18" s="29" t="n">
        <x:f>SUM(C18:I18)</x:f>
        <x:v>27.266666666665998</x:v>
      </x:c>
    </x:row>
    <x:row r="19">
      <x:c r="A19" s="35" t="str">
        <x:v>STORAGE POWER TOTAL</x:v>
      </x:c>
      <x:c r="B19" s="25"/>
      <x:c r="C19" s="30" t="n">
        <x:f>SUM(C18:C18)</x:f>
        <x:v>5.525</x:v>
      </x:c>
      <x:c r="D19" s="30" t="n">
        <x:f>SUM(D18:D18)</x:f>
        <x:v>1.133333333333</x:v>
      </x:c>
      <x:c r="E19" s="30" t="n">
        <x:f>SUM(E18:E18)</x:f>
        <x:v>4.220833333333</x:v>
      </x:c>
      <x:c r="F19" s="30" t="n">
        <x:f>SUM(F18:F18)</x:f>
        <x:v>6.3625</x:v>
      </x:c>
      <x:c r="G19" s="30" t="n">
        <x:f>SUM(G18:G18)</x:f>
        <x:v>1.466666666667</x:v>
      </x:c>
      <x:c r="H19" s="30" t="n">
        <x:f>SUM(H18:H18)</x:f>
        <x:v>4.970833333333</x:v>
      </x:c>
      <x:c r="I19" s="30" t="n">
        <x:f>SUM(I18:I18)</x:f>
        <x:v>3.5875</x:v>
      </x:c>
      <x:c r="J19" s="30" t="n">
        <x:f>SUM(J18:J18)</x:f>
        <x:v>27.266666666665998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4" t="str">
        <x:v>DISPATCHABLE / PROGRAMMABLE</x:v>
      </x:c>
      <x:c r="B21" s="24" t="str">
        <x:v>CCGT</x:v>
      </x:c>
      <x:c r="C21" s="29" t="n">
        <x:v>23.085542039157</x:v>
      </x:c>
      <x:c r="D21" s="29" t="n">
        <x:v>1.599013669946</x:v>
      </x:c>
      <x:c r="E21" s="29" t="n">
        <x:v>6.33305142292</x:v>
      </x:c>
      <x:c r="F21" s="29" t="n">
        <x:v>4.4251597636360005</x:v>
      </x:c>
      <x:c r="G21" s="29" t="n">
        <x:v>3.235880835398</x:v>
      </x:c>
      <x:c r="H21" s="29" t="n">
        <x:v>3.033470304432</x:v>
      </x:c>
      <x:c r="I21" s="29" t="n">
        <x:v>0.636150571763</x:v>
      </x:c>
      <x:c r="J21" s="29" t="n">
        <x:f>SUM(C21:I21)</x:f>
        <x:v>42.348268607252</x:v>
      </x:c>
    </x:row>
    <x:row r="22">
      <x:c r="A22" s="34" t="str">
        <x:v>DISPATCHABLE / PROGRAMMABLE</x:v>
      </x:c>
      <x:c r="B22" s="24" t="str">
        <x:v>GT_OCGT</x:v>
      </x:c>
      <x:c r="C22" s="29" t="n">
        <x:v>0.842144489518</x:v>
      </x:c>
      <x:c r="D22" s="29" t="n">
        <x:v>0.47943513988799996</x:v>
      </x:c>
      <x:c r="E22" s="29" t="n">
        <x:v>0.7691970411669999</x:v>
      </x:c>
      <x:c r="F22" s="29" t="n">
        <x:v>0.256102110068</x:v>
      </x:c>
      <x:c r="G22" s="29" t="n">
        <x:v>0.216218464413</x:v>
      </x:c>
      <x:c r="H22" s="29" t="n">
        <x:v>0.652525027236</x:v>
      </x:c>
      <x:c r="I22" s="29" t="n">
        <x:v>0.139028766432</x:v>
      </x:c>
      <x:c r="J22" s="29" t="n">
        <x:f>SUM(C22:I22)</x:f>
        <x:v>3.3546510387219994</x:v>
      </x:c>
    </x:row>
    <x:row r="23">
      <x:c r="A23" s="34" t="str">
        <x:v>DISPATCHABLE / PROGRAMMABLE</x:v>
      </x:c>
      <x:c r="B23" s="24" t="str">
        <x:v>INTERNAL_COMBUSTION</x:v>
      </x:c>
      <x:c r="C23" s="29" t="n">
        <x:v>3.456449708873</x:v>
      </x:c>
      <x:c r="D23" s="29" t="n">
        <x:v>0.38805714847399997</x:v>
      </x:c>
      <x:c r="E23" s="29" t="n">
        <x:v>0.7804036866</x:v>
      </x:c>
      <x:c r="F23" s="29" t="n">
        <x:v>0.437833098679</x:v>
      </x:c>
      <x:c r="G23" s="29" t="n">
        <x:v>0.038206958731999995</x:v>
      </x:c>
      <x:c r="H23" s="29" t="n">
        <x:v>0.206615562143</x:v>
      </x:c>
      <x:c r="I23" s="29" t="n">
        <x:v>0.022337288474000003</x:v>
      </x:c>
      <x:c r="J23" s="29" t="n">
        <x:f>SUM(C23:I23)</x:f>
        <x:v>5.3299034519749995</x:v>
      </x:c>
    </x:row>
    <x:row r="24">
      <x:c r="A24" s="34" t="str">
        <x:v>DISPATCHABLE / PROGRAMMABLE</x:v>
      </x:c>
      <x:c r="B24" s="24" t="str">
        <x:v>STEAM_OTHER_SURVIVING</x:v>
      </x:c>
      <x:c r="C24" s="29" t="n">
        <x:v>1.588168234432</x:v>
      </x:c>
      <x:c r="D24" s="29" t="n">
        <x:v>0.050690815098999996</x:v>
      </x:c>
      <x:c r="E24" s="29" t="n">
        <x:v>0.178980072753</x:v>
      </x:c>
      <x:c r="F24" s="29" t="n">
        <x:v>0.5427043509149999</x:v>
      </x:c>
      <x:c r="G24" s="29" t="n">
        <x:v>0.144709481828</x:v>
      </x:c>
      <x:c r="H24" s="29" t="n">
        <x:v>0.142573999974</x:v>
      </x:c>
      <x:c r="I24" s="29" t="n">
        <x:v>0.246720448909</x:v>
      </x:c>
      <x:c r="J24" s="29" t="n">
        <x:f>SUM(C24:I24)</x:f>
        <x:v>2.89454740391</x:v>
      </x:c>
    </x:row>
    <x:row r="25">
      <x:c r="A25" s="34" t="str">
        <x:v>DISPATCHABLE / PROGRAMMABLE</x:v>
      </x:c>
      <x:c r="B25" s="24" t="str">
        <x:v>OTHER_SURVIVING_THERMAL</x:v>
      </x:c>
      <x:c r="C25" s="29" t="n">
        <x:v>0.053151228556</x:v>
      </x:c>
      <x:c r="D25" s="29" t="n">
        <x:v>0.034351116281</x:v>
      </x:c>
      <x:c r="E25" s="29" t="n">
        <x:v>0.031065187014</x:v>
      </x:c>
      <x:c r="F25" s="29" t="n">
        <x:v>0.120231362984</x:v>
      </x:c>
      <x:c r="G25" s="29" t="n">
        <x:v>0</x:v>
      </x:c>
      <x:c r="H25" s="29" t="n">
        <x:v>0.022281503519</x:v>
      </x:c>
      <x:c r="I25" s="29" t="n">
        <x:v>0.028495431878</x:v>
      </x:c>
      <x:c r="J25" s="29" t="n">
        <x:f>SUM(C25:I25)</x:f>
        <x:v>0.289575830232</x:v>
      </x:c>
    </x:row>
    <x:row r="26">
      <x:c r="A26" s="34" t="str">
        <x:v>DISPATCHABLE / PROGRAMMABLE</x:v>
      </x:c>
      <x:c r="B26" s="24" t="str">
        <x:v>GEOTHERMAL</x:v>
      </x:c>
      <x:c r="C26" s="29" t="n">
        <x:v>0</x:v>
      </x:c>
      <x:c r="D26" s="29" t="n">
        <x:v>0.783053667913</x:v>
      </x:c>
      <x:c r="E26" s="29" t="n">
        <x:v>0</x:v>
      </x:c>
      <x:c r="F26" s="29" t="n">
        <x:v>0</x:v>
      </x:c>
      <x:c r="G26" s="29" t="n">
        <x:v>0</x:v>
      </x:c>
      <x:c r="H26" s="29" t="n">
        <x:v>0</x:v>
      </x:c>
      <x:c r="I26" s="29" t="n">
        <x:v>0</x:v>
      </x:c>
      <x:c r="J26" s="29" t="n">
        <x:f>SUM(C26:I26)</x:f>
        <x:v>0.783053667913</x:v>
      </x:c>
    </x:row>
    <x:row r="27">
      <x:c r="A27" s="35" t="str">
        <x:v>DISPATCHABLE / PROGRAMMABLE TOTAL</x:v>
      </x:c>
      <x:c r="B27" s="25"/>
      <x:c r="C27" s="30" t="n">
        <x:f>SUM(C21:C26)</x:f>
        <x:v>29.025455700536</x:v>
      </x:c>
      <x:c r="D27" s="30" t="n">
        <x:f>SUM(D21:D26)</x:f>
        <x:v>3.334601557601</x:v>
      </x:c>
      <x:c r="E27" s="30" t="n">
        <x:f>SUM(E21:E26)</x:f>
        <x:v>8.092697410453999</x:v>
      </x:c>
      <x:c r="F27" s="30" t="n">
        <x:f>SUM(F21:F26)</x:f>
        <x:v>5.782030686282001</x:v>
      </x:c>
      <x:c r="G27" s="30" t="n">
        <x:f>SUM(G21:G26)</x:f>
        <x:v>3.635015740371</x:v>
      </x:c>
      <x:c r="H27" s="30" t="n">
        <x:f>SUM(H21:H26)</x:f>
        <x:v>4.057466397304</x:v>
      </x:c>
      <x:c r="I27" s="30" t="n">
        <x:f>SUM(I21:I26)</x:f>
        <x:v>1.072732507456</x:v>
      </x:c>
      <x:c r="J27" s="30" t="n">
        <x:f>SUM(J21:J26)</x:f>
        <x:v>55.00000000000401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2040 High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Base/High capacity values are unchanged from the accepted baseline candidate.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27.61</x:v>
      </x:c>
      <x:c r="D5" s="28" t="n">
        <x:v>3.63</x:v>
      </x:c>
      <x:c r="E5" s="28" t="n">
        <x:v>6.05</x:v>
      </x:c>
      <x:c r="F5" s="28" t="n">
        <x:v>1.87</x:v>
      </x:c>
      <x:c r="G5" s="28" t="n">
        <x:v>1.21</x:v>
      </x:c>
      <x:c r="H5" s="28" t="n">
        <x:v>3.63</x:v>
      </x:c>
      <x:c r="I5" s="28" t="n">
        <x:v>1.87</x:v>
      </x:c>
      <x:c r="J5" s="28" t="n">
        <x:f>SUM(C5:I5)</x:f>
        <x:v>45.87</x:v>
      </x:c>
    </x:row>
    <x:row r="6">
      <x:c r="A6" s="34" t="str">
        <x:v>VARIABLE RENEWABLES</x:v>
      </x:c>
      <x:c r="B6" s="24" t="str">
        <x:v>SOLAR_PV_UTILITY</x:v>
      </x:c>
      <x:c r="C6" s="29" t="n">
        <x:v>19.03</x:v>
      </x:c>
      <x:c r="D6" s="29" t="n">
        <x:v>6.93</x:v>
      </x:c>
      <x:c r="E6" s="29" t="n">
        <x:v>16.06</x:v>
      </x:c>
      <x:c r="F6" s="29" t="n">
        <x:v>21.23</x:v>
      </x:c>
      <x:c r="G6" s="29" t="n">
        <x:v>2.75</x:v>
      </x:c>
      <x:c r="H6" s="29" t="n">
        <x:v>12.65</x:v>
      </x:c>
      <x:c r="I6" s="29" t="n">
        <x:v>8.47</x:v>
      </x:c>
      <x:c r="J6" s="29" t="n">
        <x:f>SUM(C6:I6)</x:f>
        <x:v>87.12</x:v>
      </x:c>
    </x:row>
    <x:row r="7">
      <x:c r="A7" s="34" t="str">
        <x:v>VARIABLE RENEWABLES</x:v>
      </x:c>
      <x:c r="B7" s="24" t="str">
        <x:v>WIND_ONSHORE</x:v>
      </x:c>
      <x:c r="C7" s="29" t="n">
        <x:v>0.66</x:v>
      </x:c>
      <x:c r="D7" s="29" t="n">
        <x:v>0.44</x:v>
      </x:c>
      <x:c r="E7" s="29" t="n">
        <x:v>7.48</x:v>
      </x:c>
      <x:c r="F7" s="29" t="n">
        <x:v>14.52</x:v>
      </x:c>
      <x:c r="G7" s="29" t="n">
        <x:v>3.63</x:v>
      </x:c>
      <x:c r="H7" s="29" t="n">
        <x:v>6.93</x:v>
      </x:c>
      <x:c r="I7" s="29" t="n">
        <x:v>3.85</x:v>
      </x:c>
      <x:c r="J7" s="29" t="n">
        <x:f>SUM(C7:I7)</x:f>
        <x:v>37.51</x:v>
      </x:c>
    </x:row>
    <x:row r="8">
      <x:c r="A8" s="34" t="str">
        <x:v>VARIABLE RENEWABLES</x:v>
      </x:c>
      <x:c r="B8" s="24" t="str">
        <x:v>WIND_OFFSHORE</x:v>
      </x:c>
      <x:c r="C8" s="29" t="n">
        <x:v>1.65</x:v>
      </x:c>
      <x:c r="D8" s="29" t="n">
        <x:v>0.88</x:v>
      </x:c>
      <x:c r="E8" s="29" t="n">
        <x:v>1.76</x:v>
      </x:c>
      <x:c r="F8" s="29" t="n">
        <x:v>5.17</x:v>
      </x:c>
      <x:c r="G8" s="29" t="n">
        <x:v>0.66</x:v>
      </x:c>
      <x:c r="H8" s="29" t="n">
        <x:v>3.3</x:v>
      </x:c>
      <x:c r="I8" s="29" t="n">
        <x:v>3.3</x:v>
      </x:c>
      <x:c r="J8" s="29" t="n">
        <x:f>SUM(C8:I8)</x:f>
        <x:v>16.720000000000002</x:v>
      </x:c>
    </x:row>
    <x:row r="9">
      <x:c r="A9" s="35" t="str">
        <x:v>VARIABLE RENEWABLES TOTAL</x:v>
      </x:c>
      <x:c r="B9" s="25"/>
      <x:c r="C9" s="30" t="n">
        <x:f>SUM(C5:C8)</x:f>
        <x:v>48.949999999999996</x:v>
      </x:c>
      <x:c r="D9" s="30" t="n">
        <x:f>SUM(D5:D8)</x:f>
        <x:v>11.879999999999999</x:v>
      </x:c>
      <x:c r="E9" s="30" t="n">
        <x:f>SUM(E5:E8)</x:f>
        <x:v>31.35</x:v>
      </x:c>
      <x:c r="F9" s="30" t="n">
        <x:f>SUM(F5:F8)</x:f>
        <x:v>42.790000000000006</x:v>
      </x:c>
      <x:c r="G9" s="30" t="n">
        <x:f>SUM(G5:G8)</x:f>
        <x:v>8.25</x:v>
      </x:c>
      <x:c r="H9" s="30" t="n">
        <x:f>SUM(H5:H8)</x:f>
        <x:v>26.51</x:v>
      </x:c>
      <x:c r="I9" s="30" t="n">
        <x:f>SUM(I5:I8)</x:f>
        <x:v>17.49</x:v>
      </x:c>
      <x:c r="J9" s="30" t="n">
        <x:f>SUM(J5:J8)</x:f>
        <x:v>187.22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6.0775</x:v>
      </x:c>
      <x:c r="D18" s="29" t="n">
        <x:v>1.246666666667</x:v>
      </x:c>
      <x:c r="E18" s="29" t="n">
        <x:v>4.642916666666999</x:v>
      </x:c>
      <x:c r="F18" s="29" t="n">
        <x:v>6.99875</x:v>
      </x:c>
      <x:c r="G18" s="29" t="n">
        <x:v>1.613333333333</x:v>
      </x:c>
      <x:c r="H18" s="29" t="n">
        <x:v>5.467916666667</x:v>
      </x:c>
      <x:c r="I18" s="29" t="n">
        <x:v>3.94625</x:v>
      </x:c>
      <x:c r="J18" s="29" t="n">
        <x:f>SUM(C18:I18)</x:f>
        <x:v>29.993333333334</x:v>
      </x:c>
    </x:row>
    <x:row r="19">
      <x:c r="A19" s="35" t="str">
        <x:v>STORAGE POWER TOTAL</x:v>
      </x:c>
      <x:c r="B19" s="25"/>
      <x:c r="C19" s="30" t="n">
        <x:f>SUM(C18:C18)</x:f>
        <x:v>6.0775</x:v>
      </x:c>
      <x:c r="D19" s="30" t="n">
        <x:f>SUM(D18:D18)</x:f>
        <x:v>1.246666666667</x:v>
      </x:c>
      <x:c r="E19" s="30" t="n">
        <x:f>SUM(E18:E18)</x:f>
        <x:v>4.642916666666999</x:v>
      </x:c>
      <x:c r="F19" s="30" t="n">
        <x:f>SUM(F18:F18)</x:f>
        <x:v>6.99875</x:v>
      </x:c>
      <x:c r="G19" s="30" t="n">
        <x:f>SUM(G18:G18)</x:f>
        <x:v>1.613333333333</x:v>
      </x:c>
      <x:c r="H19" s="30" t="n">
        <x:f>SUM(H18:H18)</x:f>
        <x:v>5.467916666667</x:v>
      </x:c>
      <x:c r="I19" s="30" t="n">
        <x:f>SUM(I18:I18)</x:f>
        <x:v>3.94625</x:v>
      </x:c>
      <x:c r="J19" s="30" t="n">
        <x:f>SUM(J18:J18)</x:f>
        <x:v>29.993333333334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4" t="str">
        <x:v>DISPATCHABLE / PROGRAMMABLE</x:v>
      </x:c>
      <x:c r="B21" s="24" t="str">
        <x:v>CCGT</x:v>
      </x:c>
      <x:c r="C21" s="29" t="n">
        <x:v>23.085542039157</x:v>
      </x:c>
      <x:c r="D21" s="29" t="n">
        <x:v>1.599013669946</x:v>
      </x:c>
      <x:c r="E21" s="29" t="n">
        <x:v>6.33305142292</x:v>
      </x:c>
      <x:c r="F21" s="29" t="n">
        <x:v>4.4251597636360005</x:v>
      </x:c>
      <x:c r="G21" s="29" t="n">
        <x:v>3.235880835398</x:v>
      </x:c>
      <x:c r="H21" s="29" t="n">
        <x:v>3.033470304432</x:v>
      </x:c>
      <x:c r="I21" s="29" t="n">
        <x:v>0.636150571763</x:v>
      </x:c>
      <x:c r="J21" s="29" t="n">
        <x:f>SUM(C21:I21)</x:f>
        <x:v>42.348268607252</x:v>
      </x:c>
    </x:row>
    <x:row r="22">
      <x:c r="A22" s="34" t="str">
        <x:v>DISPATCHABLE / PROGRAMMABLE</x:v>
      </x:c>
      <x:c r="B22" s="24" t="str">
        <x:v>GT_OCGT</x:v>
      </x:c>
      <x:c r="C22" s="29" t="n">
        <x:v>0.842144489518</x:v>
      </x:c>
      <x:c r="D22" s="29" t="n">
        <x:v>0.47943513988799996</x:v>
      </x:c>
      <x:c r="E22" s="29" t="n">
        <x:v>0.7691970411669999</x:v>
      </x:c>
      <x:c r="F22" s="29" t="n">
        <x:v>0.256102110068</x:v>
      </x:c>
      <x:c r="G22" s="29" t="n">
        <x:v>0.216218464413</x:v>
      </x:c>
      <x:c r="H22" s="29" t="n">
        <x:v>0.652525027236</x:v>
      </x:c>
      <x:c r="I22" s="29" t="n">
        <x:v>0.139028766432</x:v>
      </x:c>
      <x:c r="J22" s="29" t="n">
        <x:f>SUM(C22:I22)</x:f>
        <x:v>3.3546510387219994</x:v>
      </x:c>
    </x:row>
    <x:row r="23">
      <x:c r="A23" s="34" t="str">
        <x:v>DISPATCHABLE / PROGRAMMABLE</x:v>
      </x:c>
      <x:c r="B23" s="24" t="str">
        <x:v>INTERNAL_COMBUSTION</x:v>
      </x:c>
      <x:c r="C23" s="29" t="n">
        <x:v>3.456449708873</x:v>
      </x:c>
      <x:c r="D23" s="29" t="n">
        <x:v>0.38805714847399997</x:v>
      </x:c>
      <x:c r="E23" s="29" t="n">
        <x:v>0.7804036866</x:v>
      </x:c>
      <x:c r="F23" s="29" t="n">
        <x:v>0.437833098679</x:v>
      </x:c>
      <x:c r="G23" s="29" t="n">
        <x:v>0.038206958731999995</x:v>
      </x:c>
      <x:c r="H23" s="29" t="n">
        <x:v>0.206615562143</x:v>
      </x:c>
      <x:c r="I23" s="29" t="n">
        <x:v>0.022337288474000003</x:v>
      </x:c>
      <x:c r="J23" s="29" t="n">
        <x:f>SUM(C23:I23)</x:f>
        <x:v>5.3299034519749995</x:v>
      </x:c>
    </x:row>
    <x:row r="24">
      <x:c r="A24" s="34" t="str">
        <x:v>DISPATCHABLE / PROGRAMMABLE</x:v>
      </x:c>
      <x:c r="B24" s="24" t="str">
        <x:v>STEAM_OTHER_SURVIVING</x:v>
      </x:c>
      <x:c r="C24" s="29" t="n">
        <x:v>1.588168234432</x:v>
      </x:c>
      <x:c r="D24" s="29" t="n">
        <x:v>0.050690815098999996</x:v>
      </x:c>
      <x:c r="E24" s="29" t="n">
        <x:v>0.178980072753</x:v>
      </x:c>
      <x:c r="F24" s="29" t="n">
        <x:v>0.5427043509149999</x:v>
      </x:c>
      <x:c r="G24" s="29" t="n">
        <x:v>0.144709481828</x:v>
      </x:c>
      <x:c r="H24" s="29" t="n">
        <x:v>0.142573999974</x:v>
      </x:c>
      <x:c r="I24" s="29" t="n">
        <x:v>0.246720448909</x:v>
      </x:c>
      <x:c r="J24" s="29" t="n">
        <x:f>SUM(C24:I24)</x:f>
        <x:v>2.89454740391</x:v>
      </x:c>
    </x:row>
    <x:row r="25">
      <x:c r="A25" s="34" t="str">
        <x:v>DISPATCHABLE / PROGRAMMABLE</x:v>
      </x:c>
      <x:c r="B25" s="24" t="str">
        <x:v>OTHER_SURVIVING_THERMAL</x:v>
      </x:c>
      <x:c r="C25" s="29" t="n">
        <x:v>0.053151228556</x:v>
      </x:c>
      <x:c r="D25" s="29" t="n">
        <x:v>0.034351116281</x:v>
      </x:c>
      <x:c r="E25" s="29" t="n">
        <x:v>0.031065187014</x:v>
      </x:c>
      <x:c r="F25" s="29" t="n">
        <x:v>0.120231362984</x:v>
      </x:c>
      <x:c r="G25" s="29" t="n">
        <x:v>0</x:v>
      </x:c>
      <x:c r="H25" s="29" t="n">
        <x:v>0.022281503519</x:v>
      </x:c>
      <x:c r="I25" s="29" t="n">
        <x:v>0.028495431878</x:v>
      </x:c>
      <x:c r="J25" s="29" t="n">
        <x:f>SUM(C25:I25)</x:f>
        <x:v>0.289575830232</x:v>
      </x:c>
    </x:row>
    <x:row r="26">
      <x:c r="A26" s="34" t="str">
        <x:v>DISPATCHABLE / PROGRAMMABLE</x:v>
      </x:c>
      <x:c r="B26" s="24" t="str">
        <x:v>GEOTHERMAL</x:v>
      </x:c>
      <x:c r="C26" s="29" t="n">
        <x:v>0</x:v>
      </x:c>
      <x:c r="D26" s="29" t="n">
        <x:v>0.783053667913</x:v>
      </x:c>
      <x:c r="E26" s="29" t="n">
        <x:v>0</x:v>
      </x:c>
      <x:c r="F26" s="29" t="n">
        <x:v>0</x:v>
      </x:c>
      <x:c r="G26" s="29" t="n">
        <x:v>0</x:v>
      </x:c>
      <x:c r="H26" s="29" t="n">
        <x:v>0</x:v>
      </x:c>
      <x:c r="I26" s="29" t="n">
        <x:v>0</x:v>
      </x:c>
      <x:c r="J26" s="29" t="n">
        <x:f>SUM(C26:I26)</x:f>
        <x:v>0.783053667913</x:v>
      </x:c>
    </x:row>
    <x:row r="27">
      <x:c r="A27" s="35" t="str">
        <x:v>DISPATCHABLE / PROGRAMMABLE TOTAL</x:v>
      </x:c>
      <x:c r="B27" s="25"/>
      <x:c r="C27" s="30" t="n">
        <x:f>SUM(C21:C26)</x:f>
        <x:v>29.025455700536</x:v>
      </x:c>
      <x:c r="D27" s="30" t="n">
        <x:f>SUM(D21:D26)</x:f>
        <x:v>3.334601557601</x:v>
      </x:c>
      <x:c r="E27" s="30" t="n">
        <x:f>SUM(E21:E26)</x:f>
        <x:v>8.092697410453999</x:v>
      </x:c>
      <x:c r="F27" s="30" t="n">
        <x:f>SUM(F21:F26)</x:f>
        <x:v>5.782030686282001</x:v>
      </x:c>
      <x:c r="G27" s="30" t="n">
        <x:f>SUM(G21:G26)</x:f>
        <x:v>3.635015740371</x:v>
      </x:c>
      <x:c r="H27" s="30" t="n">
        <x:f>SUM(H21:H26)</x:f>
        <x:v>4.057466397304</x:v>
      </x:c>
      <x:c r="I27" s="30" t="n">
        <x:f>SUM(I21:I26)</x:f>
        <x:v>1.072732507456</x:v>
      </x:c>
      <x:c r="J27" s="30" t="n">
        <x:f>SUM(J21:J26)</x:f>
        <x:v>55.00000000000401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2050 Slow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constrained resources remain fixed; only approved gas/methane technologies absorb the CDP increment.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40.691480562448</x:v>
      </x:c>
      <x:c r="D5" s="28" t="n">
        <x:v>5.349875930521</x:v>
      </x:c>
      <x:c r="E5" s="28" t="n">
        <x:v>8.916459884202</x:v>
      </x:c>
      <x:c r="F5" s="28" t="n">
        <x:v>2.755996691481</x:v>
      </x:c>
      <x:c r="G5" s="28" t="n">
        <x:v>1.78329197684</x:v>
      </x:c>
      <x:c r="H5" s="28" t="n">
        <x:v>5.349875930521</x:v>
      </x:c>
      <x:c r="I5" s="28" t="n">
        <x:v>2.755996691481</x:v>
      </x:c>
      <x:c r="J5" s="28" t="n">
        <x:f>SUM(C5:I5)</x:f>
        <x:v>67.602977667494</x:v>
      </x:c>
    </x:row>
    <x:row r="6">
      <x:c r="A6" s="34" t="str">
        <x:v>VARIABLE RENEWABLES</x:v>
      </x:c>
      <x:c r="B6" s="24" t="str">
        <x:v>SOLAR_PV_UTILITY</x:v>
      </x:c>
      <x:c r="C6" s="29" t="n">
        <x:v>28.046319272126</x:v>
      </x:c>
      <x:c r="D6" s="29" t="n">
        <x:v>10.213399503722</x:v>
      </x:c>
      <x:c r="E6" s="29" t="n">
        <x:v>23.669148056245003</x:v>
      </x:c>
      <x:c r="F6" s="29" t="n">
        <x:v>31.288668320926</x:v>
      </x:c>
      <x:c r="G6" s="29" t="n">
        <x:v>4.052936311001</x:v>
      </x:c>
      <x:c r="H6" s="29" t="n">
        <x:v>18.643507030604</x:v>
      </x:c>
      <x:c r="I6" s="29" t="n">
        <x:v>12.483043837883</x:v>
      </x:c>
      <x:c r="J6" s="29" t="n">
        <x:f>SUM(C6:I6)</x:f>
        <x:v>128.39702233250702</x:v>
      </x:c>
    </x:row>
    <x:row r="7">
      <x:c r="A7" s="34" t="str">
        <x:v>VARIABLE RENEWABLES</x:v>
      </x:c>
      <x:c r="B7" s="24" t="str">
        <x:v>WIND_ONSHORE</x:v>
      </x:c>
      <x:c r="C7" s="29" t="n">
        <x:v>0.5067448680350001</x:v>
      </x:c>
      <x:c r="D7" s="29" t="n">
        <x:v>0.337829912023</x:v>
      </x:c>
      <x:c r="E7" s="29" t="n">
        <x:v>5.743108504398999</x:v>
      </x:c>
      <x:c r="F7" s="29" t="n">
        <x:v>11.148387096774</x:v>
      </x:c>
      <x:c r="G7" s="29" t="n">
        <x:v>2.787096774194</x:v>
      </x:c>
      <x:c r="H7" s="29" t="n">
        <x:v>5.32082111437</x:v>
      </x:c>
      <x:c r="I7" s="29" t="n">
        <x:v>2.9560117302049997</x:v>
      </x:c>
      <x:c r="J7" s="29" t="n">
        <x:f>SUM(C7:I7)</x:f>
        <x:v>28.799999999999997</x:v>
      </x:c>
    </x:row>
    <x:row r="8">
      <x:c r="A8" s="34" t="str">
        <x:v>VARIABLE RENEWABLES</x:v>
      </x:c>
      <x:c r="B8" s="24" t="str">
        <x:v>WIND_OFFSHORE</x:v>
      </x:c>
      <x:c r="C8" s="29" t="n">
        <x:v>1.1842105263159999</x:v>
      </x:c>
      <x:c r="D8" s="29" t="n">
        <x:v>0.6315789473679999</x:v>
      </x:c>
      <x:c r="E8" s="29" t="n">
        <x:v>1.2631578947370001</x:v>
      </x:c>
      <x:c r="F8" s="29" t="n">
        <x:v>3.710526315789</x:v>
      </x:c>
      <x:c r="G8" s="29" t="n">
        <x:v>0.473684210526</x:v>
      </x:c>
      <x:c r="H8" s="29" t="n">
        <x:v>2.3684210526319998</x:v>
      </x:c>
      <x:c r="I8" s="29" t="n">
        <x:v>2.3684210526319998</x:v>
      </x:c>
      <x:c r="J8" s="29" t="n">
        <x:f>SUM(C8:I8)</x:f>
        <x:v>11.999999999999998</x:v>
      </x:c>
    </x:row>
    <x:row r="9">
      <x:c r="A9" s="35" t="str">
        <x:v>VARIABLE RENEWABLES TOTAL</x:v>
      </x:c>
      <x:c r="B9" s="25"/>
      <x:c r="C9" s="30" t="n">
        <x:f>SUM(C5:C8)</x:f>
        <x:v>70.42875522892498</x:v>
      </x:c>
      <x:c r="D9" s="30" t="n">
        <x:f>SUM(D5:D8)</x:f>
        <x:v>16.532684293634</x:v>
      </x:c>
      <x:c r="E9" s="30" t="n">
        <x:f>SUM(E5:E8)</x:f>
        <x:v>39.591874339583</x:v>
      </x:c>
      <x:c r="F9" s="30" t="n">
        <x:f>SUM(F5:F8)</x:f>
        <x:v>48.90357842497001</x:v>
      </x:c>
      <x:c r="G9" s="30" t="n">
        <x:f>SUM(G5:G8)</x:f>
        <x:v>9.097009272561001</x:v>
      </x:c>
      <x:c r="H9" s="30" t="n">
        <x:f>SUM(H5:H8)</x:f>
        <x:v>31.682625128127</x:v>
      </x:c>
      <x:c r="I9" s="30" t="n">
        <x:f>SUM(I5:I8)</x:f>
        <x:v>20.563473312200998</x:v>
      </x:c>
      <x:c r="J9" s="30" t="n">
        <x:f>SUM(J5:J8)</x:f>
        <x:v>236.80000000000103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3.04129435558</x:v>
      </x:c>
      <x:c r="D18" s="29" t="n">
        <x:v>1.0487221915790002</x:v>
      </x:c>
      <x:c r="E18" s="29" t="n">
        <x:v>5.495304283876</x:v>
      </x:c>
      <x:c r="F18" s="29" t="n">
        <x:v>10.214554145983</x:v>
      </x:c>
      <x:c r="G18" s="29" t="n">
        <x:v>2.265239933811</x:v>
      </x:c>
      <x:c r="H18" s="29" t="n">
        <x:v>7.802493105350001</x:v>
      </x:c>
      <x:c r="I18" s="29" t="n">
        <x:v>5.0548409634119995</x:v>
      </x:c>
      <x:c r="J18" s="29" t="n">
        <x:f>SUM(C18:I18)</x:f>
        <x:v>34.922448979590996</x:v>
      </x:c>
    </x:row>
    <x:row r="19">
      <x:c r="A19" s="35" t="str">
        <x:v>STORAGE POWER TOTAL</x:v>
      </x:c>
      <x:c r="B19" s="25"/>
      <x:c r="C19" s="30" t="n">
        <x:f>SUM(C18:C18)</x:f>
        <x:v>3.04129435558</x:v>
      </x:c>
      <x:c r="D19" s="30" t="n">
        <x:f>SUM(D18:D18)</x:f>
        <x:v>1.0487221915790002</x:v>
      </x:c>
      <x:c r="E19" s="30" t="n">
        <x:f>SUM(E18:E18)</x:f>
        <x:v>5.495304283876</x:v>
      </x:c>
      <x:c r="F19" s="30" t="n">
        <x:f>SUM(F18:F18)</x:f>
        <x:v>10.214554145983</x:v>
      </x:c>
      <x:c r="G19" s="30" t="n">
        <x:f>SUM(G18:G18)</x:f>
        <x:v>2.265239933811</x:v>
      </x:c>
      <x:c r="H19" s="30" t="n">
        <x:f>SUM(H18:H18)</x:f>
        <x:v>7.802493105350001</x:v>
      </x:c>
      <x:c r="I19" s="30" t="n">
        <x:f>SUM(I18:I18)</x:f>
        <x:v>5.0548409634119995</x:v>
      </x:c>
      <x:c r="J19" s="30" t="n">
        <x:f>SUM(J18:J18)</x:f>
        <x:v>34.922448979590996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6" t="str">
        <x:v>DISPATCHABLE / PROGRAMMABLE</x:v>
      </x:c>
      <x:c r="B21" s="26" t="str">
        <x:v>GEOTHERMAL</x:v>
      </x:c>
      <x:c r="C21" s="31" t="n">
        <x:v>0</x:v>
      </x:c>
      <x:c r="D21" s="31" t="n">
        <x:v>0.77179</x:v>
      </x:c>
      <x:c r="E21" s="31" t="n">
        <x:v>0</x:v>
      </x:c>
      <x:c r="F21" s="31" t="n">
        <x:v>0</x:v>
      </x:c>
      <x:c r="G21" s="31" t="n">
        <x:v>0</x:v>
      </x:c>
      <x:c r="H21" s="31" t="n">
        <x:v>0</x:v>
      </x:c>
      <x:c r="I21" s="31" t="n">
        <x:v>0</x:v>
      </x:c>
      <x:c r="J21" s="31" t="n">
        <x:f>SUM(C21:I21)</x:f>
        <x:v>0.77179</x:v>
      </x:c>
    </x:row>
    <x:row r="22">
      <x:c r="A22" s="36" t="str">
        <x:v>DISPATCHABLE / PROGRAMMABLE</x:v>
      </x:c>
      <x:c r="B22" s="26" t="str">
        <x:v>BIOENERGY</x:v>
      </x:c>
      <x:c r="C22" s="31" t="n">
        <x:v>4.542288621371</x:v>
      </x:c>
      <x:c r="D22" s="31" t="n">
        <x:v>0.343258566564</x:v>
      </x:c>
      <x:c r="E22" s="31" t="n">
        <x:v>0.85341991232</x:v>
      </x:c>
      <x:c r="F22" s="31" t="n">
        <x:v>0.8538505950840001</x:v>
      </x:c>
      <x:c r="G22" s="31" t="n">
        <x:v>0.335831107297</x:v>
      </x:c>
      <x:c r="H22" s="31" t="n">
        <x:v>0.132916357988</x:v>
      </x:c>
      <x:c r="I22" s="31" t="n">
        <x:v>0.212364886255</x:v>
      </x:c>
      <x:c r="J22" s="31" t="n">
        <x:f>SUM(C22:I22)</x:f>
        <x:v>7.273930046879</x:v>
      </x:c>
    </x:row>
    <x:row r="23">
      <x:c r="A23" s="36" t="str">
        <x:v>DISPATCHABLE / PROGRAMMABLE</x:v>
      </x:c>
      <x:c r="B23" s="26" t="str">
        <x:v>BIOENERGY_CCS</x:v>
      </x:c>
      <x:c r="C23" s="31" t="n">
        <x:v>2.5711067668139997</x:v>
      </x:c>
      <x:c r="D23" s="31" t="n">
        <x:v>0.194297301828</x:v>
      </x:c>
      <x:c r="E23" s="31" t="n">
        <x:v>0.483067874898</x:v>
      </x:c>
      <x:c r="F23" s="31" t="n">
        <x:v>0.483311657595</x:v>
      </x:c>
      <x:c r="G23" s="31" t="n">
        <x:v>0.19009307960199998</x:v>
      </x:c>
      <x:c r="H23" s="31" t="n">
        <x:v>0.075235674333</x:v>
      </x:c>
      <x:c r="I23" s="31" t="n">
        <x:v>0.12020653939</x:v>
      </x:c>
      <x:c r="J23" s="31" t="n">
        <x:f>SUM(C23:I23)</x:f>
        <x:v>4.117318894459999</x:v>
      </x:c>
    </x:row>
    <x:row r="24">
      <x:c r="A24" s="34" t="str">
        <x:v>DISPATCHABLE / PROGRAMMABLE</x:v>
      </x:c>
      <x:c r="B24" s="24" t="str">
        <x:v>GAS_CCS</x:v>
      </x:c>
      <x:c r="C24" s="29" t="n">
        <x:v>11.242424982568767</x:v>
      </x:c>
      <x:c r="D24" s="29" t="n">
        <x:v>0.778703449977753</x:v>
      </x:c>
      <x:c r="E24" s="29" t="n">
        <x:v>3.084131852400043</x:v>
      </x:c>
      <x:c r="F24" s="29" t="n">
        <x:v>2.155007952349045</x:v>
      </x:c>
      <x:c r="G24" s="29" t="n">
        <x:v>1.5758411685884768</x:v>
      </x:c>
      <x:c r="H24" s="29" t="n">
        <x:v>1.47726929160156</x:v>
      </x:c>
      <x:c r="I24" s="29" t="n">
        <x:v>0.309798880544651</x:v>
      </x:c>
      <x:c r="J24" s="29" t="n">
        <x:f>SUM(C24:I24)</x:f>
        <x:v>20.623177578030294</x:v>
      </x:c>
    </x:row>
    <x:row r="25">
      <x:c r="A25" s="34" t="str">
        <x:v>DISPATCHABLE / PROGRAMMABLE</x:v>
      </x:c>
      <x:c r="B25" s="24" t="str">
        <x:v>GAS_OTHER_FOSSIL</x:v>
      </x:c>
      <x:c r="C25" s="29" t="n">
        <x:v>2.7180293733791583</x:v>
      </x:c>
      <x:c r="D25" s="29" t="n">
        <x:v>1.547381487461866</x:v>
      </x:c>
      <x:c r="E25" s="29" t="n">
        <x:v>2.4825907879645293</x:v>
      </x:c>
      <x:c r="F25" s="29" t="n">
        <x:v>0.8265720032839069</x:v>
      </x:c>
      <x:c r="G25" s="29" t="n">
        <x:v>0.697847156462487</x:v>
      </x:c>
      <x:c r="H25" s="29" t="n">
        <x:v>2.106030750027032</x:v>
      </x:c>
      <x:c r="I25" s="29" t="n">
        <x:v>0.448716669893722</x:v>
      </x:c>
      <x:c r="J25" s="29" t="n">
        <x:f>SUM(C25:I25)</x:f>
        <x:v>10.827168228472702</x:v>
      </x:c>
    </x:row>
    <x:row r="26">
      <x:c r="A26" s="36" t="str">
        <x:v>DISPATCHABLE / PROGRAMMABLE</x:v>
      </x:c>
      <x:c r="B26" s="26" t="str">
        <x:v>NUCLEAR</x:v>
      </x:c>
      <x:c r="C26" s="31" t="n">
        <x:v>5</x:v>
      </x:c>
      <x:c r="D26" s="31" t="n">
        <x:v>0</x:v>
      </x:c>
      <x:c r="E26" s="31" t="n">
        <x:v>3</x:v>
      </x:c>
      <x:c r="F26" s="31" t="n">
        <x:v>0</x:v>
      </x:c>
      <x:c r="G26" s="31" t="n">
        <x:v>0</x:v>
      </x:c>
      <x:c r="H26" s="31" t="n">
        <x:v>0</x:v>
      </x:c>
      <x:c r="I26" s="31" t="n">
        <x:v>0</x:v>
      </x:c>
      <x:c r="J26" s="31" t="n">
        <x:f>SUM(C26:I26)</x:f>
        <x:v>8</x:v>
      </x:c>
    </x:row>
    <x:row r="27">
      <x:c r="A27" s="35" t="str">
        <x:v>DISPATCHABLE / PROGRAMMABLE TOTAL</x:v>
      </x:c>
      <x:c r="B27" s="25"/>
      <x:c r="C27" s="30" t="n">
        <x:f>SUM(C21:C26)</x:f>
        <x:v>26.07384974413293</x:v>
      </x:c>
      <x:c r="D27" s="30" t="n">
        <x:f>SUM(D21:D26)</x:f>
        <x:v>3.635430805831619</x:v>
      </x:c>
      <x:c r="E27" s="30" t="n">
        <x:f>SUM(E21:E26)</x:f>
        <x:v>9.903210427582572</x:v>
      </x:c>
      <x:c r="F27" s="30" t="n">
        <x:f>SUM(F21:F26)</x:f>
        <x:v>4.318742208311952</x:v>
      </x:c>
      <x:c r="G27" s="30" t="n">
        <x:f>SUM(G21:G26)</x:f>
        <x:v>2.7996125119499635</x:v>
      </x:c>
      <x:c r="H27" s="30" t="n">
        <x:f>SUM(H21:H26)</x:f>
        <x:v>3.791452073949592</x:v>
      </x:c>
      <x:c r="I27" s="30" t="n">
        <x:f>SUM(I21:I26)</x:f>
        <x:v>1.091086976083373</x:v>
      </x:c>
      <x:c r="J27" s="30" t="n">
        <x:f>SUM(J21:J26)</x:f>
        <x:v>51.61338474784199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2050 Base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Base/High capacity values are unchanged from the accepted baseline candidate.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50.86435070306</x:v>
      </x:c>
      <x:c r="D5" s="28" t="n">
        <x:v>6.687344913151</x:v>
      </x:c>
      <x:c r="E5" s="28" t="n">
        <x:v>11.145574855252</x:v>
      </x:c>
      <x:c r="F5" s="28" t="n">
        <x:v>3.4449958643509997</x:v>
      </x:c>
      <x:c r="G5" s="28" t="n">
        <x:v>2.22911497105</x:v>
      </x:c>
      <x:c r="H5" s="28" t="n">
        <x:v>6.687344913151</x:v>
      </x:c>
      <x:c r="I5" s="28" t="n">
        <x:v>3.4449958643509997</x:v>
      </x:c>
      <x:c r="J5" s="28" t="n">
        <x:f>SUM(C5:I5)</x:f>
        <x:v>84.50372208436599</x:v>
      </x:c>
    </x:row>
    <x:row r="6">
      <x:c r="A6" s="34" t="str">
        <x:v>VARIABLE RENEWABLES</x:v>
      </x:c>
      <x:c r="B6" s="24" t="str">
        <x:v>SOLAR_PV_UTILITY</x:v>
      </x:c>
      <x:c r="C6" s="29" t="n">
        <x:v>35.057899090157</x:v>
      </x:c>
      <x:c r="D6" s="29" t="n">
        <x:v>12.766749379653</x:v>
      </x:c>
      <x:c r="E6" s="29" t="n">
        <x:v>29.586435070306003</x:v>
      </x:c>
      <x:c r="F6" s="29" t="n">
        <x:v>39.110835401158</x:v>
      </x:c>
      <x:c r="G6" s="29" t="n">
        <x:v>5.066170388751</x:v>
      </x:c>
      <x:c r="H6" s="29" t="n">
        <x:v>23.304383788255</x:v>
      </x:c>
      <x:c r="I6" s="29" t="n">
        <x:v>15.603804797353</x:v>
      </x:c>
      <x:c r="J6" s="29" t="n">
        <x:f>SUM(C6:I6)</x:f>
        <x:v>160.49627791563302</x:v>
      </x:c>
    </x:row>
    <x:row r="7">
      <x:c r="A7" s="34" t="str">
        <x:v>VARIABLE RENEWABLES</x:v>
      </x:c>
      <x:c r="B7" s="24" t="str">
        <x:v>WIND_ONSHORE</x:v>
      </x:c>
      <x:c r="C7" s="29" t="n">
        <x:v>0.633431085044</x:v>
      </x:c>
      <x:c r="D7" s="29" t="n">
        <x:v>0.422287390029</x:v>
      </x:c>
      <x:c r="E7" s="29" t="n">
        <x:v>7.178885630499001</x:v>
      </x:c>
      <x:c r="F7" s="29" t="n">
        <x:v>13.935483870968001</x:v>
      </x:c>
      <x:c r="G7" s="29" t="n">
        <x:v>3.4838709677420003</x:v>
      </x:c>
      <x:c r="H7" s="29" t="n">
        <x:v>6.651026392962</x:v>
      </x:c>
      <x:c r="I7" s="29" t="n">
        <x:v>3.6950146627570004</x:v>
      </x:c>
      <x:c r="J7" s="29" t="n">
        <x:f>SUM(C7:I7)</x:f>
        <x:v>36.00000000000101</x:v>
      </x:c>
    </x:row>
    <x:row r="8">
      <x:c r="A8" s="34" t="str">
        <x:v>VARIABLE RENEWABLES</x:v>
      </x:c>
      <x:c r="B8" s="24" t="str">
        <x:v>WIND_OFFSHORE</x:v>
      </x:c>
      <x:c r="C8" s="29" t="n">
        <x:v>1.4802631578949998</x:v>
      </x:c>
      <x:c r="D8" s="29" t="n">
        <x:v>0.789473684211</x:v>
      </x:c>
      <x:c r="E8" s="29" t="n">
        <x:v>1.578947368421</x:v>
      </x:c>
      <x:c r="F8" s="29" t="n">
        <x:v>4.638157894737</x:v>
      </x:c>
      <x:c r="G8" s="29" t="n">
        <x:v>0.5921052631579999</x:v>
      </x:c>
      <x:c r="H8" s="29" t="n">
        <x:v>2.960526315789</x:v>
      </x:c>
      <x:c r="I8" s="29" t="n">
        <x:v>2.960526315789</x:v>
      </x:c>
      <x:c r="J8" s="29" t="n">
        <x:f>SUM(C8:I8)</x:f>
        <x:v>15</x:v>
      </x:c>
    </x:row>
    <x:row r="9">
      <x:c r="A9" s="35" t="str">
        <x:v>VARIABLE RENEWABLES TOTAL</x:v>
      </x:c>
      <x:c r="B9" s="25"/>
      <x:c r="C9" s="30" t="n">
        <x:f>SUM(C5:C8)</x:f>
        <x:v>88.03594403615598</x:v>
      </x:c>
      <x:c r="D9" s="30" t="n">
        <x:f>SUM(D5:D8)</x:f>
        <x:v>20.665855367044</x:v>
      </x:c>
      <x:c r="E9" s="30" t="n">
        <x:f>SUM(E5:E8)</x:f>
        <x:v>49.489842924478005</x:v>
      </x:c>
      <x:c r="F9" s="30" t="n">
        <x:f>SUM(F5:F8)</x:f>
        <x:v>61.129473031214</x:v>
      </x:c>
      <x:c r="G9" s="30" t="n">
        <x:f>SUM(G5:G8)</x:f>
        <x:v>11.371261590701</x:v>
      </x:c>
      <x:c r="H9" s="30" t="n">
        <x:f>SUM(H5:H8)</x:f>
        <x:v>39.603281410156995</x:v>
      </x:c>
      <x:c r="I9" s="30" t="n">
        <x:f>SUM(I5:I8)</x:f>
        <x:v>25.70434164025</x:v>
      </x:c>
      <x:c r="J9" s="30" t="n">
        <x:f>SUM(J5:J8)</x:f>
        <x:v>296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3.8016179444750002</x:v>
      </x:c>
      <x:c r="D18" s="29" t="n">
        <x:v>1.310902739474</x:v>
      </x:c>
      <x:c r="E18" s="29" t="n">
        <x:v>6.869130354845</x:v>
      </x:c>
      <x:c r="F18" s="29" t="n">
        <x:v>12.768192682478</x:v>
      </x:c>
      <x:c r="G18" s="29" t="n">
        <x:v>2.831549917264</x:v>
      </x:c>
      <x:c r="H18" s="29" t="n">
        <x:v>9.753116381688</x:v>
      </x:c>
      <x:c r="I18" s="29" t="n">
        <x:v>6.318551204265</x:v>
      </x:c>
      <x:c r="J18" s="29" t="n">
        <x:f>SUM(C18:I18)</x:f>
        <x:v>43.653061224489</x:v>
      </x:c>
    </x:row>
    <x:row r="19">
      <x:c r="A19" s="35" t="str">
        <x:v>STORAGE POWER TOTAL</x:v>
      </x:c>
      <x:c r="B19" s="25"/>
      <x:c r="C19" s="30" t="n">
        <x:f>SUM(C18:C18)</x:f>
        <x:v>3.8016179444750002</x:v>
      </x:c>
      <x:c r="D19" s="30" t="n">
        <x:f>SUM(D18:D18)</x:f>
        <x:v>1.310902739474</x:v>
      </x:c>
      <x:c r="E19" s="30" t="n">
        <x:f>SUM(E18:E18)</x:f>
        <x:v>6.869130354845</x:v>
      </x:c>
      <x:c r="F19" s="30" t="n">
        <x:f>SUM(F18:F18)</x:f>
        <x:v>12.768192682478</x:v>
      </x:c>
      <x:c r="G19" s="30" t="n">
        <x:f>SUM(G18:G18)</x:f>
        <x:v>2.831549917264</x:v>
      </x:c>
      <x:c r="H19" s="30" t="n">
        <x:f>SUM(H18:H18)</x:f>
        <x:v>9.753116381688</x:v>
      </x:c>
      <x:c r="I19" s="30" t="n">
        <x:f>SUM(I18:I18)</x:f>
        <x:v>6.318551204265</x:v>
      </x:c>
      <x:c r="J19" s="30" t="n">
        <x:f>SUM(J18:J18)</x:f>
        <x:v>43.653061224489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4" t="str">
        <x:v>DISPATCHABLE / PROGRAMMABLE</x:v>
      </x:c>
      <x:c r="B21" s="24" t="str">
        <x:v>GEOTHERMAL</x:v>
      </x:c>
      <x:c r="C21" s="29" t="n">
        <x:v>0</x:v>
      </x:c>
      <x:c r="D21" s="29" t="n">
        <x:v>0.77179</x:v>
      </x:c>
      <x:c r="E21" s="29" t="n">
        <x:v>0</x:v>
      </x:c>
      <x:c r="F21" s="29" t="n">
        <x:v>0</x:v>
      </x:c>
      <x:c r="G21" s="29" t="n">
        <x:v>0</x:v>
      </x:c>
      <x:c r="H21" s="29" t="n">
        <x:v>0</x:v>
      </x:c>
      <x:c r="I21" s="29" t="n">
        <x:v>0</x:v>
      </x:c>
      <x:c r="J21" s="29" t="n">
        <x:f>SUM(C21:I21)</x:f>
        <x:v>0.77179</x:v>
      </x:c>
    </x:row>
    <x:row r="22">
      <x:c r="A22" s="34" t="str">
        <x:v>DISPATCHABLE / PROGRAMMABLE</x:v>
      </x:c>
      <x:c r="B22" s="24" t="str">
        <x:v>BIOENERGY</x:v>
      </x:c>
      <x:c r="C22" s="29" t="n">
        <x:v>4.542288621371</x:v>
      </x:c>
      <x:c r="D22" s="29" t="n">
        <x:v>0.343258566564</x:v>
      </x:c>
      <x:c r="E22" s="29" t="n">
        <x:v>0.85341991232</x:v>
      </x:c>
      <x:c r="F22" s="29" t="n">
        <x:v>0.8538505950840001</x:v>
      </x:c>
      <x:c r="G22" s="29" t="n">
        <x:v>0.335831107297</x:v>
      </x:c>
      <x:c r="H22" s="29" t="n">
        <x:v>0.132916357988</x:v>
      </x:c>
      <x:c r="I22" s="29" t="n">
        <x:v>0.212364886255</x:v>
      </x:c>
      <x:c r="J22" s="29" t="n">
        <x:f>SUM(C22:I22)</x:f>
        <x:v>7.273930046879</x:v>
      </x:c>
    </x:row>
    <x:row r="23">
      <x:c r="A23" s="34" t="str">
        <x:v>DISPATCHABLE / PROGRAMMABLE</x:v>
      </x:c>
      <x:c r="B23" s="24" t="str">
        <x:v>BIOENERGY_CCS</x:v>
      </x:c>
      <x:c r="C23" s="29" t="n">
        <x:v>2.5711067668139997</x:v>
      </x:c>
      <x:c r="D23" s="29" t="n">
        <x:v>0.194297301828</x:v>
      </x:c>
      <x:c r="E23" s="29" t="n">
        <x:v>0.483067874898</x:v>
      </x:c>
      <x:c r="F23" s="29" t="n">
        <x:v>0.483311657595</x:v>
      </x:c>
      <x:c r="G23" s="29" t="n">
        <x:v>0.19009307960199998</x:v>
      </x:c>
      <x:c r="H23" s="29" t="n">
        <x:v>0.075235674333</x:v>
      </x:c>
      <x:c r="I23" s="29" t="n">
        <x:v>0.12020653939</x:v>
      </x:c>
      <x:c r="J23" s="29" t="n">
        <x:f>SUM(C23:I23)</x:f>
        <x:v>4.117318894459999</x:v>
      </x:c>
    </x:row>
    <x:row r="24">
      <x:c r="A24" s="34" t="str">
        <x:v>DISPATCHABLE / PROGRAMMABLE</x:v>
      </x:c>
      <x:c r="B24" s="24" t="str">
        <x:v>GAS_CCS</x:v>
      </x:c>
      <x:c r="C24" s="29" t="n">
        <x:v>3.516377767001</x:v>
      </x:c>
      <x:c r="D24" s="29" t="n">
        <x:v>0.243560931279</x:v>
      </x:c>
      <x:c r="E24" s="29" t="n">
        <x:v>0.964647101768</x:v>
      </x:c>
      <x:c r="F24" s="29" t="n">
        <x:v>0.674038035664</x:v>
      </x:c>
      <x:c r="G24" s="29" t="n">
        <x:v>0.492887687322</x:v>
      </x:c>
      <x:c r="H24" s="29" t="n">
        <x:v>0.462056620428</x:v>
      </x:c>
      <x:c r="I24" s="29" t="n">
        <x:v>0.096898124513</x:v>
      </x:c>
      <x:c r="J24" s="29" t="n">
        <x:f>SUM(C24:I24)</x:f>
        <x:v>6.450466267975</x:v>
      </x:c>
    </x:row>
    <x:row r="25">
      <x:c r="A25" s="34" t="str">
        <x:v>DISPATCHABLE / PROGRAMMABLE</x:v>
      </x:c>
      <x:c r="B25" s="24" t="str">
        <x:v>GAS_OTHER_FOSSIL</x:v>
      </x:c>
      <x:c r="C25" s="29" t="n">
        <x:v>0.850138477546</x:v>
      </x:c>
      <x:c r="D25" s="29" t="n">
        <x:v>0.483986138935</x:v>
      </x:c>
      <x:c r="E25" s="29" t="n">
        <x:v>0.77649858148</x:v>
      </x:c>
      <x:c r="F25" s="29" t="n">
        <x:v>0.258533138507</x:v>
      </x:c>
      <x:c r="G25" s="29" t="n">
        <x:v>0.218270900589</x:v>
      </x:c>
      <x:c r="H25" s="29" t="n">
        <x:v>0.6587190679499999</x:v>
      </x:c>
      <x:c r="I25" s="29" t="n">
        <x:v>0.14034848568199998</x:v>
      </x:c>
      <x:c r="J25" s="29" t="n">
        <x:f>SUM(C25:I25)</x:f>
        <x:v>3.3864947906889995</x:v>
      </x:c>
    </x:row>
    <x:row r="26">
      <x:c r="A26" s="34" t="str">
        <x:v>DISPATCHABLE / PROGRAMMABLE</x:v>
      </x:c>
      <x:c r="B26" s="24" t="str">
        <x:v>NUCLEAR</x:v>
      </x:c>
      <x:c r="C26" s="29" t="n">
        <x:v>5</x:v>
      </x:c>
      <x:c r="D26" s="29" t="n">
        <x:v>0</x:v>
      </x:c>
      <x:c r="E26" s="29" t="n">
        <x:v>3</x:v>
      </x:c>
      <x:c r="F26" s="29" t="n">
        <x:v>0</x:v>
      </x:c>
      <x:c r="G26" s="29" t="n">
        <x:v>0</x:v>
      </x:c>
      <x:c r="H26" s="29" t="n">
        <x:v>0</x:v>
      </x:c>
      <x:c r="I26" s="29" t="n">
        <x:v>0</x:v>
      </x:c>
      <x:c r="J26" s="29" t="n">
        <x:f>SUM(C26:I26)</x:f>
        <x:v>8</x:v>
      </x:c>
    </x:row>
    <x:row r="27">
      <x:c r="A27" s="35" t="str">
        <x:v>DISPATCHABLE / PROGRAMMABLE TOTAL</x:v>
      </x:c>
      <x:c r="B27" s="25"/>
      <x:c r="C27" s="30" t="n">
        <x:f>SUM(C21:C26)</x:f>
        <x:v>16.479911632731998</x:v>
      </x:c>
      <x:c r="D27" s="30" t="n">
        <x:f>SUM(D21:D26)</x:f>
        <x:v>2.036892938606</x:v>
      </x:c>
      <x:c r="E27" s="30" t="n">
        <x:f>SUM(E21:E26)</x:f>
        <x:v>6.077633470466</x:v>
      </x:c>
      <x:c r="F27" s="30" t="n">
        <x:f>SUM(F21:F26)</x:f>
        <x:v>2.2697334268500002</x:v>
      </x:c>
      <x:c r="G27" s="30" t="n">
        <x:f>SUM(G21:G26)</x:f>
        <x:v>1.23708277481</x:v>
      </x:c>
      <x:c r="H27" s="30" t="n">
        <x:f>SUM(H21:H26)</x:f>
        <x:v>1.3289277206989998</x:v>
      </x:c>
      <x:c r="I27" s="30" t="n">
        <x:f>SUM(I21:I26)</x:f>
        <x:v>0.56981803584</x:v>
      </x:c>
      <x:c r="J27" s="30" t="n">
        <x:f>SUM(J21:J26)</x:f>
        <x:v>30.000000000003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" t="str">
        <x:v>2050 High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SCENARIO CAPACITY PACKAGE V2: Base/High capacity values are unchanged from the accepted baseline candidate.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Block</x:v>
      </x:c>
      <x:c r="B4" s="10" t="str">
        <x:v>Technology</x:v>
      </x:c>
      <x:c r="C4" s="10" t="str">
        <x:v>NORD</x:v>
      </x:c>
      <x:c r="D4" s="10" t="str">
        <x:v>CNOR</x:v>
      </x:c>
      <x:c r="E4" s="10" t="str">
        <x:v>CSUD</x:v>
      </x:c>
      <x:c r="F4" s="10" t="str">
        <x:v>SUD</x:v>
      </x:c>
      <x:c r="G4" s="10" t="str">
        <x:v>CALA</x:v>
      </x:c>
      <x:c r="H4" s="10" t="str">
        <x:v>SICI</x:v>
      </x:c>
      <x:c r="I4" s="10" t="str">
        <x:v>SARD</x:v>
      </x:c>
      <x:c r="J4" s="10" t="str">
        <x:v>ITALY</x:v>
      </x:c>
    </x:row>
    <x:row r="5">
      <x:c r="A5" s="33" t="str">
        <x:v>VARIABLE RENEWABLES</x:v>
      </x:c>
      <x:c r="B5" s="23" t="str">
        <x:v>SOLAR_PV_ROOFTOP</x:v>
      </x:c>
      <x:c r="C5" s="28" t="n">
        <x:v>55.950785773366</x:v>
      </x:c>
      <x:c r="D5" s="28" t="n">
        <x:v>7.356079404467</x:v>
      </x:c>
      <x:c r="E5" s="28" t="n">
        <x:v>12.260132340778</x:v>
      </x:c>
      <x:c r="F5" s="28" t="n">
        <x:v>3.789495450786</x:v>
      </x:c>
      <x:c r="G5" s="28" t="n">
        <x:v>2.4520264681560002</x:v>
      </x:c>
      <x:c r="H5" s="28" t="n">
        <x:v>7.356079404467</x:v>
      </x:c>
      <x:c r="I5" s="28" t="n">
        <x:v>3.789495450786</x:v>
      </x:c>
      <x:c r="J5" s="28" t="n">
        <x:f>SUM(C5:I5)</x:f>
        <x:v>92.95409429280602</x:v>
      </x:c>
    </x:row>
    <x:row r="6">
      <x:c r="A6" s="34" t="str">
        <x:v>VARIABLE RENEWABLES</x:v>
      </x:c>
      <x:c r="B6" s="24" t="str">
        <x:v>SOLAR_PV_UTILITY</x:v>
      </x:c>
      <x:c r="C6" s="29" t="n">
        <x:v>38.563688999172996</x:v>
      </x:c>
      <x:c r="D6" s="29" t="n">
        <x:v>14.043424317618001</x:v>
      </x:c>
      <x:c r="E6" s="29" t="n">
        <x:v>32.545078577337</x:v>
      </x:c>
      <x:c r="F6" s="29" t="n">
        <x:v>43.021918941274</x:v>
      </x:c>
      <x:c r="G6" s="29" t="n">
        <x:v>5.572787427626</x:v>
      </x:c>
      <x:c r="H6" s="29" t="n">
        <x:v>25.634822167080003</x:v>
      </x:c>
      <x:c r="I6" s="29" t="n">
        <x:v>17.164185277089</x:v>
      </x:c>
      <x:c r="J6" s="29" t="n">
        <x:f>SUM(C6:I6)</x:f>
        <x:v>176.54590570719702</x:v>
      </x:c>
    </x:row>
    <x:row r="7">
      <x:c r="A7" s="34" t="str">
        <x:v>VARIABLE RENEWABLES</x:v>
      </x:c>
      <x:c r="B7" s="24" t="str">
        <x:v>WIND_ONSHORE</x:v>
      </x:c>
      <x:c r="C7" s="29" t="n">
        <x:v>0.696774193548</x:v>
      </x:c>
      <x:c r="D7" s="29" t="n">
        <x:v>0.46451612903199996</x:v>
      </x:c>
      <x:c r="E7" s="29" t="n">
        <x:v>7.896774193548</x:v>
      </x:c>
      <x:c r="F7" s="29" t="n">
        <x:v>15.329032258065</x:v>
      </x:c>
      <x:c r="G7" s="29" t="n">
        <x:v>3.832258064516</x:v>
      </x:c>
      <x:c r="H7" s="29" t="n">
        <x:v>7.316129032258</x:v>
      </x:c>
      <x:c r="I7" s="29" t="n">
        <x:v>4.064516129032</x:v>
      </x:c>
      <x:c r="J7" s="29" t="n">
        <x:f>SUM(C7:I7)</x:f>
        <x:v>39.599999999999</x:v>
      </x:c>
    </x:row>
    <x:row r="8">
      <x:c r="A8" s="34" t="str">
        <x:v>VARIABLE RENEWABLES</x:v>
      </x:c>
      <x:c r="B8" s="24" t="str">
        <x:v>WIND_OFFSHORE</x:v>
      </x:c>
      <x:c r="C8" s="29" t="n">
        <x:v>1.6282894736840001</x:v>
      </x:c>
      <x:c r="D8" s="29" t="n">
        <x:v>0.8684210526320001</x:v>
      </x:c>
      <x:c r="E8" s="29" t="n">
        <x:v>1.7368421052629999</x:v>
      </x:c>
      <x:c r="F8" s="29" t="n">
        <x:v>5.101973684211</x:v>
      </x:c>
      <x:c r="G8" s="29" t="n">
        <x:v>0.651315789474</x:v>
      </x:c>
      <x:c r="H8" s="29" t="n">
        <x:v>3.2565789473680002</x:v>
      </x:c>
      <x:c r="I8" s="29" t="n">
        <x:v>3.2565789473680002</x:v>
      </x:c>
      <x:c r="J8" s="29" t="n">
        <x:f>SUM(C8:I8)</x:f>
        <x:v>16.5</x:v>
      </x:c>
    </x:row>
    <x:row r="9">
      <x:c r="A9" s="35" t="str">
        <x:v>VARIABLE RENEWABLES TOTAL</x:v>
      </x:c>
      <x:c r="B9" s="25"/>
      <x:c r="C9" s="30" t="n">
        <x:f>SUM(C5:C8)</x:f>
        <x:v>96.83953843977099</x:v>
      </x:c>
      <x:c r="D9" s="30" t="n">
        <x:f>SUM(D5:D8)</x:f>
        <x:v>22.732440903749</x:v>
      </x:c>
      <x:c r="E9" s="30" t="n">
        <x:f>SUM(E5:E8)</x:f>
        <x:v>54.438827216926</x:v>
      </x:c>
      <x:c r="F9" s="30" t="n">
        <x:f>SUM(F5:F8)</x:f>
        <x:v>67.242420334336</x:v>
      </x:c>
      <x:c r="G9" s="30" t="n">
        <x:f>SUM(G5:G8)</x:f>
        <x:v>12.508387749772</x:v>
      </x:c>
      <x:c r="H9" s="30" t="n">
        <x:f>SUM(H5:H8)</x:f>
        <x:v>43.563609551172995</x:v>
      </x:c>
      <x:c r="I9" s="30" t="n">
        <x:f>SUM(I5:I8)</x:f>
        <x:v>28.274775804275002</x:v>
      </x:c>
      <x:c r="J9" s="30" t="n">
        <x:f>SUM(J5:J8)</x:f>
        <x:v>325.60000000000207</x:v>
      </x:c>
    </x:row>
    <x:row r="10">
      <x:c r="A10" s="34"/>
      <x:c r="B10" s="24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34" t="str">
        <x:v>HYDRO — MUTUALLY EXCLUSIVE CLASSES</x:v>
      </x:c>
      <x:c r="B11" s="24" t="str">
        <x:v>HYDRO_RUN_OF_RIVER</x:v>
      </x:c>
      <x:c r="C11" s="29" t="n">
        <x:v>5.228210866305</x:v>
      </x:c>
      <x:c r="D11" s="29" t="n">
        <x:v>0.209314034422</x:v>
      </x:c>
      <x:c r="E11" s="29" t="n">
        <x:v>0.579820027388</x:v>
      </x:c>
      <x:c r="F11" s="29" t="n">
        <x:v>0.045411334869</x:v>
      </x:c>
      <x:c r="G11" s="29" t="n">
        <x:v>0.10674382989900001</x:v>
      </x:c>
      <x:c r="H11" s="29" t="n">
        <x:v>0.031552391362</x:v>
      </x:c>
      <x:c r="I11" s="29" t="n">
        <x:v>0.037947515755</x:v>
      </x:c>
      <x:c r="J11" s="29" t="n">
        <x:f>SUM(C11:I11)</x:f>
        <x:v>6.239000000000001</x:v>
      </x:c>
    </x:row>
    <x:row r="12">
      <x:c r="A12" s="34" t="str">
        <x:v>HYDRO — MUTUALLY EXCLUSIVE CLASSES</x:v>
      </x:c>
      <x:c r="B12" s="24" t="str">
        <x:v>HYDRO_BASIN</x:v>
      </x:c>
      <x:c r="C12" s="29" t="n">
        <x:v>3.512208833846</x:v>
      </x:c>
      <x:c r="D12" s="29" t="n">
        <x:v>0.238064607896</x:v>
      </x:c>
      <x:c r="E12" s="29" t="n">
        <x:v>0.582887284562</x:v>
      </x:c>
      <x:c r="F12" s="29" t="n">
        <x:v>0.103488209848</x:v>
      </x:c>
      <x:c r="G12" s="29" t="n">
        <x:v>0.417949832196</x:v>
      </x:c>
      <x:c r="H12" s="29" t="n">
        <x:v>0.058808504061</x:v>
      </x:c>
      <x:c r="I12" s="29" t="n">
        <x:v>0.10649272759299999</x:v>
      </x:c>
      <x:c r="J12" s="29" t="n">
        <x:f>SUM(C12:I12)</x:f>
        <x:v>5.019900000002</x:v>
      </x:c>
    </x:row>
    <x:row r="13">
      <x:c r="A13" s="34" t="str">
        <x:v>HYDRO — MUTUALLY EXCLUSIVE CLASSES</x:v>
      </x:c>
      <x:c r="B13" s="24" t="str">
        <x:v>HYDRO_RESERVOIR</x:v>
      </x:c>
      <x:c r="C13" s="29" t="n">
        <x:v>3.669318175474</x:v>
      </x:c>
      <x:c r="D13" s="29" t="n">
        <x:v>0.175818907682</x:v>
      </x:c>
      <x:c r="E13" s="29" t="n">
        <x:v>0.43048232401799996</x:v>
      </x:c>
      <x:c r="F13" s="29" t="n">
        <x:v>0.076429605283</x:v>
      </x:c>
      <x:c r="G13" s="29" t="n">
        <x:v>0.308670337905</x:v>
      </x:c>
      <x:c r="H13" s="29" t="n">
        <x:v>0.043432104578</x:v>
      </x:c>
      <x:c r="I13" s="29" t="n">
        <x:v>0.07864854506</x:v>
      </x:c>
      <x:c r="J13" s="29" t="n">
        <x:f>SUM(C13:I13)</x:f>
        <x:v>4.782799999999999</x:v>
      </x:c>
    </x:row>
    <x:row r="14">
      <x:c r="A14" s="34" t="str">
        <x:v>HYDRO — MUTUALLY EXCLUSIVE CLASSES</x:v>
      </x:c>
      <x:c r="B14" s="24" t="str">
        <x:v>PUMPED_HYDRO_PURE</x:v>
      </x:c>
      <x:c r="C14" s="29" t="n">
        <x:v>2.393185354581</x:v>
      </x:c>
      <x:c r="D14" s="29" t="n">
        <x:v>0</x:v>
      </x:c>
      <x:c r="E14" s="29" t="n">
        <x:v>0.9959156698220001</x:v>
      </x:c>
      <x:c r="F14" s="29" t="n">
        <x:v>0</x:v>
      </x:c>
      <x:c r="G14" s="29" t="n">
        <x:v>0</x:v>
      </x:c>
      <x:c r="H14" s="29" t="n">
        <x:v>0.5804745855969999</x:v>
      </x:c>
      <x:c r="I14" s="29" t="n">
        <x:v>0</x:v>
      </x:c>
      <x:c r="J14" s="29" t="n">
        <x:f>SUM(C14:I14)</x:f>
        <x:v>3.96957561</x:v>
      </x:c>
    </x:row>
    <x:row r="15">
      <x:c r="A15" s="34" t="str">
        <x:v>HYDRO — MUTUALLY EXCLUSIVE CLASSES</x:v>
      </x:c>
      <x:c r="B15" s="24" t="str">
        <x:v>PUMPED_HYDRO_MIXED</x:v>
      </x:c>
      <x:c r="C15" s="29" t="n">
        <x:v>2.305444434376</x:v>
      </x:c>
      <x:c r="D15" s="29" t="n">
        <x:v>0</x:v>
      </x:c>
      <x:c r="E15" s="29" t="n">
        <x:v>0.736949744032</x:v>
      </x:c>
      <x:c r="F15" s="29" t="n">
        <x:v>0</x:v>
      </x:c>
      <x:c r="G15" s="29" t="n">
        <x:v>0</x:v>
      </x:c>
      <x:c r="H15" s="29" t="n">
        <x:v>0</x:v>
      </x:c>
      <x:c r="I15" s="29" t="n">
        <x:v>0.24033021159200002</x:v>
      </x:c>
      <x:c r="J15" s="29" t="n">
        <x:f>SUM(C15:I15)</x:f>
        <x:v>3.2827243900000003</x:v>
      </x:c>
    </x:row>
    <x:row r="16">
      <x:c r="A16" s="35" t="str">
        <x:v>HYDRO — MUTUALLY EXCLUSIVE CLASSES TOTAL</x:v>
      </x:c>
      <x:c r="B16" s="25"/>
      <x:c r="C16" s="30" t="n">
        <x:f>SUM(C11:C15)</x:f>
        <x:v>17.108367664582</x:v>
      </x:c>
      <x:c r="D16" s="30" t="n">
        <x:f>SUM(D11:D15)</x:f>
        <x:v>0.62319755</x:v>
      </x:c>
      <x:c r="E16" s="30" t="n">
        <x:f>SUM(E11:E15)</x:f>
        <x:v>3.326055049822</x:v>
      </x:c>
      <x:c r="F16" s="30" t="n">
        <x:f>SUM(F11:F15)</x:f>
        <x:v>0.22532915</x:v>
      </x:c>
      <x:c r="G16" s="30" t="n">
        <x:f>SUM(G11:G15)</x:f>
        <x:v>0.833364</x:v>
      </x:c>
      <x:c r="H16" s="30" t="n">
        <x:f>SUM(H11:H15)</x:f>
        <x:v>0.714267585598</x:v>
      </x:c>
      <x:c r="I16" s="30" t="n">
        <x:f>SUM(I11:I15)</x:f>
        <x:v>0.463419</x:v>
      </x:c>
      <x:c r="J16" s="30" t="n">
        <x:f>SUM(J11:J15)</x:f>
        <x:v>23.294000000002</x:v>
      </x:c>
    </x:row>
    <x:row r="17">
      <x:c r="A17" s="34"/>
      <x:c r="B17" s="24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34" t="str">
        <x:v>STORAGE POWER</x:v>
      </x:c>
      <x:c r="B18" s="24" t="str">
        <x:v>BESS</x:v>
      </x:c>
      <x:c r="C18" s="29" t="n">
        <x:v>4.181779738923</x:v>
      </x:c>
      <x:c r="D18" s="29" t="n">
        <x:v>1.441993013422</x:v>
      </x:c>
      <x:c r="E18" s="29" t="n">
        <x:v>7.556043390329</x:v>
      </x:c>
      <x:c r="F18" s="29" t="n">
        <x:v>14.045011950726</x:v>
      </x:c>
      <x:c r="G18" s="29" t="n">
        <x:v>3.114704908991</x:v>
      </x:c>
      <x:c r="H18" s="29" t="n">
        <x:v>10.728428019856999</x:v>
      </x:c>
      <x:c r="I18" s="29" t="n">
        <x:v>6.9504063246920005</x:v>
      </x:c>
      <x:c r="J18" s="29" t="n">
        <x:f>SUM(C18:I18)</x:f>
        <x:v>48.018367346939996</x:v>
      </x:c>
    </x:row>
    <x:row r="19">
      <x:c r="A19" s="35" t="str">
        <x:v>STORAGE POWER TOTAL</x:v>
      </x:c>
      <x:c r="B19" s="25"/>
      <x:c r="C19" s="30" t="n">
        <x:f>SUM(C18:C18)</x:f>
        <x:v>4.181779738923</x:v>
      </x:c>
      <x:c r="D19" s="30" t="n">
        <x:f>SUM(D18:D18)</x:f>
        <x:v>1.441993013422</x:v>
      </x:c>
      <x:c r="E19" s="30" t="n">
        <x:f>SUM(E18:E18)</x:f>
        <x:v>7.556043390329</x:v>
      </x:c>
      <x:c r="F19" s="30" t="n">
        <x:f>SUM(F18:F18)</x:f>
        <x:v>14.045011950726</x:v>
      </x:c>
      <x:c r="G19" s="30" t="n">
        <x:f>SUM(G18:G18)</x:f>
        <x:v>3.114704908991</x:v>
      </x:c>
      <x:c r="H19" s="30" t="n">
        <x:f>SUM(H18:H18)</x:f>
        <x:v>10.728428019856999</x:v>
      </x:c>
      <x:c r="I19" s="30" t="n">
        <x:f>SUM(I18:I18)</x:f>
        <x:v>6.9504063246920005</x:v>
      </x:c>
      <x:c r="J19" s="30" t="n">
        <x:f>SUM(J18:J18)</x:f>
        <x:v>48.018367346939996</x:v>
      </x:c>
    </x:row>
    <x:row r="20">
      <x:c r="A20" s="34"/>
      <x:c r="B20" s="24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34" t="str">
        <x:v>DISPATCHABLE / PROGRAMMABLE</x:v>
      </x:c>
      <x:c r="B21" s="24" t="str">
        <x:v>GEOTHERMAL</x:v>
      </x:c>
      <x:c r="C21" s="29" t="n">
        <x:v>0</x:v>
      </x:c>
      <x:c r="D21" s="29" t="n">
        <x:v>0.77179</x:v>
      </x:c>
      <x:c r="E21" s="29" t="n">
        <x:v>0</x:v>
      </x:c>
      <x:c r="F21" s="29" t="n">
        <x:v>0</x:v>
      </x:c>
      <x:c r="G21" s="29" t="n">
        <x:v>0</x:v>
      </x:c>
      <x:c r="H21" s="29" t="n">
        <x:v>0</x:v>
      </x:c>
      <x:c r="I21" s="29" t="n">
        <x:v>0</x:v>
      </x:c>
      <x:c r="J21" s="29" t="n">
        <x:f>SUM(C21:I21)</x:f>
        <x:v>0.77179</x:v>
      </x:c>
    </x:row>
    <x:row r="22">
      <x:c r="A22" s="34" t="str">
        <x:v>DISPATCHABLE / PROGRAMMABLE</x:v>
      </x:c>
      <x:c r="B22" s="24" t="str">
        <x:v>BIOENERGY</x:v>
      </x:c>
      <x:c r="C22" s="29" t="n">
        <x:v>4.542288621371</x:v>
      </x:c>
      <x:c r="D22" s="29" t="n">
        <x:v>0.343258566564</x:v>
      </x:c>
      <x:c r="E22" s="29" t="n">
        <x:v>0.85341991232</x:v>
      </x:c>
      <x:c r="F22" s="29" t="n">
        <x:v>0.8538505950840001</x:v>
      </x:c>
      <x:c r="G22" s="29" t="n">
        <x:v>0.335831107297</x:v>
      </x:c>
      <x:c r="H22" s="29" t="n">
        <x:v>0.132916357988</x:v>
      </x:c>
      <x:c r="I22" s="29" t="n">
        <x:v>0.212364886255</x:v>
      </x:c>
      <x:c r="J22" s="29" t="n">
        <x:f>SUM(C22:I22)</x:f>
        <x:v>7.273930046879</x:v>
      </x:c>
    </x:row>
    <x:row r="23">
      <x:c r="A23" s="34" t="str">
        <x:v>DISPATCHABLE / PROGRAMMABLE</x:v>
      </x:c>
      <x:c r="B23" s="24" t="str">
        <x:v>BIOENERGY_CCS</x:v>
      </x:c>
      <x:c r="C23" s="29" t="n">
        <x:v>2.5711067668139997</x:v>
      </x:c>
      <x:c r="D23" s="29" t="n">
        <x:v>0.194297301828</x:v>
      </x:c>
      <x:c r="E23" s="29" t="n">
        <x:v>0.483067874898</x:v>
      </x:c>
      <x:c r="F23" s="29" t="n">
        <x:v>0.483311657595</x:v>
      </x:c>
      <x:c r="G23" s="29" t="n">
        <x:v>0.19009307960199998</x:v>
      </x:c>
      <x:c r="H23" s="29" t="n">
        <x:v>0.075235674333</x:v>
      </x:c>
      <x:c r="I23" s="29" t="n">
        <x:v>0.12020653939</x:v>
      </x:c>
      <x:c r="J23" s="29" t="n">
        <x:f>SUM(C23:I23)</x:f>
        <x:v>4.117318894459999</x:v>
      </x:c>
    </x:row>
    <x:row r="24">
      <x:c r="A24" s="34" t="str">
        <x:v>DISPATCHABLE / PROGRAMMABLE</x:v>
      </x:c>
      <x:c r="B24" s="24" t="str">
        <x:v>GAS_CCS</x:v>
      </x:c>
      <x:c r="C24" s="29" t="n">
        <x:v>3.516377767001</x:v>
      </x:c>
      <x:c r="D24" s="29" t="n">
        <x:v>0.243560931279</x:v>
      </x:c>
      <x:c r="E24" s="29" t="n">
        <x:v>0.964647101768</x:v>
      </x:c>
      <x:c r="F24" s="29" t="n">
        <x:v>0.674038035664</x:v>
      </x:c>
      <x:c r="G24" s="29" t="n">
        <x:v>0.492887687322</x:v>
      </x:c>
      <x:c r="H24" s="29" t="n">
        <x:v>0.462056620428</x:v>
      </x:c>
      <x:c r="I24" s="29" t="n">
        <x:v>0.096898124513</x:v>
      </x:c>
      <x:c r="J24" s="29" t="n">
        <x:f>SUM(C24:I24)</x:f>
        <x:v>6.450466267975</x:v>
      </x:c>
    </x:row>
    <x:row r="25">
      <x:c r="A25" s="34" t="str">
        <x:v>DISPATCHABLE / PROGRAMMABLE</x:v>
      </x:c>
      <x:c r="B25" s="24" t="str">
        <x:v>GAS_OTHER_FOSSIL</x:v>
      </x:c>
      <x:c r="C25" s="29" t="n">
        <x:v>0.850138477546</x:v>
      </x:c>
      <x:c r="D25" s="29" t="n">
        <x:v>0.483986138935</x:v>
      </x:c>
      <x:c r="E25" s="29" t="n">
        <x:v>0.77649858148</x:v>
      </x:c>
      <x:c r="F25" s="29" t="n">
        <x:v>0.258533138507</x:v>
      </x:c>
      <x:c r="G25" s="29" t="n">
        <x:v>0.218270900589</x:v>
      </x:c>
      <x:c r="H25" s="29" t="n">
        <x:v>0.6587190679499999</x:v>
      </x:c>
      <x:c r="I25" s="29" t="n">
        <x:v>0.14034848568199998</x:v>
      </x:c>
      <x:c r="J25" s="29" t="n">
        <x:f>SUM(C25:I25)</x:f>
        <x:v>3.3864947906889995</x:v>
      </x:c>
    </x:row>
    <x:row r="26">
      <x:c r="A26" s="34" t="str">
        <x:v>DISPATCHABLE / PROGRAMMABLE</x:v>
      </x:c>
      <x:c r="B26" s="24" t="str">
        <x:v>NUCLEAR</x:v>
      </x:c>
      <x:c r="C26" s="29" t="n">
        <x:v>5</x:v>
      </x:c>
      <x:c r="D26" s="29" t="n">
        <x:v>0</x:v>
      </x:c>
      <x:c r="E26" s="29" t="n">
        <x:v>3</x:v>
      </x:c>
      <x:c r="F26" s="29" t="n">
        <x:v>0</x:v>
      </x:c>
      <x:c r="G26" s="29" t="n">
        <x:v>0</x:v>
      </x:c>
      <x:c r="H26" s="29" t="n">
        <x:v>0</x:v>
      </x:c>
      <x:c r="I26" s="29" t="n">
        <x:v>0</x:v>
      </x:c>
      <x:c r="J26" s="29" t="n">
        <x:f>SUM(C26:I26)</x:f>
        <x:v>8</x:v>
      </x:c>
    </x:row>
    <x:row r="27">
      <x:c r="A27" s="35" t="str">
        <x:v>DISPATCHABLE / PROGRAMMABLE TOTAL</x:v>
      </x:c>
      <x:c r="B27" s="25"/>
      <x:c r="C27" s="30" t="n">
        <x:f>SUM(C21:C26)</x:f>
        <x:v>16.479911632731998</x:v>
      </x:c>
      <x:c r="D27" s="30" t="n">
        <x:f>SUM(D21:D26)</x:f>
        <x:v>2.036892938606</x:v>
      </x:c>
      <x:c r="E27" s="30" t="n">
        <x:f>SUM(E21:E26)</x:f>
        <x:v>6.077633470466</x:v>
      </x:c>
      <x:c r="F27" s="30" t="n">
        <x:f>SUM(F21:F26)</x:f>
        <x:v>2.2697334268500002</x:v>
      </x:c>
      <x:c r="G27" s="30" t="n">
        <x:f>SUM(G21:G26)</x:f>
        <x:v>1.23708277481</x:v>
      </x:c>
      <x:c r="H27" s="30" t="n">
        <x:f>SUM(H21:H26)</x:f>
        <x:v>1.3289277206989998</x:v>
      </x:c>
      <x:c r="I27" s="30" t="n">
        <x:f>SUM(I21:I26)</x:f>
        <x:v>0.56981803584</x:v>
      </x:c>
      <x:c r="J27" s="30" t="n">
        <x:f>SUM(J21:J26)</x:f>
        <x:v>30.000000000003</x:v>
      </x:c>
    </x:row>
    <x:row r="28">
      <x:c r="A28" s="37"/>
      <x:c r="B28" s="27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3" t="str">
        <x:v>Allocation anchors — unchanged geography, hardened additive metadata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t="str">
        <x:v>Values in GW NET. 2050 CCGT/GT rows are geography anchors only; actual additive carriers are explicit fuel categories.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</x:row>
    <x:row r="4">
      <x:c r="A4" s="47" t="str">
        <x:v>Role</x:v>
      </x:c>
      <x:c r="B4" s="47" t="str">
        <x:v>Technology</x:v>
      </x:c>
      <x:c r="C4" s="47" t="str">
        <x:v>NORD</x:v>
      </x:c>
      <x:c r="D4" s="47" t="str">
        <x:v>CNOR</x:v>
      </x:c>
      <x:c r="E4" s="47" t="str">
        <x:v>CSUD</x:v>
      </x:c>
      <x:c r="F4" s="47" t="str">
        <x:v>SUD</x:v>
      </x:c>
      <x:c r="G4" s="47" t="str">
        <x:v>CALA</x:v>
      </x:c>
      <x:c r="H4" s="47" t="str">
        <x:v>SICI</x:v>
      </x:c>
      <x:c r="I4" s="47" t="str">
        <x:v>SARD</x:v>
      </x:c>
      <x:c r="J4" s="47" t="str">
        <x:v>ITALY</x:v>
      </x:c>
    </x:row>
    <x:row r="5">
      <x:c r="A5" s="48" t="str">
        <x:v>POST_COAL_OIL_ANCHOR</x:v>
      </x:c>
      <x:c r="B5" s="48" t="str">
        <x:v>CCGT</x:v>
      </x:c>
      <x:c r="C5" s="59" t="n">
        <x:v>22.753473000000003</x:v>
      </x:c>
      <x:c r="D5" s="59" t="n">
        <x:v>1.5760129999999999</x:v>
      </x:c>
      <x:c r="E5" s="59" t="n">
        <x:v>6.241955</x:v>
      </x:c>
      <x:c r="F5" s="59" t="n">
        <x:v>4.361507</x:v>
      </x:c>
      <x:c r="G5" s="59" t="n">
        <x:v>3.1893350000000003</x:v>
      </x:c>
      <x:c r="H5" s="59" t="n">
        <x:v>2.989836</x:v>
      </x:c>
      <x:c r="I5" s="59" t="n">
        <x:v>0.627</x:v>
      </x:c>
      <x:c r="J5" s="59" t="n">
        <x:f>SUM(C5:I5)</x:f>
        <x:v>41.739119</x:v>
      </x:c>
    </x:row>
    <x:row r="6">
      <x:c r="A6" s="48" t="str">
        <x:v>POST_COAL_OIL_ANCHOR</x:v>
      </x:c>
      <x:c r="B6" s="48" t="str">
        <x:v>GT_OCGT</x:v>
      </x:c>
      <x:c r="C6" s="59" t="n">
        <x:v>0.830030842327</x:v>
      </x:c>
      <x:c r="D6" s="59" t="n">
        <x:v>0.472538807717</x:v>
      </x:c>
      <x:c r="E6" s="59" t="n">
        <x:v>0.758132690936</x:v>
      </x:c>
      <x:c r="F6" s="59" t="n">
        <x:v>0.252418264072</x:v>
      </x:c>
      <x:c r="G6" s="59" t="n">
        <x:v>0.21310831618200002</x:v>
      </x:c>
      <x:c r="H6" s="59" t="n">
        <x:v>0.643138920622</x:v>
      </x:c>
      <x:c r="I6" s="59" t="n">
        <x:v>0.137028936893</x:v>
      </x:c>
      <x:c r="J6" s="59" t="n">
        <x:f>SUM(C6:I6)</x:f>
        <x:v>3.306396778749</x:v>
      </x:c>
    </x:row>
    <x:row r="7">
      <x:c r="A7" s="48" t="str">
        <x:v>POST_COAL_OIL_ANCHOR</x:v>
      </x:c>
      <x:c r="B7" s="48" t="str">
        <x:v>INTERNAL_COMBUSTION</x:v>
      </x:c>
      <x:c r="C7" s="59" t="n">
        <x:v>3.406731147716</x:v>
      </x:c>
      <x:c r="D7" s="59" t="n">
        <x:v>0.382475223466</x:v>
      </x:c>
      <x:c r="E7" s="59" t="n">
        <x:v>0.769178136776</x:v>
      </x:c>
      <x:c r="F7" s="59" t="n">
        <x:v>0.43153518216700004</x:v>
      </x:c>
      <x:c r="G7" s="59" t="n">
        <x:v>0.03765737891</x:v>
      </x:c>
      <x:c r="H7" s="59" t="n">
        <x:v>0.203643544805</x:v>
      </x:c>
      <x:c r="I7" s="59" t="n">
        <x:v>0.022015982527999998</x:v>
      </x:c>
      <x:c r="J7" s="59" t="n">
        <x:f>SUM(C7:I7)</x:f>
        <x:v>5.253236596367999</x:v>
      </x:c>
    </x:row>
    <x:row r="8">
      <x:c r="A8" s="48" t="str">
        <x:v>POST_COAL_OIL_ANCHOR</x:v>
      </x:c>
      <x:c r="B8" s="48" t="str">
        <x:v>STEAM_OTHER_SURVIVING</x:v>
      </x:c>
      <x:c r="C8" s="59" t="n">
        <x:v>1.565323568332</x:v>
      </x:c>
      <x:c r="D8" s="59" t="n">
        <x:v>0.049961663917</x:v>
      </x:c>
      <x:c r="E8" s="59" t="n">
        <x:v>0.176405572198</x:v>
      </x:c>
      <x:c r="F8" s="59" t="n">
        <x:v>0.534897936318</x:v>
      </x:c>
      <x:c r="G8" s="59" t="n">
        <x:v>0.14262793925400002</x:v>
      </x:c>
      <x:c r="H8" s="59" t="n">
        <x:v>0.14052317478200002</x:v>
      </x:c>
      <x:c r="I8" s="59" t="n">
        <x:v>0.24317155141000002</x:v>
      </x:c>
      <x:c r="J8" s="59" t="n">
        <x:f>SUM(C8:I8)</x:f>
        <x:v>2.8529114062109997</x:v>
      </x:c>
    </x:row>
    <x:row r="9">
      <x:c r="A9" s="48" t="str">
        <x:v>POST_COAL_OIL_ANCHOR</x:v>
      </x:c>
      <x:c r="B9" s="48" t="str">
        <x:v>OTHER_SURVIVING_THERMAL</x:v>
      </x:c>
      <x:c r="C9" s="59" t="n">
        <x:v>0.052386686083</x:v>
      </x:c>
      <x:c r="D9" s="59" t="n">
        <x:v>0.033857</x:v>
      </x:c>
      <x:c r="E9" s="59" t="n">
        <x:v>0.030618336479</x:v>
      </x:c>
      <x:c r="F9" s="59" t="n">
        <x:v>0.118501920673</x:v>
      </x:c>
      <x:c r="G9" s="59" t="n">
        <x:v>0</x:v>
      </x:c>
      <x:c r="H9" s="59" t="n">
        <x:v>0.021960999999999998</x:v>
      </x:c>
      <x:c r="I9" s="59" t="n">
        <x:v>0.028085545436</x:v>
      </x:c>
      <x:c r="J9" s="59" t="n">
        <x:f>SUM(C9:I9)</x:f>
        <x:v>0.285410488671</x:v>
      </x:c>
    </x:row>
    <x:row r="10">
      <x:c r="A10" s="48" t="str">
        <x:v>POST_COAL_OIL_ANCHOR</x:v>
      </x:c>
      <x:c r="B10" s="48" t="str">
        <x:v>GEOTHERMAL</x:v>
      </x:c>
      <x:c r="C10" s="59" t="n">
        <x:v>0</x:v>
      </x:c>
      <x:c r="D10" s="59" t="n">
        <x:v>0.77179</x:v>
      </x:c>
      <x:c r="E10" s="59" t="n">
        <x:v>0</x:v>
      </x:c>
      <x:c r="F10" s="59" t="n">
        <x:v>0</x:v>
      </x:c>
      <x:c r="G10" s="59" t="n">
        <x:v>0</x:v>
      </x:c>
      <x:c r="H10" s="59" t="n">
        <x:v>0</x:v>
      </x:c>
      <x:c r="I10" s="59" t="n">
        <x:v>0</x:v>
      </x:c>
      <x:c r="J10" s="59" t="n">
        <x:f>SUM(C10:I10)</x:f>
        <x:v>0.77179</x:v>
      </x:c>
    </x:row>
    <x:row r="11">
      <x:c r="A11" s="48"/>
      <x:c r="B11" s="48"/>
      <x:c r="C11" s="59"/>
      <x:c r="D11" s="59"/>
      <x:c r="E11" s="59"/>
      <x:c r="F11" s="59"/>
      <x:c r="G11" s="59"/>
      <x:c r="H11" s="59"/>
      <x:c r="I11" s="59"/>
      <x:c r="J11" s="59"/>
    </x:row>
    <x:row r="12">
      <x:c r="A12" s="48" t="str">
        <x:v>FROZEN_GEOGRAPHY_SHARE</x:v>
      </x:c>
      <x:c r="B12" s="48" t="str">
        <x:v>BIOENERGY</x:v>
      </x:c>
      <x:c r="C12" s="59" t="n">
        <x:v>0.624461411108</x:v>
      </x:c>
      <x:c r="D12" s="59" t="n">
        <x:v>0.047190248511</x:v>
      </x:c>
      <x:c r="E12" s="59" t="n">
        <x:v>0.117325834428</x:v>
      </x:c>
      <x:c r="F12" s="59" t="n">
        <x:v>0.117385043516</x:v>
      </x:c>
      <x:c r="G12" s="59" t="n">
        <x:v>0.046169141734</x:v>
      </x:c>
      <x:c r="H12" s="59" t="n">
        <x:v>0.018272977212</x:v>
      </x:c>
      <x:c r="I12" s="59" t="n">
        <x:v>0.029195343492</x:v>
      </x:c>
      <x:c r="J12" s="59" t="n">
        <x:f>SUM(C12:I12)</x:f>
        <x:v>1.000000000001</x:v>
      </x:c>
    </x:row>
    <x:row r="13">
      <x:c r="A13" s="48" t="str">
        <x:v>FROZEN_GEOGRAPHY_SHARE</x:v>
      </x:c>
      <x:c r="B13" s="48" t="str">
        <x:v>BIOENERGY_CCS</x:v>
      </x:c>
      <x:c r="C13" s="59" t="n">
        <x:v>0.624461411108</x:v>
      </x:c>
      <x:c r="D13" s="59" t="n">
        <x:v>0.047190248511</x:v>
      </x:c>
      <x:c r="E13" s="59" t="n">
        <x:v>0.117325834428</x:v>
      </x:c>
      <x:c r="F13" s="59" t="n">
        <x:v>0.117385043516</x:v>
      </x:c>
      <x:c r="G13" s="59" t="n">
        <x:v>0.046169141734</x:v>
      </x:c>
      <x:c r="H13" s="59" t="n">
        <x:v>0.018272977212</x:v>
      </x:c>
      <x:c r="I13" s="59" t="n">
        <x:v>0.029195343492</x:v>
      </x:c>
      <x:c r="J13" s="59" t="n">
        <x:f>SUM(C13:I13)</x:f>
        <x:v>1.000000000001</x:v>
      </x:c>
    </x:row>
    <x:row r="14">
      <x:c r="A14" s="48" t="str">
        <x:v>FROZEN_GEOGRAPHY_SHARE</x:v>
      </x:c>
      <x:c r="B14" s="48" t="str">
        <x:v>GAS_CCS</x:v>
      </x:c>
      <x:c r="C14" s="59" t="n">
        <x:v>0.545135439969</x:v>
      </x:c>
      <x:c r="D14" s="59" t="n">
        <x:v>0.037758655136</x:v>
      </x:c>
      <x:c r="E14" s="59" t="n">
        <x:v>0.149546879511</x:v>
      </x:c>
      <x:c r="F14" s="59" t="n">
        <x:v>0.104494467169</x:v>
      </x:c>
      <x:c r="G14" s="59" t="n">
        <x:v>0.076411171975</x:v>
      </x:c>
      <x:c r="H14" s="59" t="n">
        <x:v>0.071631507124</x:v>
      </x:c>
      <x:c r="I14" s="59" t="n">
        <x:v>0.015021879115</x:v>
      </x:c>
      <x:c r="J14" s="59" t="n">
        <x:f>SUM(C14:I14)</x:f>
        <x:v>0.999999999999</x:v>
      </x:c>
    </x:row>
    <x:row r="15">
      <x:c r="A15" s="48" t="str">
        <x:v>FROZEN_GEOGRAPHY_SHARE</x:v>
      </x:c>
      <x:c r="B15" s="48" t="str">
        <x:v>GAS_OTHER_FOSSIL</x:v>
      </x:c>
      <x:c r="C15" s="59" t="n">
        <x:v>0.251037881376</x:v>
      </x:c>
      <x:c r="D15" s="59" t="n">
        <x:v>0.142916546119</x:v>
      </x:c>
      <x:c r="E15" s="59" t="n">
        <x:v>0.229292713993</x:v>
      </x:c>
      <x:c r="F15" s="59" t="n">
        <x:v>0.076342399586</x:v>
      </x:c>
      <x:c r="G15" s="59" t="n">
        <x:v>0.064453340129</x:v>
      </x:c>
      <x:c r="H15" s="59" t="n">
        <x:v>0.19451353351</x:v>
      </x:c>
      <x:c r="I15" s="59" t="n">
        <x:v>0.041443585287</x:v>
      </x:c>
      <x:c r="J15" s="59" t="n">
        <x:f>SUM(C15:I15)</x:f>
        <x:v>1</x:v>
      </x:c>
    </x:row>
    <x:row r="16">
      <x:c r="A16" s="48" t="str">
        <x:v>FROZEN_GEOGRAPHY_SHARE</x:v>
      </x:c>
      <x:c r="B16" s="48" t="str">
        <x:v>GEOTHERMAL</x:v>
      </x:c>
      <x:c r="C16" s="59" t="n">
        <x:v>0</x:v>
      </x:c>
      <x:c r="D16" s="59" t="n">
        <x:v>1</x:v>
      </x:c>
      <x:c r="E16" s="59" t="n">
        <x:v>0</x:v>
      </x:c>
      <x:c r="F16" s="59" t="n">
        <x:v>0</x:v>
      </x:c>
      <x:c r="G16" s="59" t="n">
        <x:v>0</x:v>
      </x:c>
      <x:c r="H16" s="59" t="n">
        <x:v>0</x:v>
      </x:c>
      <x:c r="I16" s="59" t="n">
        <x:v>0</x:v>
      </x:c>
      <x:c r="J16" s="59" t="n">
        <x:f>SUM(C16:I16)</x:f>
        <x:v>1</x:v>
      </x:c>
    </x:row>
    <x:row r="17">
      <x:c r="A17" s="48" t="str">
        <x:v>FROZEN_GEOGRAPHY_SHARE</x:v>
      </x:c>
      <x:c r="B17" s="48" t="str">
        <x:v>NUCLEAR</x:v>
      </x:c>
      <x:c r="C17" s="59" t="n">
        <x:v>0.625</x:v>
      </x:c>
      <x:c r="D17" s="59" t="n">
        <x:v>0</x:v>
      </x:c>
      <x:c r="E17" s="59" t="n">
        <x:v>0.375</x:v>
      </x:c>
      <x:c r="F17" s="59" t="n">
        <x:v>0</x:v>
      </x:c>
      <x:c r="G17" s="59" t="n">
        <x:v>0</x:v>
      </x:c>
      <x:c r="H17" s="59" t="n">
        <x:v>0</x:v>
      </x:c>
      <x:c r="I17" s="59" t="n">
        <x:v>0</x:v>
      </x:c>
      <x:c r="J17" s="59" t="n">
        <x:f>SUM(C17:I17)</x:f>
        <x:v>1</x:v>
      </x:c>
    </x:row>
    <x:row r="18">
      <x:c r="A18" s="49"/>
      <x:c r="B18" s="49"/>
      <x:c r="C18" s="60"/>
      <x:c r="D18" s="60"/>
      <x:c r="E18" s="60"/>
      <x:c r="F18" s="60"/>
      <x:c r="G18" s="60"/>
      <x:c r="H18" s="60"/>
      <x:c r="I18" s="60"/>
      <x:c r="J18" s="60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1" hidden="0" customWidth="1"/>
    <x:col min="7" max="7" width="34" hidden="0" customWidth="1"/>
    <x:col min="8" max="8" width="18" hidden="0" customWidth="1"/>
    <x:col min="9" max="9" width="17" hidden="0" customWidth="1"/>
    <x:col min="10" max="10" width="17" hidden="0" customWidth="1"/>
  </x:cols>
  <x:sheetData>
    <x:row r="1">
      <x:c r="A1" s="3" t="str">
        <x:v>National capacity logic — V2 Slow constraints and static fuel contract</x:v>
      </x:c>
      <x:c r="B1" s="3"/>
      <x:c r="C1" s="3"/>
      <x:c r="D1" s="3"/>
      <x:c r="E1" s="3"/>
      <x:c r="F1" s="3"/>
      <x:c r="G1" s="3"/>
      <x:c r="H1" s="3"/>
    </x:row>
    <x:row r="3">
      <x:c r="A3" s="43" t="str">
        <x:v>Year</x:v>
      </x:c>
      <x:c r="B3" s="43" t="str">
        <x:v>Portfolio</x:v>
      </x:c>
      <x:c r="C3" s="43" t="str">
        <x:v>Base/High GW</x:v>
      </x:c>
      <x:c r="D3" s="43" t="str">
        <x:v>Slow increment GW</x:v>
      </x:c>
      <x:c r="E3" s="43" t="str">
        <x:v>Slow total GW</x:v>
      </x:c>
      <x:c r="F3" s="43" t="str">
        <x:v>Fixed resources</x:v>
      </x:c>
      <x:c r="G3" s="43" t="str">
        <x:v>Scalable resources</x:v>
      </x:c>
      <x:c r="H3" s="43" t="str">
        <x:v>Status</x:v>
      </x:c>
    </x:row>
    <x:row r="4">
      <x:c r="A4" s="47" t="n">
        <x:v>2040</x:v>
      </x:c>
      <x:c r="B4" s="47" t="str">
        <x:v>Thermal</x:v>
      </x:c>
      <x:c r="C4" s="61" t="n">
        <x:v>55</x:v>
      </x:c>
      <x:c r="D4" s="61" t="n">
        <x:v>13.213325410972</x:v>
      </x:c>
      <x:c r="E4" s="61" t="n">
        <x:v>68.213325410972</x:v>
      </x:c>
      <x:c r="F4" s="47" t="str">
        <x:v>GEOTHERMAL</x:v>
      </x:c>
      <x:c r="G4" s="47" t="str">
        <x:v>CCGT | GT_OCGT | INTERNAL_COMBUSTION | STEAM_OTHER_SURVIVING | OTHER_SURVIVING_THERMAL</x:v>
      </x:c>
      <x:c r="H4" s="47" t="str">
        <x:v>FROZEN V2</x:v>
      </x:c>
    </x:row>
    <x:row r="5">
      <x:c r="A5" s="48" t="n">
        <x:v>2050</x:v>
      </x:c>
      <x:c r="B5" s="48" t="str">
        <x:v>Programmable</x:v>
      </x:c>
      <x:c r="C5" s="62" t="n">
        <x:v>30</x:v>
      </x:c>
      <x:c r="D5" s="62" t="n">
        <x:v>21.613384747839</x:v>
      </x:c>
      <x:c r="E5" s="62" t="n">
        <x:v>51.613384747839</x:v>
      </x:c>
      <x:c r="F5" s="48" t="str">
        <x:v>BIOENERGY | BIOENERGY_CCS | GEOTHERMAL | NUCLEAR</x:v>
      </x:c>
      <x:c r="G5" s="48" t="str">
        <x:v>GAS_CCS | GAS_OTHER_FOSSIL</x:v>
      </x:c>
      <x:c r="H5" s="48" t="str">
        <x:v>FROZEN V2</x:v>
      </x:c>
    </x:row>
    <x:row r="6">
      <x:c r="A6" s="48"/>
      <x:c r="B6" s="48"/>
      <x:c r="C6" s="62"/>
      <x:c r="D6" s="62"/>
      <x:c r="E6" s="62"/>
      <x:c r="F6" s="48"/>
      <x:c r="G6" s="48"/>
      <x:c r="H6" s="48"/>
    </x:row>
    <x:row r="7">
      <x:c r="A7" s="48"/>
      <x:c r="B7" s="48"/>
      <x:c r="C7" s="62"/>
      <x:c r="D7" s="62"/>
      <x:c r="E7" s="62"/>
      <x:c r="F7" s="48"/>
      <x:c r="G7" s="48"/>
      <x:c r="H7" s="48"/>
    </x:row>
    <x:row r="8">
      <x:c r="A8" s="48" t="str">
        <x:v>2050 technology</x:v>
      </x:c>
      <x:c r="B8" s="48" t="str">
        <x:v>Base GW</x:v>
      </x:c>
      <x:c r="C8" s="62" t="str">
        <x:v>Slow increment GW</x:v>
      </x:c>
      <x:c r="D8" s="62" t="str">
        <x:v>Slow GW</x:v>
      </x:c>
      <x:c r="E8" s="62" t="str">
        <x:v>Scalability</x:v>
      </x:c>
      <x:c r="F8" s="48" t="str">
        <x:v>Fuel contract</x:v>
      </x:c>
      <x:c r="G8" s="48" t="str">
        <x:v>Carrier</x:v>
      </x:c>
      <x:c r="H8" s="48" t="str">
        <x:v>Status</x:v>
      </x:c>
    </x:row>
    <x:row r="9">
      <x:c r="A9" s="48" t="str">
        <x:v>BIOENERGY</x:v>
      </x:c>
      <x:c r="B9" s="48" t="n">
        <x:v>7.2739300468789985</x:v>
      </x:c>
      <x:c r="C9" s="62" t="n">
        <x:v>0</x:v>
      </x:c>
      <x:c r="D9" s="62" t="n">
        <x:v>7.2739300468789985</x:v>
      </x:c>
      <x:c r="E9" s="62" t="str">
        <x:v>FIXED_IN_SLOW</x:v>
      </x:c>
      <x:c r="F9" s="48" t="str">
        <x:v>BIOENERGY</x:v>
      </x:c>
      <x:c r="G9" s="48" t="str">
        <x:v>bioenergy</x:v>
      </x:c>
      <x:c r="H9" s="48" t="str">
        <x:v>FIXED V2</x:v>
      </x:c>
    </x:row>
    <x:row r="10">
      <x:c r="A10" s="48" t="str">
        <x:v>BIOENERGY_CCS</x:v>
      </x:c>
      <x:c r="B10" s="48" t="n">
        <x:v>4.117318894459999</x:v>
      </x:c>
      <x:c r="C10" s="62" t="n">
        <x:v>0</x:v>
      </x:c>
      <x:c r="D10" s="62" t="n">
        <x:v>4.117318894459999</x:v>
      </x:c>
      <x:c r="E10" s="62" t="str">
        <x:v>FIXED_IN_SLOW</x:v>
      </x:c>
      <x:c r="F10" s="48" t="str">
        <x:v>BIOENERGY</x:v>
      </x:c>
      <x:c r="G10" s="48" t="str">
        <x:v>bioenergy_ccs</x:v>
      </x:c>
      <x:c r="H10" s="48" t="str">
        <x:v>FIXED V2</x:v>
      </x:c>
    </x:row>
    <x:row r="11">
      <x:c r="A11" s="48" t="str">
        <x:v>GAS_CCS</x:v>
      </x:c>
      <x:c r="B11" s="48" t="n">
        <x:v>6.450466267974999</x:v>
      </x:c>
      <x:c r="C11" s="62" t="n">
        <x:v>14.172711310055298</x:v>
      </x:c>
      <x:c r="D11" s="62" t="n">
        <x:v>20.623177578030297</x:v>
      </x:c>
      <x:c r="E11" s="62" t="str">
        <x:v>SCALABLE_IN_SLOW</x:v>
      </x:c>
      <x:c r="F11" s="48" t="str">
        <x:v>METHANE</x:v>
      </x:c>
      <x:c r="G11" s="48" t="str">
        <x:v>methane_ccs_ccgt</x:v>
      </x:c>
      <x:c r="H11" s="48" t="str">
        <x:v>SCALABLE V2</x:v>
      </x:c>
    </x:row>
    <x:row r="12">
      <x:c r="A12" s="48" t="str">
        <x:v>GAS_OTHER_FOSSIL</x:v>
      </x:c>
      <x:c r="B12" s="48" t="n">
        <x:v>3.3864947906890004</x:v>
      </x:c>
      <x:c r="C12" s="62" t="n">
        <x:v>7.440673437783701</x:v>
      </x:c>
      <x:c r="D12" s="62" t="n">
        <x:v>10.8271682284727</x:v>
      </x:c>
      <x:c r="E12" s="62" t="str">
        <x:v>SCALABLE_IN_SLOW</x:v>
      </x:c>
      <x:c r="F12" s="48" t="str">
        <x:v>METHANE_BASELINE; HYDROGEN_SENSITIVITIES</x:v>
      </x:c>
      <x:c r="G12" s="48" t="str">
        <x:v>methane_gt_ocgt</x:v>
      </x:c>
      <x:c r="H12" s="48" t="str">
        <x:v>SCALABLE V2</x:v>
      </x:c>
    </x:row>
    <x:row r="13">
      <x:c r="A13" s="48" t="str">
        <x:v>GEOTHERMAL</x:v>
      </x:c>
      <x:c r="B13" s="48" t="n">
        <x:v>0.77179</x:v>
      </x:c>
      <x:c r="C13" s="62" t="n">
        <x:v>0</x:v>
      </x:c>
      <x:c r="D13" s="62" t="n">
        <x:v>0.77179</x:v>
      </x:c>
      <x:c r="E13" s="62" t="str">
        <x:v>FIXED_IN_SLOW</x:v>
      </x:c>
      <x:c r="F13" s="48" t="str">
        <x:v>GEOTHERMAL</x:v>
      </x:c>
      <x:c r="G13" s="48" t="str">
        <x:v>geothermal</x:v>
      </x:c>
      <x:c r="H13" s="48" t="str">
        <x:v>FIXED V2</x:v>
      </x:c>
    </x:row>
    <x:row r="14">
      <x:c r="A14" s="48" t="str">
        <x:v>NUCLEAR</x:v>
      </x:c>
      <x:c r="B14" s="48" t="n">
        <x:v>8</x:v>
      </x:c>
      <x:c r="C14" s="62" t="n">
        <x:v>0</x:v>
      </x:c>
      <x:c r="D14" s="62" t="n">
        <x:v>8</x:v>
      </x:c>
      <x:c r="E14" s="62" t="str">
        <x:v>FIXED_IN_SLOW</x:v>
      </x:c>
      <x:c r="F14" s="48" t="str">
        <x:v>NUCLEAR_FUEL</x:v>
      </x:c>
      <x:c r="G14" s="48" t="str">
        <x:v>nuclear</x:v>
      </x:c>
      <x:c r="H14" s="48" t="str">
        <x:v>FIXED V2</x:v>
      </x:c>
    </x:row>
    <x:row r="15">
      <x:c r="A15" s="49"/>
      <x:c r="B15" s="49"/>
      <x:c r="C15" s="63"/>
      <x:c r="D15" s="63"/>
      <x:c r="E15" s="63"/>
      <x:c r="F15" s="49"/>
      <x:c r="G15" s="49"/>
      <x:c r="H15" s="49"/>
    </x:row>
    <x:row r="16">
      <x:c r="C16" s="64"/>
      <x:c r="D16" s="64"/>
      <x:c r="E16" s="64"/>
    </x:row>
    <x:row r="17">
      <x:c r="C17" s="64"/>
      <x:c r="D17" s="64"/>
      <x:c r="E17" s="64"/>
    </x:row>
    <x:row r="18">
      <x:c r="C18" s="64"/>
      <x:c r="D18" s="64"/>
      <x:c r="E18" s="64"/>
    </x:row>
    <x:row r="19">
      <x:c r="C19" s="64"/>
      <x:c r="D19" s="64"/>
      <x:c r="E19" s="64"/>
    </x:row>
    <x:row r="20">
      <x:c r="C20" s="64"/>
      <x:c r="D20" s="64"/>
      <x:c r="E20" s="64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</x:cols>
  <x:sheetData>
    <x:row r="1">
      <x:c r="A1" s="3" t="str">
        <x:v>Slow capacity adjustment — accepted CDP totals, revised technology allocation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t="str">
        <x:v>CDP ratios and total increments are unchanged. Only scalable gas/methane technologies receive the added capacity in V2.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</x:row>
    <x:row r="4">
      <x:c r="A4" s="47" t="str">
        <x:v>Year</x:v>
      </x:c>
      <x:c r="B4" s="47" t="str">
        <x:v>Resource</x:v>
      </x:c>
      <x:c r="C4" s="47" t="str">
        <x:v>Base GW</x:v>
      </x:c>
      <x:c r="D4" s="47" t="str">
        <x:v>Slow GW</x:v>
      </x:c>
      <x:c r="E4" s="47" t="str">
        <x:v>Loss GW</x:v>
      </x:c>
      <x:c r="F4" s="47" t="str">
        <x:v>CDP numerator</x:v>
      </x:c>
      <x:c r="G4" s="47" t="str">
        <x:v>Installed denominator</x:v>
      </x:c>
      <x:c r="H4" s="47" t="str">
        <x:v>CDP ratio</x:v>
      </x:c>
      <x:c r="I4" s="47" t="str">
        <x:v>Lost CDP / increment GW</x:v>
      </x:c>
      <x:c r="J4" s="47" t="str">
        <x:v>Status</x:v>
      </x:c>
    </x:row>
    <x:row r="5">
      <x:c r="A5" s="48" t="str">
        <x:v>2040</x:v>
      </x:c>
      <x:c r="B5" s="48" t="str">
        <x:v>PV</x:v>
      </x:c>
      <x:c r="C5" s="62" t="str">
        <x:v>120.9</x:v>
      </x:c>
      <x:c r="D5" s="62" t="str">
        <x:v>96.72</x:v>
      </x:c>
      <x:c r="E5" s="62" t="str">
        <x:v>24.18</x:v>
      </x:c>
      <x:c r="F5" s="62" t="n">
        <x:v>32</x:v>
      </x:c>
      <x:c r="G5" s="62" t="n">
        <x:v>180</x:v>
      </x:c>
      <x:c r="H5" s="62" t="str">
        <x:v>0.177777777778</x:v>
      </x:c>
      <x:c r="I5" s="62" t="str">
        <x:v>4.298666666667</x:v>
      </x:c>
      <x:c r="J5" s="48" t="str">
        <x:v>ACTIVE CORRECTED RATIO</x:v>
      </x:c>
    </x:row>
    <x:row r="6">
      <x:c r="A6" s="48" t="str">
        <x:v>2040</x:v>
      </x:c>
      <x:c r="B6" s="48" t="str">
        <x:v>WIND</x:v>
      </x:c>
      <x:c r="C6" s="62" t="str">
        <x:v>49.3</x:v>
      </x:c>
      <x:c r="D6" s="62" t="str">
        <x:v>39.44</x:v>
      </x:c>
      <x:c r="E6" s="62" t="str">
        <x:v>9.86</x:v>
      </x:c>
      <x:c r="F6" s="62" t="n">
        <x:v>17</x:v>
      </x:c>
      <x:c r="G6" s="62" t="n">
        <x:v>66</x:v>
      </x:c>
      <x:c r="H6" s="62" t="str">
        <x:v>0.257575757576</x:v>
      </x:c>
      <x:c r="I6" s="62" t="str">
        <x:v>2.539696969697</x:v>
      </x:c>
      <x:c r="J6" s="48" t="str">
        <x:v>ACTIVE CORRECTED RATIO</x:v>
      </x:c>
    </x:row>
    <x:row r="7">
      <x:c r="A7" s="48" t="str">
        <x:v>2040</x:v>
      </x:c>
      <x:c r="B7" s="48" t="str">
        <x:v>BESS</x:v>
      </x:c>
      <x:c r="C7" s="62" t="str">
        <x:v>27.266666666667</x:v>
      </x:c>
      <x:c r="D7" s="62" t="str">
        <x:v>21.813333333333</x:v>
      </x:c>
      <x:c r="E7" s="62" t="str">
        <x:v>5.453333333333</x:v>
      </x:c>
      <x:c r="F7" s="62" t="n">
        <x:v>29</x:v>
      </x:c>
      <x:c r="G7" s="62" t="n">
        <x:v>36</x:v>
      </x:c>
      <x:c r="H7" s="62" t="str">
        <x:v>0.805555555556</x:v>
      </x:c>
      <x:c r="I7" s="62" t="str">
        <x:v>4.392962962963</x:v>
      </x:c>
      <x:c r="J7" s="48" t="str">
        <x:v>ACTIVE CORRECTED RATIO</x:v>
      </x:c>
    </x:row>
    <x:row r="8">
      <x:c r="A8" s="48" t="str">
        <x:v>2040</x:v>
      </x:c>
      <x:c r="B8" s="48" t="str">
        <x:v>TOTAL_CORRECTED</x:v>
      </x:c>
      <x:c r="C8" s="62" t="str"/>
      <x:c r="D8" s="62" t="str"/>
      <x:c r="E8" s="62" t="str"/>
      <x:c r="F8" s="62" t="str"/>
      <x:c r="G8" s="62" t="str"/>
      <x:c r="H8" s="62" t="str"/>
      <x:c r="I8" s="62" t="str">
        <x:v>13.213325410972</x:v>
      </x:c>
      <x:c r="J8" s="48" t="str">
        <x:v>CONTROLLING TOTAL</x:v>
      </x:c>
    </x:row>
    <x:row r="9">
      <x:c r="A9" s="48"/>
      <x:c r="B9" s="48"/>
      <x:c r="C9" s="62"/>
      <x:c r="D9" s="62"/>
      <x:c r="E9" s="62"/>
      <x:c r="F9" s="62"/>
      <x:c r="G9" s="62"/>
      <x:c r="H9" s="62"/>
      <x:c r="I9" s="62"/>
      <x:c r="J9" s="48"/>
    </x:row>
    <x:row r="10">
      <x:c r="A10" s="48" t="str">
        <x:v>2050</x:v>
      </x:c>
      <x:c r="B10" s="48" t="str">
        <x:v>PV</x:v>
      </x:c>
      <x:c r="C10" s="62" t="str">
        <x:v>245</x:v>
      </x:c>
      <x:c r="D10" s="62" t="str">
        <x:v>196</x:v>
      </x:c>
      <x:c r="E10" s="62" t="str">
        <x:v>49</x:v>
      </x:c>
      <x:c r="F10" s="62" t="n">
        <x:v>32</x:v>
      </x:c>
      <x:c r="G10" s="62" t="n">
        <x:v>180</x:v>
      </x:c>
      <x:c r="H10" s="62" t="str">
        <x:v>0.177777777778</x:v>
      </x:c>
      <x:c r="I10" s="62" t="str">
        <x:v>8.711111111111</x:v>
      </x:c>
      <x:c r="J10" s="48" t="str">
        <x:v>ACTIVE CORRECTED RATIO</x:v>
      </x:c>
    </x:row>
    <x:row r="11">
      <x:c r="A11" s="48" t="str">
        <x:v>2050</x:v>
      </x:c>
      <x:c r="B11" s="48" t="str">
        <x:v>WIND</x:v>
      </x:c>
      <x:c r="C11" s="62" t="str">
        <x:v>51</x:v>
      </x:c>
      <x:c r="D11" s="62" t="str">
        <x:v>40.8</x:v>
      </x:c>
      <x:c r="E11" s="62" t="str">
        <x:v>10.2</x:v>
      </x:c>
      <x:c r="F11" s="62" t="n">
        <x:v>17</x:v>
      </x:c>
      <x:c r="G11" s="62" t="n">
        <x:v>66</x:v>
      </x:c>
      <x:c r="H11" s="62" t="str">
        <x:v>0.257575757576</x:v>
      </x:c>
      <x:c r="I11" s="62" t="str">
        <x:v>2.627272727273</x:v>
      </x:c>
      <x:c r="J11" s="48" t="str">
        <x:v>ACTIVE CORRECTED RATIO</x:v>
      </x:c>
    </x:row>
    <x:row r="12">
      <x:c r="A12" s="48" t="str">
        <x:v>2050</x:v>
      </x:c>
      <x:c r="B12" s="48" t="str">
        <x:v>BESS</x:v>
      </x:c>
      <x:c r="C12" s="62" t="str">
        <x:v>43.65306122449</x:v>
      </x:c>
      <x:c r="D12" s="62" t="str">
        <x:v>34.922448979592</x:v>
      </x:c>
      <x:c r="E12" s="62" t="str">
        <x:v>8.730612244898</x:v>
      </x:c>
      <x:c r="F12" s="62" t="n">
        <x:v>29</x:v>
      </x:c>
      <x:c r="G12" s="62" t="n">
        <x:v>36</x:v>
      </x:c>
      <x:c r="H12" s="62" t="str">
        <x:v>0.805555555556</x:v>
      </x:c>
      <x:c r="I12" s="62" t="str">
        <x:v>7.032993197279</x:v>
      </x:c>
      <x:c r="J12" s="48" t="str">
        <x:v>ACTIVE CORRECTED RATIO</x:v>
      </x:c>
    </x:row>
    <x:row r="13">
      <x:c r="A13" s="48" t="str">
        <x:v>2050</x:v>
      </x:c>
      <x:c r="B13" s="48" t="str">
        <x:v>TOTAL_CORRECTED</x:v>
      </x:c>
      <x:c r="C13" s="62" t="str"/>
      <x:c r="D13" s="62" t="str"/>
      <x:c r="E13" s="62" t="str"/>
      <x:c r="F13" s="62" t="str"/>
      <x:c r="G13" s="62" t="str"/>
      <x:c r="H13" s="62" t="str"/>
      <x:c r="I13" s="62" t="str">
        <x:v>21.613384747839</x:v>
      </x:c>
      <x:c r="J13" s="48" t="str">
        <x:v>CONTROLLING TOTAL</x:v>
      </x:c>
    </x:row>
    <x:row r="14">
      <x:c r="A14" s="48"/>
      <x:c r="B14" s="48"/>
      <x:c r="C14" s="62"/>
      <x:c r="D14" s="62"/>
      <x:c r="E14" s="62"/>
      <x:c r="F14" s="62"/>
      <x:c r="G14" s="62"/>
      <x:c r="H14" s="62"/>
      <x:c r="I14" s="62"/>
      <x:c r="J14" s="48"/>
    </x:row>
    <x:row r="15">
      <x:c r="A15" s="49"/>
      <x:c r="B15" s="49"/>
      <x:c r="C15" s="63"/>
      <x:c r="D15" s="63"/>
      <x:c r="E15" s="63"/>
      <x:c r="F15" s="63"/>
      <x:c r="G15" s="63"/>
      <x:c r="H15" s="63"/>
      <x:c r="I15" s="63"/>
      <x:c r="J15" s="49"/>
    </x:row>
    <x:row r="16">
      <x:c r="C16" s="64"/>
      <x:c r="D16" s="64"/>
      <x:c r="E16" s="64"/>
      <x:c r="F16" s="64"/>
      <x:c r="G16" s="64"/>
      <x:c r="H16" s="64"/>
      <x:c r="I16" s="64"/>
    </x:row>
    <x:row r="17">
      <x:c r="C17" s="64"/>
      <x:c r="D17" s="64"/>
      <x:c r="E17" s="64"/>
      <x:c r="F17" s="64"/>
      <x:c r="G17" s="64"/>
      <x:c r="H17" s="64"/>
      <x:c r="I17" s="64"/>
    </x:row>
    <x:row r="18">
      <x:c r="C18" s="64"/>
      <x:c r="D18" s="64"/>
      <x:c r="E18" s="64"/>
      <x:c r="F18" s="64"/>
      <x:c r="G18" s="64"/>
      <x:c r="H18" s="64"/>
      <x:c r="I18" s="64"/>
    </x:row>
    <x:row r="19">
      <x:c r="C19" s="64"/>
      <x:c r="D19" s="64"/>
      <x:c r="E19" s="64"/>
      <x:c r="F19" s="64"/>
      <x:c r="G19" s="64"/>
      <x:c r="H19" s="64"/>
      <x:c r="I19" s="64"/>
    </x:row>
    <x:row r="20">
      <x:c r="C20" s="64"/>
      <x:c r="D20" s="64"/>
      <x:c r="E20" s="64"/>
      <x:c r="F20" s="64"/>
      <x:c r="G20" s="64"/>
      <x:c r="H20" s="64"/>
      <x:c r="I20" s="64"/>
    </x:row>
    <x:row r="21">
      <x:c r="C21" s="64"/>
      <x:c r="D21" s="64"/>
      <x:c r="E21" s="64"/>
      <x:c r="F21" s="64"/>
      <x:c r="G21" s="64"/>
      <x:c r="H21" s="64"/>
      <x:c r="I21" s="64"/>
    </x:row>
    <x:row r="22">
      <x:c r="C22" s="64"/>
      <x:c r="D22" s="64"/>
      <x:c r="E22" s="64"/>
      <x:c r="F22" s="64"/>
      <x:c r="G22" s="64"/>
      <x:c r="H22" s="64"/>
      <x:c r="I22" s="64"/>
    </x:row>
    <x:row r="23">
      <x:c r="C23" s="64"/>
      <x:c r="D23" s="64"/>
      <x:c r="E23" s="64"/>
      <x:c r="F23" s="64"/>
      <x:c r="G23" s="64"/>
      <x:c r="H23" s="64"/>
      <x:c r="I23" s="64"/>
    </x:row>
    <x:row r="24">
      <x:c r="C24" s="64"/>
      <x:c r="D24" s="64"/>
      <x:c r="E24" s="64"/>
      <x:c r="F24" s="64"/>
      <x:c r="G24" s="64"/>
      <x:c r="H24" s="64"/>
      <x:c r="I24" s="64"/>
    </x:row>
    <x:row r="25">
      <x:c r="C25" s="64"/>
      <x:c r="D25" s="64"/>
      <x:c r="E25" s="64"/>
      <x:c r="F25" s="64"/>
      <x:c r="G25" s="64"/>
      <x:c r="H25" s="64"/>
      <x:c r="I25" s="64"/>
    </x:row>
    <x:row r="26">
      <x:c r="C26" s="64"/>
      <x:c r="D26" s="64"/>
      <x:c r="E26" s="64"/>
      <x:c r="F26" s="64"/>
      <x:c r="G26" s="64"/>
      <x:c r="H26" s="64"/>
      <x:c r="I26" s="64"/>
    </x:row>
    <x:row r="27">
      <x:c r="C27" s="64"/>
      <x:c r="D27" s="64"/>
      <x:c r="E27" s="64"/>
      <x:c r="F27" s="64"/>
      <x:c r="G27" s="64"/>
      <x:c r="H27" s="64"/>
      <x:c r="I27" s="64"/>
    </x:row>
    <x:row r="28">
      <x:c r="C28" s="64"/>
      <x:c r="D28" s="64"/>
      <x:c r="E28" s="64"/>
      <x:c r="F28" s="64"/>
      <x:c r="G28" s="64"/>
      <x:c r="H28" s="64"/>
      <x:c r="I28" s="64"/>
    </x:row>
    <x:row r="29">
      <x:c r="C29" s="64"/>
      <x:c r="D29" s="64"/>
      <x:c r="E29" s="64"/>
      <x:c r="F29" s="64"/>
      <x:c r="G29" s="64"/>
      <x:c r="H29" s="64"/>
      <x:c r="I29" s="64"/>
    </x:row>
    <x:row r="30">
      <x:c r="C30" s="64"/>
      <x:c r="D30" s="64"/>
      <x:c r="E30" s="64"/>
      <x:c r="F30" s="64"/>
      <x:c r="G30" s="64"/>
      <x:c r="H30" s="64"/>
      <x:c r="I30" s="6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2" hidden="0" customWidth="1"/>
    <x:col min="4" max="4" width="21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23" hidden="0" customWidth="1"/>
    <x:col min="10" max="10" width="17" hidden="0" customWidth="1"/>
  </x:cols>
  <x:sheetData>
    <x:row r="1">
      <x:c r="A1" s="3" t="str">
        <x:v>Slow Increment Breakdown — fixed versus scalable resources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Green rows are fixed in Slow. Gas/methane rows absorb the full accepted CDP increment; geography shares remain unchanged.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47" t="str">
        <x:v>Year</x:v>
      </x:c>
      <x:c r="B4" s="47" t="str">
        <x:v>Technology</x:v>
      </x:c>
      <x:c r="C4" s="47" t="str">
        <x:v>Zone</x:v>
      </x:c>
      <x:c r="D4" s="47" t="str">
        <x:v>Scalability</x:v>
      </x:c>
      <x:c r="E4" s="47" t="str">
        <x:v>Fuel architecture</x:v>
      </x:c>
      <x:c r="F4" s="47" t="str">
        <x:v>Base GW</x:v>
      </x:c>
      <x:c r="G4" s="47" t="str">
        <x:v>CDP increment GW</x:v>
      </x:c>
      <x:c r="H4" s="47" t="str">
        <x:v>Slow total GW</x:v>
      </x:c>
      <x:c r="I4" s="47" t="str">
        <x:v>Status</x:v>
      </x:c>
    </x:row>
    <x:row r="5">
      <x:c r="A5" s="48" t="n">
        <x:v>2040</x:v>
      </x:c>
      <x:c r="B5" s="48" t="str">
        <x:v>CCGT</x:v>
      </x:c>
      <x:c r="C5" s="48" t="str">
        <x:v>NORD</x:v>
      </x:c>
      <x:c r="D5" s="48" t="str">
        <x:v>SCALABLE_IN_SLOW</x:v>
      </x:c>
      <x:c r="E5" s="48" t="str">
        <x:v>METHANE</x:v>
      </x:c>
      <x:c r="F5" s="62" t="n">
        <x:v>23.085542039157</x:v>
      </x:c>
      <x:c r="G5" s="62" t="n">
        <x:v>5.626225744689431</x:v>
      </x:c>
      <x:c r="H5" s="62" t="n">
        <x:v>28.71176778384643</x:v>
      </x:c>
      <x:c r="I5" s="48" t="str">
        <x:v>SELECTED V2 INCREMENT</x:v>
      </x:c>
    </x:row>
    <x:row r="6">
      <x:c r="A6" s="48" t="n">
        <x:v>2040</x:v>
      </x:c>
      <x:c r="B6" s="48" t="str">
        <x:v>CCGT</x:v>
      </x:c>
      <x:c r="C6" s="48" t="str">
        <x:v>CNOR</x:v>
      </x:c>
      <x:c r="D6" s="48" t="str">
        <x:v>SCALABLE_IN_SLOW</x:v>
      </x:c>
      <x:c r="E6" s="48" t="str">
        <x:v>METHANE</x:v>
      </x:c>
      <x:c r="F6" s="62" t="n">
        <x:v>1.599013669946</x:v>
      </x:c>
      <x:c r="G6" s="62" t="n">
        <x:v>0.389698966595676</x:v>
      </x:c>
      <x:c r="H6" s="62" t="n">
        <x:v>1.9887126365416758</x:v>
      </x:c>
      <x:c r="I6" s="48" t="str">
        <x:v>SELECTED V2 INCREMENT</x:v>
      </x:c>
    </x:row>
    <x:row r="7">
      <x:c r="A7" s="48" t="n">
        <x:v>2040</x:v>
      </x:c>
      <x:c r="B7" s="48" t="str">
        <x:v>CCGT</x:v>
      </x:c>
      <x:c r="C7" s="48" t="str">
        <x:v>CSUD</x:v>
      </x:c>
      <x:c r="D7" s="48" t="str">
        <x:v>SCALABLE_IN_SLOW</x:v>
      </x:c>
      <x:c r="E7" s="48" t="str">
        <x:v>METHANE</x:v>
      </x:c>
      <x:c r="F7" s="62" t="n">
        <x:v>6.33305142292</x:v>
      </x:c>
      <x:c r="G7" s="62" t="n">
        <x:v>1.543441210851277</x:v>
      </x:c>
      <x:c r="H7" s="62" t="n">
        <x:v>7.876492633771277</x:v>
      </x:c>
      <x:c r="I7" s="48" t="str">
        <x:v>SELECTED V2 INCREMENT</x:v>
      </x:c>
    </x:row>
    <x:row r="8">
      <x:c r="A8" s="48" t="n">
        <x:v>2040</x:v>
      </x:c>
      <x:c r="B8" s="48" t="str">
        <x:v>CCGT</x:v>
      </x:c>
      <x:c r="C8" s="48" t="str">
        <x:v>SUD</x:v>
      </x:c>
      <x:c r="D8" s="48" t="str">
        <x:v>SCALABLE_IN_SLOW</x:v>
      </x:c>
      <x:c r="E8" s="48" t="str">
        <x:v>METHANE</x:v>
      </x:c>
      <x:c r="F8" s="62" t="n">
        <x:v>4.4251597636360005</x:v>
      </x:c>
      <x:c r="G8" s="62" t="n">
        <x:v>1.0784649433096791</x:v>
      </x:c>
      <x:c r="H8" s="62" t="n">
        <x:v>5.503624706945678</x:v>
      </x:c>
      <x:c r="I8" s="48" t="str">
        <x:v>SELECTED V2 INCREMENT</x:v>
      </x:c>
    </x:row>
    <x:row r="9">
      <x:c r="A9" s="48" t="n">
        <x:v>2040</x:v>
      </x:c>
      <x:c r="B9" s="48" t="str">
        <x:v>CCGT</x:v>
      </x:c>
      <x:c r="C9" s="48" t="str">
        <x:v>CALA</x:v>
      </x:c>
      <x:c r="D9" s="48" t="str">
        <x:v>SCALABLE_IN_SLOW</x:v>
      </x:c>
      <x:c r="E9" s="48" t="str">
        <x:v>METHANE</x:v>
      </x:c>
      <x:c r="F9" s="62" t="n">
        <x:v>3.235880835398</x:v>
      </x:c>
      <x:c r="G9" s="62" t="n">
        <x:v>0.788623287769603</x:v>
      </x:c>
      <x:c r="H9" s="62" t="n">
        <x:v>4.024504123167602</x:v>
      </x:c>
      <x:c r="I9" s="48" t="str">
        <x:v>SELECTED V2 INCREMENT</x:v>
      </x:c>
    </x:row>
    <x:row r="10">
      <x:c r="A10" s="48" t="n">
        <x:v>2040</x:v>
      </x:c>
      <x:c r="B10" s="48" t="str">
        <x:v>CCGT</x:v>
      </x:c>
      <x:c r="C10" s="48" t="str">
        <x:v>SICI</x:v>
      </x:c>
      <x:c r="D10" s="48" t="str">
        <x:v>SCALABLE_IN_SLOW</x:v>
      </x:c>
      <x:c r="E10" s="48" t="str">
        <x:v>METHANE</x:v>
      </x:c>
      <x:c r="F10" s="62" t="n">
        <x:v>3.033470304432</x:v>
      </x:c>
      <x:c r="G10" s="62" t="n">
        <x:v>0.739293393830549</x:v>
      </x:c>
      <x:c r="H10" s="62" t="n">
        <x:v>3.772763698262549</x:v>
      </x:c>
      <x:c r="I10" s="48" t="str">
        <x:v>SELECTED V2 INCREMENT</x:v>
      </x:c>
    </x:row>
    <x:row r="11">
      <x:c r="A11" s="48" t="n">
        <x:v>2040</x:v>
      </x:c>
      <x:c r="B11" s="48" t="str">
        <x:v>CCGT</x:v>
      </x:c>
      <x:c r="C11" s="48" t="str">
        <x:v>SARD</x:v>
      </x:c>
      <x:c r="D11" s="48" t="str">
        <x:v>SCALABLE_IN_SLOW</x:v>
      </x:c>
      <x:c r="E11" s="48" t="str">
        <x:v>METHANE</x:v>
      </x:c>
      <x:c r="F11" s="62" t="n">
        <x:v>0.636150571763</x:v>
      </x:c>
      <x:c r="G11" s="62" t="n">
        <x:v>0.155037586654066</x:v>
      </x:c>
      <x:c r="H11" s="62" t="n">
        <x:v>0.791188158417066</x:v>
      </x:c>
      <x:c r="I11" s="48" t="str">
        <x:v>SELECTED V2 INCREMENT</x:v>
      </x:c>
    </x:row>
    <x:row r="12">
      <x:c r="A12" s="56" t="n">
        <x:v>2040</x:v>
      </x:c>
      <x:c r="B12" s="56" t="str">
        <x:v>CCGT</x:v>
      </x:c>
      <x:c r="C12" s="56" t="str">
        <x:v>ITALY</x:v>
      </x:c>
      <x:c r="D12" s="56" t="str">
        <x:v>SCALABLE_IN_SLOW</x:v>
      </x:c>
      <x:c r="E12" s="56" t="str">
        <x:v>METHANE</x:v>
      </x:c>
      <x:c r="F12" s="65" t="n">
        <x:v>42.348268607251995</x:v>
      </x:c>
      <x:c r="G12" s="65" t="n">
        <x:v>10.320785133700282</x:v>
      </x:c>
      <x:c r="H12" s="65" t="n">
        <x:v>52.66905374095228</x:v>
      </x:c>
      <x:c r="I12" s="56" t="str">
        <x:v>SELECTED V2 INCREMENT</x:v>
      </x:c>
    </x:row>
    <x:row r="13">
      <x:c r="A13" s="48"/>
      <x:c r="B13" s="48"/>
      <x:c r="C13" s="48"/>
      <x:c r="D13" s="48"/>
      <x:c r="E13" s="48"/>
      <x:c r="F13" s="62"/>
      <x:c r="G13" s="62"/>
      <x:c r="H13" s="62"/>
      <x:c r="I13" s="48"/>
    </x:row>
    <x:row r="14">
      <x:c r="A14" s="48" t="n">
        <x:v>2040</x:v>
      </x:c>
      <x:c r="B14" s="48" t="str">
        <x:v>GT_OCGT</x:v>
      </x:c>
      <x:c r="C14" s="48" t="str">
        <x:v>NORD</x:v>
      </x:c>
      <x:c r="D14" s="48" t="str">
        <x:v>SCALABLE_IN_SLOW</x:v>
      </x:c>
      <x:c r="E14" s="48" t="str">
        <x:v>METHANE</x:v>
      </x:c>
      <x:c r="F14" s="62" t="n">
        <x:v>0.842144489518</x:v>
      </x:c>
      <x:c r="G14" s="62" t="n">
        <x:v>0.205240795283814</x:v>
      </x:c>
      <x:c r="H14" s="62" t="n">
        <x:v>1.047385284801814</x:v>
      </x:c>
      <x:c r="I14" s="48" t="str">
        <x:v>SELECTED V2 INCREMENT</x:v>
      </x:c>
    </x:row>
    <x:row r="15">
      <x:c r="A15" s="48" t="n">
        <x:v>2040</x:v>
      </x:c>
      <x:c r="B15" s="48" t="str">
        <x:v>GT_OCGT</x:v>
      </x:c>
      <x:c r="C15" s="48" t="str">
        <x:v>CNOR</x:v>
      </x:c>
      <x:c r="D15" s="48" t="str">
        <x:v>SCALABLE_IN_SLOW</x:v>
      </x:c>
      <x:c r="E15" s="48" t="str">
        <x:v>METHANE</x:v>
      </x:c>
      <x:c r="F15" s="62" t="n">
        <x:v>0.47943513988799996</x:v>
      </x:c>
      <x:c r="G15" s="62" t="n">
        <x:v>0.11684414090738601</x:v>
      </x:c>
      <x:c r="H15" s="62" t="n">
        <x:v>0.596279280795386</x:v>
      </x:c>
      <x:c r="I15" s="48" t="str">
        <x:v>SELECTED V2 INCREMENT</x:v>
      </x:c>
    </x:row>
    <x:row r="16">
      <x:c r="A16" s="48" t="n">
        <x:v>2040</x:v>
      </x:c>
      <x:c r="B16" s="48" t="str">
        <x:v>GT_OCGT</x:v>
      </x:c>
      <x:c r="C16" s="48" t="str">
        <x:v>CSUD</x:v>
      </x:c>
      <x:c r="D16" s="48" t="str">
        <x:v>SCALABLE_IN_SLOW</x:v>
      </x:c>
      <x:c r="E16" s="48" t="str">
        <x:v>METHANE</x:v>
      </x:c>
      <x:c r="F16" s="62" t="n">
        <x:v>0.7691970411669999</x:v>
      </x:c>
      <x:c r="G16" s="62" t="n">
        <x:v>0.187462620042113</x:v>
      </x:c>
      <x:c r="H16" s="62" t="n">
        <x:v>0.9566596612091129</x:v>
      </x:c>
      <x:c r="I16" s="48" t="str">
        <x:v>SELECTED V2 INCREMENT</x:v>
      </x:c>
    </x:row>
    <x:row r="17">
      <x:c r="A17" s="48" t="n">
        <x:v>2040</x:v>
      </x:c>
      <x:c r="B17" s="48" t="str">
        <x:v>GT_OCGT</x:v>
      </x:c>
      <x:c r="C17" s="48" t="str">
        <x:v>SUD</x:v>
      </x:c>
      <x:c r="D17" s="48" t="str">
        <x:v>SCALABLE_IN_SLOW</x:v>
      </x:c>
      <x:c r="E17" s="48" t="str">
        <x:v>METHANE</x:v>
      </x:c>
      <x:c r="F17" s="62" t="n">
        <x:v>0.256102110068</x:v>
      </x:c>
      <x:c r="G17" s="62" t="n">
        <x:v>0.062415181003326</x:v>
      </x:c>
      <x:c r="H17" s="62" t="n">
        <x:v>0.318517291071326</x:v>
      </x:c>
      <x:c r="I17" s="48" t="str">
        <x:v>SELECTED V2 INCREMENT</x:v>
      </x:c>
    </x:row>
    <x:row r="18">
      <x:c r="A18" s="48" t="n">
        <x:v>2040</x:v>
      </x:c>
      <x:c r="B18" s="48" t="str">
        <x:v>GT_OCGT</x:v>
      </x:c>
      <x:c r="C18" s="48" t="str">
        <x:v>CALA</x:v>
      </x:c>
      <x:c r="D18" s="48" t="str">
        <x:v>SCALABLE_IN_SLOW</x:v>
      </x:c>
      <x:c r="E18" s="48" t="str">
        <x:v>METHANE</x:v>
      </x:c>
      <x:c r="F18" s="62" t="n">
        <x:v>0.216218464413</x:v>
      </x:c>
      <x:c r="G18" s="62" t="n">
        <x:v>0.052695054285243</x:v>
      </x:c>
      <x:c r="H18" s="62" t="n">
        <x:v>0.26891351869824304</x:v>
      </x:c>
      <x:c r="I18" s="48" t="str">
        <x:v>SELECTED V2 INCREMENT</x:v>
      </x:c>
    </x:row>
    <x:row r="19">
      <x:c r="A19" s="48" t="n">
        <x:v>2040</x:v>
      </x:c>
      <x:c r="B19" s="48" t="str">
        <x:v>GT_OCGT</x:v>
      </x:c>
      <x:c r="C19" s="48" t="str">
        <x:v>SICI</x:v>
      </x:c>
      <x:c r="D19" s="48" t="str">
        <x:v>SCALABLE_IN_SLOW</x:v>
      </x:c>
      <x:c r="E19" s="48" t="str">
        <x:v>METHANE</x:v>
      </x:c>
      <x:c r="F19" s="62" t="n">
        <x:v>0.652525027236</x:v>
      </x:c>
      <x:c r="G19" s="62" t="n">
        <x:v>0.15902823945230699</x:v>
      </x:c>
      <x:c r="H19" s="62" t="n">
        <x:v>0.811553266688307</x:v>
      </x:c>
      <x:c r="I19" s="48" t="str">
        <x:v>SELECTED V2 INCREMENT</x:v>
      </x:c>
    </x:row>
    <x:row r="20">
      <x:c r="A20" s="48" t="n">
        <x:v>2040</x:v>
      </x:c>
      <x:c r="B20" s="48" t="str">
        <x:v>GT_OCGT</x:v>
      </x:c>
      <x:c r="C20" s="48" t="str">
        <x:v>SARD</x:v>
      </x:c>
      <x:c r="D20" s="48" t="str">
        <x:v>SCALABLE_IN_SLOW</x:v>
      </x:c>
      <x:c r="E20" s="48" t="str">
        <x:v>METHANE</x:v>
      </x:c>
      <x:c r="F20" s="62" t="n">
        <x:v>0.139028766432</x:v>
      </x:c>
      <x:c r="G20" s="62" t="n">
        <x:v>0.033882991511543</x:v>
      </x:c>
      <x:c r="H20" s="62" t="n">
        <x:v>0.172911757943543</x:v>
      </x:c>
      <x:c r="I20" s="48" t="str">
        <x:v>SELECTED V2 INCREMENT</x:v>
      </x:c>
    </x:row>
    <x:row r="21">
      <x:c r="A21" s="56" t="n">
        <x:v>2040</x:v>
      </x:c>
      <x:c r="B21" s="56" t="str">
        <x:v>GT_OCGT</x:v>
      </x:c>
      <x:c r="C21" s="56" t="str">
        <x:v>ITALY</x:v>
      </x:c>
      <x:c r="D21" s="56" t="str">
        <x:v>SCALABLE_IN_SLOW</x:v>
      </x:c>
      <x:c r="E21" s="56" t="str">
        <x:v>METHANE</x:v>
      </x:c>
      <x:c r="F21" s="65" t="n">
        <x:v>3.354651038722</x:v>
      </x:c>
      <x:c r="G21" s="65" t="n">
        <x:v>0.8175690224857319</x:v>
      </x:c>
      <x:c r="H21" s="65" t="n">
        <x:v>4.172220061207732</x:v>
      </x:c>
      <x:c r="I21" s="56" t="str">
        <x:v>SELECTED V2 INCREMENT</x:v>
      </x:c>
    </x:row>
    <x:row r="22">
      <x:c r="A22" s="48"/>
      <x:c r="B22" s="48"/>
      <x:c r="C22" s="48"/>
      <x:c r="D22" s="48"/>
      <x:c r="E22" s="48"/>
      <x:c r="F22" s="62"/>
      <x:c r="G22" s="62"/>
      <x:c r="H22" s="62"/>
      <x:c r="I22" s="48"/>
    </x:row>
    <x:row r="23">
      <x:c r="A23" s="48" t="n">
        <x:v>2040</x:v>
      </x:c>
      <x:c r="B23" s="48" t="str">
        <x:v>INTERNAL_COMBUSTION</x:v>
      </x:c>
      <x:c r="C23" s="48" t="str">
        <x:v>NORD</x:v>
      </x:c>
      <x:c r="D23" s="48" t="str">
        <x:v>SCALABLE_IN_SLOW</x:v>
      </x:c>
      <x:c r="E23" s="48" t="str">
        <x:v>METHANE</x:v>
      </x:c>
      <x:c r="F23" s="62" t="n">
        <x:v>3.456449708873</x:v>
      </x:c>
      <x:c r="G23" s="62" t="n">
        <x:v>0.8423785893482829</x:v>
      </x:c>
      <x:c r="H23" s="62" t="n">
        <x:v>4.2988282982212835</x:v>
      </x:c>
      <x:c r="I23" s="48" t="str">
        <x:v>SELECTED V2 INCREMENT</x:v>
      </x:c>
    </x:row>
    <x:row r="24">
      <x:c r="A24" s="48" t="n">
        <x:v>2040</x:v>
      </x:c>
      <x:c r="B24" s="48" t="str">
        <x:v>INTERNAL_COMBUSTION</x:v>
      </x:c>
      <x:c r="C24" s="48" t="str">
        <x:v>CNOR</x:v>
      </x:c>
      <x:c r="D24" s="48" t="str">
        <x:v>SCALABLE_IN_SLOW</x:v>
      </x:c>
      <x:c r="E24" s="48" t="str">
        <x:v>METHANE</x:v>
      </x:c>
      <x:c r="F24" s="62" t="n">
        <x:v>0.38805714847399997</x:v>
      </x:c>
      <x:c r="G24" s="62" t="n">
        <x:v>0.094574219459606</x:v>
      </x:c>
      <x:c r="H24" s="62" t="n">
        <x:v>0.482631367933606</x:v>
      </x:c>
      <x:c r="I24" s="48" t="str">
        <x:v>SELECTED V2 INCREMENT</x:v>
      </x:c>
    </x:row>
    <x:row r="25">
      <x:c r="A25" s="48" t="n">
        <x:v>2040</x:v>
      </x:c>
      <x:c r="B25" s="48" t="str">
        <x:v>INTERNAL_COMBUSTION</x:v>
      </x:c>
      <x:c r="C25" s="48" t="str">
        <x:v>CSUD</x:v>
      </x:c>
      <x:c r="D25" s="48" t="str">
        <x:v>SCALABLE_IN_SLOW</x:v>
      </x:c>
      <x:c r="E25" s="48" t="str">
        <x:v>METHANE</x:v>
      </x:c>
      <x:c r="F25" s="62" t="n">
        <x:v>0.7804036866</x:v>
      </x:c>
      <x:c r="G25" s="62" t="n">
        <x:v>0.19019381504458702</x:v>
      </x:c>
      <x:c r="H25" s="62" t="n">
        <x:v>0.970597501644587</x:v>
      </x:c>
      <x:c r="I25" s="48" t="str">
        <x:v>SELECTED V2 INCREMENT</x:v>
      </x:c>
    </x:row>
    <x:row r="26">
      <x:c r="A26" s="48" t="n">
        <x:v>2040</x:v>
      </x:c>
      <x:c r="B26" s="48" t="str">
        <x:v>INTERNAL_COMBUSTION</x:v>
      </x:c>
      <x:c r="C26" s="48" t="str">
        <x:v>SUD</x:v>
      </x:c>
      <x:c r="D26" s="48" t="str">
        <x:v>SCALABLE_IN_SLOW</x:v>
      </x:c>
      <x:c r="E26" s="48" t="str">
        <x:v>METHANE</x:v>
      </x:c>
      <x:c r="F26" s="62" t="n">
        <x:v>0.437833098679</x:v>
      </x:c>
      <x:c r="G26" s="62" t="n">
        <x:v>0.106705220414001</x:v>
      </x:c>
      <x:c r="H26" s="62" t="n">
        <x:v>0.544538319093001</x:v>
      </x:c>
      <x:c r="I26" s="48" t="str">
        <x:v>SELECTED V2 INCREMENT</x:v>
      </x:c>
    </x:row>
    <x:row r="27">
      <x:c r="A27" s="48" t="n">
        <x:v>2040</x:v>
      </x:c>
      <x:c r="B27" s="48" t="str">
        <x:v>INTERNAL_COMBUSTION</x:v>
      </x:c>
      <x:c r="C27" s="48" t="str">
        <x:v>CALA</x:v>
      </x:c>
      <x:c r="D27" s="48" t="str">
        <x:v>SCALABLE_IN_SLOW</x:v>
      </x:c>
      <x:c r="E27" s="48" t="str">
        <x:v>METHANE</x:v>
      </x:c>
      <x:c r="F27" s="62" t="n">
        <x:v>0.038206958731999995</x:v>
      </x:c>
      <x:c r="G27" s="62" t="n">
        <x:v>0.009311497840495</x:v>
      </x:c>
      <x:c r="H27" s="62" t="n">
        <x:v>0.047518456572494996</x:v>
      </x:c>
      <x:c r="I27" s="48" t="str">
        <x:v>SELECTED V2 INCREMENT</x:v>
      </x:c>
    </x:row>
    <x:row r="28">
      <x:c r="A28" s="48" t="n">
        <x:v>2040</x:v>
      </x:c>
      <x:c r="B28" s="48" t="str">
        <x:v>INTERNAL_COMBUSTION</x:v>
      </x:c>
      <x:c r="C28" s="48" t="str">
        <x:v>SICI</x:v>
      </x:c>
      <x:c r="D28" s="48" t="str">
        <x:v>SCALABLE_IN_SLOW</x:v>
      </x:c>
      <x:c r="E28" s="48" t="str">
        <x:v>METHANE</x:v>
      </x:c>
      <x:c r="F28" s="62" t="n">
        <x:v>0.206615562143</x:v>
      </x:c>
      <x:c r="G28" s="62" t="n">
        <x:v>0.050354710884011</x:v>
      </x:c>
      <x:c r="H28" s="62" t="n">
        <x:v>0.256970273027011</x:v>
      </x:c>
      <x:c r="I28" s="48" t="str">
        <x:v>SELECTED V2 INCREMENT</x:v>
      </x:c>
    </x:row>
    <x:row r="29">
      <x:c r="A29" s="48" t="n">
        <x:v>2040</x:v>
      </x:c>
      <x:c r="B29" s="48" t="str">
        <x:v>INTERNAL_COMBUSTION</x:v>
      </x:c>
      <x:c r="C29" s="48" t="str">
        <x:v>SARD</x:v>
      </x:c>
      <x:c r="D29" s="48" t="str">
        <x:v>SCALABLE_IN_SLOW</x:v>
      </x:c>
      <x:c r="E29" s="48" t="str">
        <x:v>METHANE</x:v>
      </x:c>
      <x:c r="F29" s="62" t="n">
        <x:v>0.022337288474000003</x:v>
      </x:c>
      <x:c r="G29" s="62" t="n">
        <x:v>0.005443867302999</x:v>
      </x:c>
      <x:c r="H29" s="62" t="n">
        <x:v>0.027781155776999</x:v>
      </x:c>
      <x:c r="I29" s="48" t="str">
        <x:v>SELECTED V2 INCREMENT</x:v>
      </x:c>
    </x:row>
    <x:row r="30">
      <x:c r="A30" s="56" t="n">
        <x:v>2040</x:v>
      </x:c>
      <x:c r="B30" s="56" t="str">
        <x:v>INTERNAL_COMBUSTION</x:v>
      </x:c>
      <x:c r="C30" s="56" t="str">
        <x:v>ITALY</x:v>
      </x:c>
      <x:c r="D30" s="56" t="str">
        <x:v>SCALABLE_IN_SLOW</x:v>
      </x:c>
      <x:c r="E30" s="56" t="str">
        <x:v>METHANE</x:v>
      </x:c>
      <x:c r="F30" s="65" t="n">
        <x:v>5.3299034519749995</x:v>
      </x:c>
      <x:c r="G30" s="65" t="n">
        <x:v>1.2989619202939817</x:v>
      </x:c>
      <x:c r="H30" s="65" t="n">
        <x:v>6.628865372268982</x:v>
      </x:c>
      <x:c r="I30" s="56" t="str">
        <x:v>SELECTED V2 INCREMENT</x:v>
      </x:c>
    </x:row>
    <x:row r="31">
      <x:c r="A31" s="48"/>
      <x:c r="B31" s="48"/>
      <x:c r="C31" s="48"/>
      <x:c r="D31" s="48"/>
      <x:c r="E31" s="48"/>
      <x:c r="F31" s="62"/>
      <x:c r="G31" s="62"/>
      <x:c r="H31" s="62"/>
      <x:c r="I31" s="48"/>
    </x:row>
    <x:row r="32">
      <x:c r="A32" s="48" t="n">
        <x:v>2040</x:v>
      </x:c>
      <x:c r="B32" s="48" t="str">
        <x:v>STEAM_OTHER_SURVIVING</x:v>
      </x:c>
      <x:c r="C32" s="48" t="str">
        <x:v>NORD</x:v>
      </x:c>
      <x:c r="D32" s="48" t="str">
        <x:v>SCALABLE_IN_SLOW</x:v>
      </x:c>
      <x:c r="E32" s="48" t="str">
        <x:v>METHANE</x:v>
      </x:c>
      <x:c r="F32" s="62" t="n">
        <x:v>1.588168234432</x:v>
      </x:c>
      <x:c r="G32" s="62" t="n">
        <x:v>0.38705580281820195</x:v>
      </x:c>
      <x:c r="H32" s="62" t="n">
        <x:v>1.975224037250202</x:v>
      </x:c>
      <x:c r="I32" s="48" t="str">
        <x:v>SELECTED V2 INCREMENT</x:v>
      </x:c>
    </x:row>
    <x:row r="33">
      <x:c r="A33" s="48" t="n">
        <x:v>2040</x:v>
      </x:c>
      <x:c r="B33" s="48" t="str">
        <x:v>STEAM_OTHER_SURVIVING</x:v>
      </x:c>
      <x:c r="C33" s="48" t="str">
        <x:v>CNOR</x:v>
      </x:c>
      <x:c r="D33" s="48" t="str">
        <x:v>SCALABLE_IN_SLOW</x:v>
      </x:c>
      <x:c r="E33" s="48" t="str">
        <x:v>METHANE</x:v>
      </x:c>
      <x:c r="F33" s="62" t="n">
        <x:v>0.050690815098999996</x:v>
      </x:c>
      <x:c r="G33" s="62" t="n">
        <x:v>0.012353964591585</x:v>
      </x:c>
      <x:c r="H33" s="62" t="n">
        <x:v>0.063044779690585</x:v>
      </x:c>
      <x:c r="I33" s="48" t="str">
        <x:v>SELECTED V2 INCREMENT</x:v>
      </x:c>
    </x:row>
    <x:row r="34">
      <x:c r="A34" s="48" t="n">
        <x:v>2040</x:v>
      </x:c>
      <x:c r="B34" s="48" t="str">
        <x:v>STEAM_OTHER_SURVIVING</x:v>
      </x:c>
      <x:c r="C34" s="48" t="str">
        <x:v>CSUD</x:v>
      </x:c>
      <x:c r="D34" s="48" t="str">
        <x:v>SCALABLE_IN_SLOW</x:v>
      </x:c>
      <x:c r="E34" s="48" t="str">
        <x:v>METHANE</x:v>
      </x:c>
      <x:c r="F34" s="62" t="n">
        <x:v>0.178980072753</x:v>
      </x:c>
      <x:c r="G34" s="62" t="n">
        <x:v>0.043619607952080995</x:v>
      </x:c>
      <x:c r="H34" s="62" t="n">
        <x:v>0.222599680705081</x:v>
      </x:c>
      <x:c r="I34" s="48" t="str">
        <x:v>SELECTED V2 INCREMENT</x:v>
      </x:c>
    </x:row>
    <x:row r="35">
      <x:c r="A35" s="48" t="n">
        <x:v>2040</x:v>
      </x:c>
      <x:c r="B35" s="48" t="str">
        <x:v>STEAM_OTHER_SURVIVING</x:v>
      </x:c>
      <x:c r="C35" s="48" t="str">
        <x:v>SUD</x:v>
      </x:c>
      <x:c r="D35" s="48" t="str">
        <x:v>SCALABLE_IN_SLOW</x:v>
      </x:c>
      <x:c r="E35" s="48" t="str">
        <x:v>METHANE</x:v>
      </x:c>
      <x:c r="F35" s="62" t="n">
        <x:v>0.5427043509149999</x:v>
      </x:c>
      <x:c r="G35" s="62" t="n">
        <x:v>0.132263612684246</x:v>
      </x:c>
      <x:c r="H35" s="62" t="n">
        <x:v>0.674967963599246</x:v>
      </x:c>
      <x:c r="I35" s="48" t="str">
        <x:v>SELECTED V2 INCREMENT</x:v>
      </x:c>
    </x:row>
    <x:row r="36">
      <x:c r="A36" s="48" t="n">
        <x:v>2040</x:v>
      </x:c>
      <x:c r="B36" s="48" t="str">
        <x:v>STEAM_OTHER_SURVIVING</x:v>
      </x:c>
      <x:c r="C36" s="48" t="str">
        <x:v>CALA</x:v>
      </x:c>
      <x:c r="D36" s="48" t="str">
        <x:v>SCALABLE_IN_SLOW</x:v>
      </x:c>
      <x:c r="E36" s="48" t="str">
        <x:v>METHANE</x:v>
      </x:c>
      <x:c r="F36" s="62" t="n">
        <x:v>0.144709481828</x:v>
      </x:c>
      <x:c r="G36" s="62" t="n">
        <x:v>0.035267450544605</x:v>
      </x:c>
      <x:c r="H36" s="62" t="n">
        <x:v>0.179976932372605</x:v>
      </x:c>
      <x:c r="I36" s="48" t="str">
        <x:v>SELECTED V2 INCREMENT</x:v>
      </x:c>
    </x:row>
    <x:row r="37">
      <x:c r="A37" s="48" t="n">
        <x:v>2040</x:v>
      </x:c>
      <x:c r="B37" s="48" t="str">
        <x:v>STEAM_OTHER_SURVIVING</x:v>
      </x:c>
      <x:c r="C37" s="48" t="str">
        <x:v>SICI</x:v>
      </x:c>
      <x:c r="D37" s="48" t="str">
        <x:v>SCALABLE_IN_SLOW</x:v>
      </x:c>
      <x:c r="E37" s="48" t="str">
        <x:v>METHANE</x:v>
      </x:c>
      <x:c r="F37" s="62" t="n">
        <x:v>0.142573999974</x:v>
      </x:c>
      <x:c r="G37" s="62" t="n">
        <x:v>0.034747007794596003</x:v>
      </x:c>
      <x:c r="H37" s="62" t="n">
        <x:v>0.177321007768596</x:v>
      </x:c>
      <x:c r="I37" s="48" t="str">
        <x:v>SELECTED V2 INCREMENT</x:v>
      </x:c>
    </x:row>
    <x:row r="38">
      <x:c r="A38" s="48" t="n">
        <x:v>2040</x:v>
      </x:c>
      <x:c r="B38" s="48" t="str">
        <x:v>STEAM_OTHER_SURVIVING</x:v>
      </x:c>
      <x:c r="C38" s="48" t="str">
        <x:v>SARD</x:v>
      </x:c>
      <x:c r="D38" s="48" t="str">
        <x:v>SCALABLE_IN_SLOW</x:v>
      </x:c>
      <x:c r="E38" s="48" t="str">
        <x:v>METHANE</x:v>
      </x:c>
      <x:c r="F38" s="62" t="n">
        <x:v>0.246720448909</x:v>
      </x:c>
      <x:c r="G38" s="62" t="n">
        <x:v>0.060128756736085996</x:v>
      </x:c>
      <x:c r="H38" s="62" t="n">
        <x:v>0.306849205645086</x:v>
      </x:c>
      <x:c r="I38" s="48" t="str">
        <x:v>SELECTED V2 INCREMENT</x:v>
      </x:c>
    </x:row>
    <x:row r="39">
      <x:c r="A39" s="56" t="n">
        <x:v>2040</x:v>
      </x:c>
      <x:c r="B39" s="56" t="str">
        <x:v>STEAM_OTHER_SURVIVING</x:v>
      </x:c>
      <x:c r="C39" s="56" t="str">
        <x:v>ITALY</x:v>
      </x:c>
      <x:c r="D39" s="56" t="str">
        <x:v>SCALABLE_IN_SLOW</x:v>
      </x:c>
      <x:c r="E39" s="56" t="str">
        <x:v>METHANE</x:v>
      </x:c>
      <x:c r="F39" s="65" t="n">
        <x:v>2.89454740391</x:v>
      </x:c>
      <x:c r="G39" s="65" t="n">
        <x:v>0.705436203121401</x:v>
      </x:c>
      <x:c r="H39" s="65" t="n">
        <x:v>3.599983607031401</x:v>
      </x:c>
      <x:c r="I39" s="56" t="str">
        <x:v>SELECTED V2 INCREMENT</x:v>
      </x:c>
    </x:row>
    <x:row r="40">
      <x:c r="A40" s="48"/>
      <x:c r="B40" s="48"/>
      <x:c r="C40" s="48"/>
      <x:c r="D40" s="48"/>
      <x:c r="E40" s="48"/>
      <x:c r="F40" s="62"/>
      <x:c r="G40" s="62"/>
      <x:c r="H40" s="62"/>
      <x:c r="I40" s="48"/>
    </x:row>
    <x:row r="41">
      <x:c r="A41" s="48" t="n">
        <x:v>2040</x:v>
      </x:c>
      <x:c r="B41" s="48" t="str">
        <x:v>OTHER_SURVIVING_THERMAL</x:v>
      </x:c>
      <x:c r="C41" s="48" t="str">
        <x:v>NORD</x:v>
      </x:c>
      <x:c r="D41" s="48" t="str">
        <x:v>SCALABLE_IN_SLOW</x:v>
      </x:c>
      <x:c r="E41" s="48" t="str">
        <x:v>METHANE</x:v>
      </x:c>
      <x:c r="F41" s="62" t="n">
        <x:v>0.053151228556</x:v>
      </x:c>
      <x:c r="G41" s="62" t="n">
        <x:v>0.012953597102308001</x:v>
      </x:c>
      <x:c r="H41" s="62" t="n">
        <x:v>0.066104825658308</x:v>
      </x:c>
      <x:c r="I41" s="48" t="str">
        <x:v>SELECTED V2 INCREMENT</x:v>
      </x:c>
    </x:row>
    <x:row r="42">
      <x:c r="A42" s="48" t="n">
        <x:v>2040</x:v>
      </x:c>
      <x:c r="B42" s="48" t="str">
        <x:v>OTHER_SURVIVING_THERMAL</x:v>
      </x:c>
      <x:c r="C42" s="48" t="str">
        <x:v>CNOR</x:v>
      </x:c>
      <x:c r="D42" s="48" t="str">
        <x:v>SCALABLE_IN_SLOW</x:v>
      </x:c>
      <x:c r="E42" s="48" t="str">
        <x:v>METHANE</x:v>
      </x:c>
      <x:c r="F42" s="62" t="n">
        <x:v>0.034351116281</x:v>
      </x:c>
      <x:c r="G42" s="62" t="n">
        <x:v>0.008371782410444</x:v>
      </x:c>
      <x:c r="H42" s="62" t="n">
        <x:v>0.042722898691444</x:v>
      </x:c>
      <x:c r="I42" s="48" t="str">
        <x:v>SELECTED V2 INCREMENT</x:v>
      </x:c>
    </x:row>
    <x:row r="43">
      <x:c r="A43" s="48" t="n">
        <x:v>2040</x:v>
      </x:c>
      <x:c r="B43" s="48" t="str">
        <x:v>OTHER_SURVIVING_THERMAL</x:v>
      </x:c>
      <x:c r="C43" s="48" t="str">
        <x:v>CSUD</x:v>
      </x:c>
      <x:c r="D43" s="48" t="str">
        <x:v>SCALABLE_IN_SLOW</x:v>
      </x:c>
      <x:c r="E43" s="48" t="str">
        <x:v>METHANE</x:v>
      </x:c>
      <x:c r="F43" s="62" t="n">
        <x:v>0.031065187014</x:v>
      </x:c>
      <x:c r="G43" s="62" t="n">
        <x:v>0.007570961714709</x:v>
      </x:c>
      <x:c r="H43" s="62" t="n">
        <x:v>0.038636148728709005</x:v>
      </x:c>
      <x:c r="I43" s="48" t="str">
        <x:v>SELECTED V2 INCREMENT</x:v>
      </x:c>
    </x:row>
    <x:row r="44">
      <x:c r="A44" s="48" t="n">
        <x:v>2040</x:v>
      </x:c>
      <x:c r="B44" s="48" t="str">
        <x:v>OTHER_SURVIVING_THERMAL</x:v>
      </x:c>
      <x:c r="C44" s="48" t="str">
        <x:v>SUD</x:v>
      </x:c>
      <x:c r="D44" s="48" t="str">
        <x:v>SCALABLE_IN_SLOW</x:v>
      </x:c>
      <x:c r="E44" s="48" t="str">
        <x:v>METHANE</x:v>
      </x:c>
      <x:c r="F44" s="62" t="n">
        <x:v>0.120231362984</x:v>
      </x:c>
      <x:c r="G44" s="62" t="n">
        <x:v>0.029301836993574</x:v>
      </x:c>
      <x:c r="H44" s="62" t="n">
        <x:v>0.149533199977574</x:v>
      </x:c>
      <x:c r="I44" s="48" t="str">
        <x:v>SELECTED V2 INCREMENT</x:v>
      </x:c>
    </x:row>
    <x:row r="45">
      <x:c r="A45" s="48" t="n">
        <x:v>2040</x:v>
      </x:c>
      <x:c r="B45" s="48" t="str">
        <x:v>OTHER_SURVIVING_THERMAL</x:v>
      </x:c>
      <x:c r="C45" s="48" t="str">
        <x:v>CALA</x:v>
      </x:c>
      <x:c r="D45" s="48" t="str">
        <x:v>SCALABLE_IN_SLOW</x:v>
      </x:c>
      <x:c r="E45" s="48" t="str">
        <x:v>METHANE</x:v>
      </x:c>
      <x:c r="F45" s="62" t="n">
        <x:v>0</x:v>
      </x:c>
      <x:c r="G45" s="62" t="n">
        <x:v>0</x:v>
      </x:c>
      <x:c r="H45" s="62" t="n">
        <x:v>0</x:v>
      </x:c>
      <x:c r="I45" s="48" t="str">
        <x:v>SELECTED V2 INCREMENT</x:v>
      </x:c>
    </x:row>
    <x:row r="46">
      <x:c r="A46" s="48" t="n">
        <x:v>2040</x:v>
      </x:c>
      <x:c r="B46" s="48" t="str">
        <x:v>OTHER_SURVIVING_THERMAL</x:v>
      </x:c>
      <x:c r="C46" s="48" t="str">
        <x:v>SICI</x:v>
      </x:c>
      <x:c r="D46" s="48" t="str">
        <x:v>SCALABLE_IN_SLOW</x:v>
      </x:c>
      <x:c r="E46" s="48" t="str">
        <x:v>METHANE</x:v>
      </x:c>
      <x:c r="F46" s="62" t="n">
        <x:v>0.022281503519</x:v>
      </x:c>
      <x:c r="G46" s="62" t="n">
        <x:v>0.0054302718349149995</x:v>
      </x:c>
      <x:c r="H46" s="62" t="n">
        <x:v>0.027711775353915002</x:v>
      </x:c>
      <x:c r="I46" s="48" t="str">
        <x:v>SELECTED V2 INCREMENT</x:v>
      </x:c>
    </x:row>
    <x:row r="47">
      <x:c r="A47" s="48" t="n">
        <x:v>2040</x:v>
      </x:c>
      <x:c r="B47" s="48" t="str">
        <x:v>OTHER_SURVIVING_THERMAL</x:v>
      </x:c>
      <x:c r="C47" s="48" t="str">
        <x:v>SARD</x:v>
      </x:c>
      <x:c r="D47" s="48" t="str">
        <x:v>SCALABLE_IN_SLOW</x:v>
      </x:c>
      <x:c r="E47" s="48" t="str">
        <x:v>METHANE</x:v>
      </x:c>
      <x:c r="F47" s="62" t="n">
        <x:v>0.028495431878</x:v>
      </x:c>
      <x:c r="G47" s="62" t="n">
        <x:v>0.006944681314656</x:v>
      </x:c>
      <x:c r="H47" s="62" t="n">
        <x:v>0.035440113192656</x:v>
      </x:c>
      <x:c r="I47" s="48" t="str">
        <x:v>SELECTED V2 INCREMENT</x:v>
      </x:c>
    </x:row>
    <x:row r="48">
      <x:c r="A48" s="56" t="n">
        <x:v>2040</x:v>
      </x:c>
      <x:c r="B48" s="56" t="str">
        <x:v>OTHER_SURVIVING_THERMAL</x:v>
      </x:c>
      <x:c r="C48" s="56" t="str">
        <x:v>ITALY</x:v>
      </x:c>
      <x:c r="D48" s="56" t="str">
        <x:v>SCALABLE_IN_SLOW</x:v>
      </x:c>
      <x:c r="E48" s="56" t="str">
        <x:v>METHANE</x:v>
      </x:c>
      <x:c r="F48" s="65" t="n">
        <x:v>0.289575830232</x:v>
      </x:c>
      <x:c r="G48" s="65" t="n">
        <x:v>0.07057313137060599</x:v>
      </x:c>
      <x:c r="H48" s="65" t="n">
        <x:v>0.360148961602606</x:v>
      </x:c>
      <x:c r="I48" s="56" t="str">
        <x:v>SELECTED V2 INCREMENT</x:v>
      </x:c>
    </x:row>
    <x:row r="49">
      <x:c r="A49" s="48"/>
      <x:c r="B49" s="48"/>
      <x:c r="C49" s="48"/>
      <x:c r="D49" s="48"/>
      <x:c r="E49" s="48"/>
      <x:c r="F49" s="62"/>
      <x:c r="G49" s="62"/>
      <x:c r="H49" s="62"/>
      <x:c r="I49" s="48"/>
    </x:row>
    <x:row r="50">
      <x:c r="A50" s="57" t="n">
        <x:v>2040</x:v>
      </x:c>
      <x:c r="B50" s="57" t="str">
        <x:v>GEOTHERMAL</x:v>
      </x:c>
      <x:c r="C50" s="57" t="str">
        <x:v>NORD</x:v>
      </x:c>
      <x:c r="D50" s="57" t="str">
        <x:v>FIXED_IN_SLOW</x:v>
      </x:c>
      <x:c r="E50" s="57" t="str">
        <x:v>GEOTHERMAL</x:v>
      </x:c>
      <x:c r="F50" s="66" t="n">
        <x:v>0</x:v>
      </x:c>
      <x:c r="G50" s="66" t="n">
        <x:v>0</x:v>
      </x:c>
      <x:c r="H50" s="66" t="n">
        <x:v>0</x:v>
      </x:c>
      <x:c r="I50" s="57" t="str">
        <x:v>FIXED (INCREMENT = 0)</x:v>
      </x:c>
    </x:row>
    <x:row r="51">
      <x:c r="A51" s="57" t="n">
        <x:v>2040</x:v>
      </x:c>
      <x:c r="B51" s="57" t="str">
        <x:v>GEOTHERMAL</x:v>
      </x:c>
      <x:c r="C51" s="57" t="str">
        <x:v>CNOR</x:v>
      </x:c>
      <x:c r="D51" s="57" t="str">
        <x:v>FIXED_IN_SLOW</x:v>
      </x:c>
      <x:c r="E51" s="57" t="str">
        <x:v>GEOTHERMAL</x:v>
      </x:c>
      <x:c r="F51" s="66" t="n">
        <x:v>0.783053667913</x:v>
      </x:c>
      <x:c r="G51" s="66" t="n">
        <x:v>0</x:v>
      </x:c>
      <x:c r="H51" s="66" t="n">
        <x:v>0.783053667913</x:v>
      </x:c>
      <x:c r="I51" s="57" t="str">
        <x:v>FIXED (INCREMENT = 0)</x:v>
      </x:c>
    </x:row>
    <x:row r="52">
      <x:c r="A52" s="57" t="n">
        <x:v>2040</x:v>
      </x:c>
      <x:c r="B52" s="57" t="str">
        <x:v>GEOTHERMAL</x:v>
      </x:c>
      <x:c r="C52" s="57" t="str">
        <x:v>CSUD</x:v>
      </x:c>
      <x:c r="D52" s="57" t="str">
        <x:v>FIXED_IN_SLOW</x:v>
      </x:c>
      <x:c r="E52" s="57" t="str">
        <x:v>GEOTHERMAL</x:v>
      </x:c>
      <x:c r="F52" s="66" t="n">
        <x:v>0</x:v>
      </x:c>
      <x:c r="G52" s="66" t="n">
        <x:v>0</x:v>
      </x:c>
      <x:c r="H52" s="66" t="n">
        <x:v>0</x:v>
      </x:c>
      <x:c r="I52" s="57" t="str">
        <x:v>FIXED (INCREMENT = 0)</x:v>
      </x:c>
    </x:row>
    <x:row r="53">
      <x:c r="A53" s="57" t="n">
        <x:v>2040</x:v>
      </x:c>
      <x:c r="B53" s="57" t="str">
        <x:v>GEOTHERMAL</x:v>
      </x:c>
      <x:c r="C53" s="57" t="str">
        <x:v>SUD</x:v>
      </x:c>
      <x:c r="D53" s="57" t="str">
        <x:v>FIXED_IN_SLOW</x:v>
      </x:c>
      <x:c r="E53" s="57" t="str">
        <x:v>GEOTHERMAL</x:v>
      </x:c>
      <x:c r="F53" s="66" t="n">
        <x:v>0</x:v>
      </x:c>
      <x:c r="G53" s="66" t="n">
        <x:v>0</x:v>
      </x:c>
      <x:c r="H53" s="66" t="n">
        <x:v>0</x:v>
      </x:c>
      <x:c r="I53" s="57" t="str">
        <x:v>FIXED (INCREMENT = 0)</x:v>
      </x:c>
    </x:row>
    <x:row r="54">
      <x:c r="A54" s="57" t="n">
        <x:v>2040</x:v>
      </x:c>
      <x:c r="B54" s="57" t="str">
        <x:v>GEOTHERMAL</x:v>
      </x:c>
      <x:c r="C54" s="57" t="str">
        <x:v>CALA</x:v>
      </x:c>
      <x:c r="D54" s="57" t="str">
        <x:v>FIXED_IN_SLOW</x:v>
      </x:c>
      <x:c r="E54" s="57" t="str">
        <x:v>GEOTHERMAL</x:v>
      </x:c>
      <x:c r="F54" s="66" t="n">
        <x:v>0</x:v>
      </x:c>
      <x:c r="G54" s="66" t="n">
        <x:v>0</x:v>
      </x:c>
      <x:c r="H54" s="66" t="n">
        <x:v>0</x:v>
      </x:c>
      <x:c r="I54" s="57" t="str">
        <x:v>FIXED (INCREMENT = 0)</x:v>
      </x:c>
    </x:row>
    <x:row r="55">
      <x:c r="A55" s="57" t="n">
        <x:v>2040</x:v>
      </x:c>
      <x:c r="B55" s="57" t="str">
        <x:v>GEOTHERMAL</x:v>
      </x:c>
      <x:c r="C55" s="57" t="str">
        <x:v>SICI</x:v>
      </x:c>
      <x:c r="D55" s="57" t="str">
        <x:v>FIXED_IN_SLOW</x:v>
      </x:c>
      <x:c r="E55" s="57" t="str">
        <x:v>GEOTHERMAL</x:v>
      </x:c>
      <x:c r="F55" s="66" t="n">
        <x:v>0</x:v>
      </x:c>
      <x:c r="G55" s="66" t="n">
        <x:v>0</x:v>
      </x:c>
      <x:c r="H55" s="66" t="n">
        <x:v>0</x:v>
      </x:c>
      <x:c r="I55" s="57" t="str">
        <x:v>FIXED (INCREMENT = 0)</x:v>
      </x:c>
    </x:row>
    <x:row r="56">
      <x:c r="A56" s="57" t="n">
        <x:v>2040</x:v>
      </x:c>
      <x:c r="B56" s="57" t="str">
        <x:v>GEOTHERMAL</x:v>
      </x:c>
      <x:c r="C56" s="57" t="str">
        <x:v>SARD</x:v>
      </x:c>
      <x:c r="D56" s="57" t="str">
        <x:v>FIXED_IN_SLOW</x:v>
      </x:c>
      <x:c r="E56" s="57" t="str">
        <x:v>GEOTHERMAL</x:v>
      </x:c>
      <x:c r="F56" s="66" t="n">
        <x:v>0</x:v>
      </x:c>
      <x:c r="G56" s="66" t="n">
        <x:v>0</x:v>
      </x:c>
      <x:c r="H56" s="66" t="n">
        <x:v>0</x:v>
      </x:c>
      <x:c r="I56" s="57" t="str">
        <x:v>FIXED (INCREMENT = 0)</x:v>
      </x:c>
    </x:row>
    <x:row r="57">
      <x:c r="A57" s="58" t="n">
        <x:v>2040</x:v>
      </x:c>
      <x:c r="B57" s="58" t="str">
        <x:v>GEOTHERMAL</x:v>
      </x:c>
      <x:c r="C57" s="58" t="str">
        <x:v>ITALY</x:v>
      </x:c>
      <x:c r="D57" s="58" t="str">
        <x:v>FIXED_IN_SLOW</x:v>
      </x:c>
      <x:c r="E57" s="58" t="str">
        <x:v>GEOTHERMAL</x:v>
      </x:c>
      <x:c r="F57" s="67" t="n">
        <x:v>0.783053667913</x:v>
      </x:c>
      <x:c r="G57" s="67" t="n">
        <x:v>0</x:v>
      </x:c>
      <x:c r="H57" s="67" t="n">
        <x:v>0.783053667913</x:v>
      </x:c>
      <x:c r="I57" s="58" t="str">
        <x:v>FIXED (INCREMENT = 0)</x:v>
      </x:c>
    </x:row>
    <x:row r="58">
      <x:c r="A58" s="48"/>
      <x:c r="B58" s="48"/>
      <x:c r="C58" s="48"/>
      <x:c r="D58" s="48"/>
      <x:c r="E58" s="48"/>
      <x:c r="F58" s="62"/>
      <x:c r="G58" s="62"/>
      <x:c r="H58" s="62"/>
      <x:c r="I58" s="48"/>
    </x:row>
    <x:row r="59">
      <x:c r="A59" s="57" t="n">
        <x:v>2050</x:v>
      </x:c>
      <x:c r="B59" s="57" t="str">
        <x:v>BIOENERGY</x:v>
      </x:c>
      <x:c r="C59" s="57" t="str">
        <x:v>NORD</x:v>
      </x:c>
      <x:c r="D59" s="57" t="str">
        <x:v>FIXED_IN_SLOW</x:v>
      </x:c>
      <x:c r="E59" s="57" t="str">
        <x:v>BIOENERGY</x:v>
      </x:c>
      <x:c r="F59" s="66" t="n">
        <x:v>4.542288621371</x:v>
      </x:c>
      <x:c r="G59" s="66" t="n">
        <x:v>0</x:v>
      </x:c>
      <x:c r="H59" s="66" t="n">
        <x:v>4.542288621371</x:v>
      </x:c>
      <x:c r="I59" s="57" t="str">
        <x:v>FIXED (INCREMENT = 0)</x:v>
      </x:c>
    </x:row>
    <x:row r="60">
      <x:c r="A60" s="57" t="n">
        <x:v>2050</x:v>
      </x:c>
      <x:c r="B60" s="57" t="str">
        <x:v>BIOENERGY</x:v>
      </x:c>
      <x:c r="C60" s="57" t="str">
        <x:v>CNOR</x:v>
      </x:c>
      <x:c r="D60" s="57" t="str">
        <x:v>FIXED_IN_SLOW</x:v>
      </x:c>
      <x:c r="E60" s="57" t="str">
        <x:v>BIOENERGY</x:v>
      </x:c>
      <x:c r="F60" s="66" t="n">
        <x:v>0.343258566564</x:v>
      </x:c>
      <x:c r="G60" s="66" t="n">
        <x:v>0</x:v>
      </x:c>
      <x:c r="H60" s="66" t="n">
        <x:v>0.343258566564</x:v>
      </x:c>
      <x:c r="I60" s="57" t="str">
        <x:v>FIXED (INCREMENT = 0)</x:v>
      </x:c>
    </x:row>
    <x:row r="61">
      <x:c r="A61" s="57" t="n">
        <x:v>2050</x:v>
      </x:c>
      <x:c r="B61" s="57" t="str">
        <x:v>BIOENERGY</x:v>
      </x:c>
      <x:c r="C61" s="57" t="str">
        <x:v>CSUD</x:v>
      </x:c>
      <x:c r="D61" s="57" t="str">
        <x:v>FIXED_IN_SLOW</x:v>
      </x:c>
      <x:c r="E61" s="57" t="str">
        <x:v>BIOENERGY</x:v>
      </x:c>
      <x:c r="F61" s="66" t="n">
        <x:v>0.85341991232</x:v>
      </x:c>
      <x:c r="G61" s="66" t="n">
        <x:v>0</x:v>
      </x:c>
      <x:c r="H61" s="66" t="n">
        <x:v>0.85341991232</x:v>
      </x:c>
      <x:c r="I61" s="57" t="str">
        <x:v>FIXED (INCREMENT = 0)</x:v>
      </x:c>
    </x:row>
    <x:row r="62">
      <x:c r="A62" s="57" t="n">
        <x:v>2050</x:v>
      </x:c>
      <x:c r="B62" s="57" t="str">
        <x:v>BIOENERGY</x:v>
      </x:c>
      <x:c r="C62" s="57" t="str">
        <x:v>SUD</x:v>
      </x:c>
      <x:c r="D62" s="57" t="str">
        <x:v>FIXED_IN_SLOW</x:v>
      </x:c>
      <x:c r="E62" s="57" t="str">
        <x:v>BIOENERGY</x:v>
      </x:c>
      <x:c r="F62" s="66" t="n">
        <x:v>0.8538505950840001</x:v>
      </x:c>
      <x:c r="G62" s="66" t="n">
        <x:v>0</x:v>
      </x:c>
      <x:c r="H62" s="66" t="n">
        <x:v>0.8538505950840001</x:v>
      </x:c>
      <x:c r="I62" s="57" t="str">
        <x:v>FIXED (INCREMENT = 0)</x:v>
      </x:c>
    </x:row>
    <x:row r="63">
      <x:c r="A63" s="57" t="n">
        <x:v>2050</x:v>
      </x:c>
      <x:c r="B63" s="57" t="str">
        <x:v>BIOENERGY</x:v>
      </x:c>
      <x:c r="C63" s="57" t="str">
        <x:v>CALA</x:v>
      </x:c>
      <x:c r="D63" s="57" t="str">
        <x:v>FIXED_IN_SLOW</x:v>
      </x:c>
      <x:c r="E63" s="57" t="str">
        <x:v>BIOENERGY</x:v>
      </x:c>
      <x:c r="F63" s="66" t="n">
        <x:v>0.335831107297</x:v>
      </x:c>
      <x:c r="G63" s="66" t="n">
        <x:v>0</x:v>
      </x:c>
      <x:c r="H63" s="66" t="n">
        <x:v>0.335831107297</x:v>
      </x:c>
      <x:c r="I63" s="57" t="str">
        <x:v>FIXED (INCREMENT = 0)</x:v>
      </x:c>
    </x:row>
    <x:row r="64">
      <x:c r="A64" s="57" t="n">
        <x:v>2050</x:v>
      </x:c>
      <x:c r="B64" s="57" t="str">
        <x:v>BIOENERGY</x:v>
      </x:c>
      <x:c r="C64" s="57" t="str">
        <x:v>SICI</x:v>
      </x:c>
      <x:c r="D64" s="57" t="str">
        <x:v>FIXED_IN_SLOW</x:v>
      </x:c>
      <x:c r="E64" s="57" t="str">
        <x:v>BIOENERGY</x:v>
      </x:c>
      <x:c r="F64" s="66" t="n">
        <x:v>0.132916357988</x:v>
      </x:c>
      <x:c r="G64" s="66" t="n">
        <x:v>0</x:v>
      </x:c>
      <x:c r="H64" s="66" t="n">
        <x:v>0.132916357988</x:v>
      </x:c>
      <x:c r="I64" s="57" t="str">
        <x:v>FIXED (INCREMENT = 0)</x:v>
      </x:c>
    </x:row>
    <x:row r="65">
      <x:c r="A65" s="57" t="n">
        <x:v>2050</x:v>
      </x:c>
      <x:c r="B65" s="57" t="str">
        <x:v>BIOENERGY</x:v>
      </x:c>
      <x:c r="C65" s="57" t="str">
        <x:v>SARD</x:v>
      </x:c>
      <x:c r="D65" s="57" t="str">
        <x:v>FIXED_IN_SLOW</x:v>
      </x:c>
      <x:c r="E65" s="57" t="str">
        <x:v>BIOENERGY</x:v>
      </x:c>
      <x:c r="F65" s="66" t="n">
        <x:v>0.212364886255</x:v>
      </x:c>
      <x:c r="G65" s="66" t="n">
        <x:v>0</x:v>
      </x:c>
      <x:c r="H65" s="66" t="n">
        <x:v>0.212364886255</x:v>
      </x:c>
      <x:c r="I65" s="57" t="str">
        <x:v>FIXED (INCREMENT = 0)</x:v>
      </x:c>
    </x:row>
    <x:row r="66">
      <x:c r="A66" s="58" t="n">
        <x:v>2050</x:v>
      </x:c>
      <x:c r="B66" s="58" t="str">
        <x:v>BIOENERGY</x:v>
      </x:c>
      <x:c r="C66" s="58" t="str">
        <x:v>ITALY</x:v>
      </x:c>
      <x:c r="D66" s="58" t="str">
        <x:v>FIXED_IN_SLOW</x:v>
      </x:c>
      <x:c r="E66" s="58" t="str">
        <x:v>BIOENERGY</x:v>
      </x:c>
      <x:c r="F66" s="67" t="n">
        <x:v>7.2739300468789985</x:v>
      </x:c>
      <x:c r="G66" s="67" t="n">
        <x:v>0</x:v>
      </x:c>
      <x:c r="H66" s="67" t="n">
        <x:v>7.2739300468789985</x:v>
      </x:c>
      <x:c r="I66" s="58" t="str">
        <x:v>FIXED (INCREMENT = 0)</x:v>
      </x:c>
    </x:row>
    <x:row r="67">
      <x:c r="A67" s="48"/>
      <x:c r="B67" s="48"/>
      <x:c r="C67" s="48"/>
      <x:c r="D67" s="48"/>
      <x:c r="E67" s="48"/>
      <x:c r="F67" s="62"/>
      <x:c r="G67" s="62"/>
      <x:c r="H67" s="62"/>
      <x:c r="I67" s="48"/>
    </x:row>
    <x:row r="68">
      <x:c r="A68" s="57" t="n">
        <x:v>2050</x:v>
      </x:c>
      <x:c r="B68" s="57" t="str">
        <x:v>BIOENERGY_CCS</x:v>
      </x:c>
      <x:c r="C68" s="57" t="str">
        <x:v>NORD</x:v>
      </x:c>
      <x:c r="D68" s="57" t="str">
        <x:v>FIXED_IN_SLOW</x:v>
      </x:c>
      <x:c r="E68" s="57" t="str">
        <x:v>BIOENERGY</x:v>
      </x:c>
      <x:c r="F68" s="66" t="n">
        <x:v>2.5711067668139997</x:v>
      </x:c>
      <x:c r="G68" s="66" t="n">
        <x:v>0</x:v>
      </x:c>
      <x:c r="H68" s="66" t="n">
        <x:v>2.5711067668139997</x:v>
      </x:c>
      <x:c r="I68" s="57" t="str">
        <x:v>FIXED (INCREMENT = 0)</x:v>
      </x:c>
    </x:row>
    <x:row r="69">
      <x:c r="A69" s="57" t="n">
        <x:v>2050</x:v>
      </x:c>
      <x:c r="B69" s="57" t="str">
        <x:v>BIOENERGY_CCS</x:v>
      </x:c>
      <x:c r="C69" s="57" t="str">
        <x:v>CNOR</x:v>
      </x:c>
      <x:c r="D69" s="57" t="str">
        <x:v>FIXED_IN_SLOW</x:v>
      </x:c>
      <x:c r="E69" s="57" t="str">
        <x:v>BIOENERGY</x:v>
      </x:c>
      <x:c r="F69" s="66" t="n">
        <x:v>0.194297301828</x:v>
      </x:c>
      <x:c r="G69" s="66" t="n">
        <x:v>0</x:v>
      </x:c>
      <x:c r="H69" s="66" t="n">
        <x:v>0.194297301828</x:v>
      </x:c>
      <x:c r="I69" s="57" t="str">
        <x:v>FIXED (INCREMENT = 0)</x:v>
      </x:c>
    </x:row>
    <x:row r="70">
      <x:c r="A70" s="57" t="n">
        <x:v>2050</x:v>
      </x:c>
      <x:c r="B70" s="57" t="str">
        <x:v>BIOENERGY_CCS</x:v>
      </x:c>
      <x:c r="C70" s="57" t="str">
        <x:v>CSUD</x:v>
      </x:c>
      <x:c r="D70" s="57" t="str">
        <x:v>FIXED_IN_SLOW</x:v>
      </x:c>
      <x:c r="E70" s="57" t="str">
        <x:v>BIOENERGY</x:v>
      </x:c>
      <x:c r="F70" s="66" t="n">
        <x:v>0.483067874898</x:v>
      </x:c>
      <x:c r="G70" s="66" t="n">
        <x:v>0</x:v>
      </x:c>
      <x:c r="H70" s="66" t="n">
        <x:v>0.483067874898</x:v>
      </x:c>
      <x:c r="I70" s="57" t="str">
        <x:v>FIXED (INCREMENT = 0)</x:v>
      </x:c>
    </x:row>
    <x:row r="71">
      <x:c r="A71" s="57" t="n">
        <x:v>2050</x:v>
      </x:c>
      <x:c r="B71" s="57" t="str">
        <x:v>BIOENERGY_CCS</x:v>
      </x:c>
      <x:c r="C71" s="57" t="str">
        <x:v>SUD</x:v>
      </x:c>
      <x:c r="D71" s="57" t="str">
        <x:v>FIXED_IN_SLOW</x:v>
      </x:c>
      <x:c r="E71" s="57" t="str">
        <x:v>BIOENERGY</x:v>
      </x:c>
      <x:c r="F71" s="66" t="n">
        <x:v>0.483311657595</x:v>
      </x:c>
      <x:c r="G71" s="66" t="n">
        <x:v>0</x:v>
      </x:c>
      <x:c r="H71" s="66" t="n">
        <x:v>0.483311657595</x:v>
      </x:c>
      <x:c r="I71" s="57" t="str">
        <x:v>FIXED (INCREMENT = 0)</x:v>
      </x:c>
    </x:row>
    <x:row r="72">
      <x:c r="A72" s="57" t="n">
        <x:v>2050</x:v>
      </x:c>
      <x:c r="B72" s="57" t="str">
        <x:v>BIOENERGY_CCS</x:v>
      </x:c>
      <x:c r="C72" s="57" t="str">
        <x:v>CALA</x:v>
      </x:c>
      <x:c r="D72" s="57" t="str">
        <x:v>FIXED_IN_SLOW</x:v>
      </x:c>
      <x:c r="E72" s="57" t="str">
        <x:v>BIOENERGY</x:v>
      </x:c>
      <x:c r="F72" s="66" t="n">
        <x:v>0.19009307960199998</x:v>
      </x:c>
      <x:c r="G72" s="66" t="n">
        <x:v>0</x:v>
      </x:c>
      <x:c r="H72" s="66" t="n">
        <x:v>0.19009307960199998</x:v>
      </x:c>
      <x:c r="I72" s="57" t="str">
        <x:v>FIXED (INCREMENT = 0)</x:v>
      </x:c>
    </x:row>
    <x:row r="73">
      <x:c r="A73" s="57" t="n">
        <x:v>2050</x:v>
      </x:c>
      <x:c r="B73" s="57" t="str">
        <x:v>BIOENERGY_CCS</x:v>
      </x:c>
      <x:c r="C73" s="57" t="str">
        <x:v>SICI</x:v>
      </x:c>
      <x:c r="D73" s="57" t="str">
        <x:v>FIXED_IN_SLOW</x:v>
      </x:c>
      <x:c r="E73" s="57" t="str">
        <x:v>BIOENERGY</x:v>
      </x:c>
      <x:c r="F73" s="66" t="n">
        <x:v>0.075235674333</x:v>
      </x:c>
      <x:c r="G73" s="66" t="n">
        <x:v>0</x:v>
      </x:c>
      <x:c r="H73" s="66" t="n">
        <x:v>0.075235674333</x:v>
      </x:c>
      <x:c r="I73" s="57" t="str">
        <x:v>FIXED (INCREMENT = 0)</x:v>
      </x:c>
    </x:row>
    <x:row r="74">
      <x:c r="A74" s="57" t="n">
        <x:v>2050</x:v>
      </x:c>
      <x:c r="B74" s="57" t="str">
        <x:v>BIOENERGY_CCS</x:v>
      </x:c>
      <x:c r="C74" s="57" t="str">
        <x:v>SARD</x:v>
      </x:c>
      <x:c r="D74" s="57" t="str">
        <x:v>FIXED_IN_SLOW</x:v>
      </x:c>
      <x:c r="E74" s="57" t="str">
        <x:v>BIOENERGY</x:v>
      </x:c>
      <x:c r="F74" s="66" t="n">
        <x:v>0.12020653939</x:v>
      </x:c>
      <x:c r="G74" s="66" t="n">
        <x:v>0</x:v>
      </x:c>
      <x:c r="H74" s="66" t="n">
        <x:v>0.12020653939</x:v>
      </x:c>
      <x:c r="I74" s="57" t="str">
        <x:v>FIXED (INCREMENT = 0)</x:v>
      </x:c>
    </x:row>
    <x:row r="75">
      <x:c r="A75" s="58" t="n">
        <x:v>2050</x:v>
      </x:c>
      <x:c r="B75" s="58" t="str">
        <x:v>BIOENERGY_CCS</x:v>
      </x:c>
      <x:c r="C75" s="58" t="str">
        <x:v>ITALY</x:v>
      </x:c>
      <x:c r="D75" s="58" t="str">
        <x:v>FIXED_IN_SLOW</x:v>
      </x:c>
      <x:c r="E75" s="58" t="str">
        <x:v>BIOENERGY</x:v>
      </x:c>
      <x:c r="F75" s="67" t="n">
        <x:v>4.117318894459999</x:v>
      </x:c>
      <x:c r="G75" s="67" t="n">
        <x:v>0</x:v>
      </x:c>
      <x:c r="H75" s="67" t="n">
        <x:v>4.117318894459999</x:v>
      </x:c>
      <x:c r="I75" s="58" t="str">
        <x:v>FIXED (INCREMENT = 0)</x:v>
      </x:c>
    </x:row>
    <x:row r="76">
      <x:c r="A76" s="48"/>
      <x:c r="B76" s="48"/>
      <x:c r="C76" s="48"/>
      <x:c r="D76" s="48"/>
      <x:c r="E76" s="48"/>
      <x:c r="F76" s="62"/>
      <x:c r="G76" s="62"/>
      <x:c r="H76" s="62"/>
      <x:c r="I76" s="48"/>
    </x:row>
    <x:row r="77">
      <x:c r="A77" s="48" t="n">
        <x:v>2050</x:v>
      </x:c>
      <x:c r="B77" s="48" t="str">
        <x:v>GAS_CCS</x:v>
      </x:c>
      <x:c r="C77" s="48" t="str">
        <x:v>NORD</x:v>
      </x:c>
      <x:c r="D77" s="48" t="str">
        <x:v>SCALABLE_IN_SLOW</x:v>
      </x:c>
      <x:c r="E77" s="48" t="str">
        <x:v>METHANE</x:v>
      </x:c>
      <x:c r="F77" s="62" t="n">
        <x:v>3.516377767001</x:v>
      </x:c>
      <x:c r="G77" s="62" t="n">
        <x:v>7.726047215567768</x:v>
      </x:c>
      <x:c r="H77" s="62" t="n">
        <x:v>11.242424982568767</x:v>
      </x:c>
      <x:c r="I77" s="48" t="str">
        <x:v>SELECTED V2 INCREMENT</x:v>
      </x:c>
    </x:row>
    <x:row r="78">
      <x:c r="A78" s="48" t="n">
        <x:v>2050</x:v>
      </x:c>
      <x:c r="B78" s="48" t="str">
        <x:v>GAS_CCS</x:v>
      </x:c>
      <x:c r="C78" s="48" t="str">
        <x:v>CNOR</x:v>
      </x:c>
      <x:c r="D78" s="48" t="str">
        <x:v>SCALABLE_IN_SLOW</x:v>
      </x:c>
      <x:c r="E78" s="48" t="str">
        <x:v>METHANE</x:v>
      </x:c>
      <x:c r="F78" s="62" t="n">
        <x:v>0.243560931279</x:v>
      </x:c>
      <x:c r="G78" s="62" t="n">
        <x:v>0.535142518698753</x:v>
      </x:c>
      <x:c r="H78" s="62" t="n">
        <x:v>0.7787034499777531</x:v>
      </x:c>
      <x:c r="I78" s="48" t="str">
        <x:v>SELECTED V2 INCREMENT</x:v>
      </x:c>
    </x:row>
    <x:row r="79">
      <x:c r="A79" s="48" t="n">
        <x:v>2050</x:v>
      </x:c>
      <x:c r="B79" s="48" t="str">
        <x:v>GAS_CCS</x:v>
      </x:c>
      <x:c r="C79" s="48" t="str">
        <x:v>CSUD</x:v>
      </x:c>
      <x:c r="D79" s="48" t="str">
        <x:v>SCALABLE_IN_SLOW</x:v>
      </x:c>
      <x:c r="E79" s="48" t="str">
        <x:v>METHANE</x:v>
      </x:c>
      <x:c r="F79" s="62" t="n">
        <x:v>0.964647101768</x:v>
      </x:c>
      <x:c r="G79" s="62" t="n">
        <x:v>2.119484750632043</x:v>
      </x:c>
      <x:c r="H79" s="62" t="n">
        <x:v>3.084131852400043</x:v>
      </x:c>
      <x:c r="I79" s="48" t="str">
        <x:v>SELECTED V2 INCREMENT</x:v>
      </x:c>
    </x:row>
    <x:row r="80">
      <x:c r="A80" s="48" t="n">
        <x:v>2050</x:v>
      </x:c>
      <x:c r="B80" s="48" t="str">
        <x:v>GAS_CCS</x:v>
      </x:c>
      <x:c r="C80" s="48" t="str">
        <x:v>SUD</x:v>
      </x:c>
      <x:c r="D80" s="48" t="str">
        <x:v>SCALABLE_IN_SLOW</x:v>
      </x:c>
      <x:c r="E80" s="48" t="str">
        <x:v>METHANE</x:v>
      </x:c>
      <x:c r="F80" s="62" t="n">
        <x:v>0.674038035664</x:v>
      </x:c>
      <x:c r="G80" s="62" t="n">
        <x:v>1.480969916685045</x:v>
      </x:c>
      <x:c r="H80" s="62" t="n">
        <x:v>2.155007952349045</x:v>
      </x:c>
      <x:c r="I80" s="48" t="str">
        <x:v>SELECTED V2 INCREMENT</x:v>
      </x:c>
    </x:row>
    <x:row r="81">
      <x:c r="A81" s="48" t="n">
        <x:v>2050</x:v>
      </x:c>
      <x:c r="B81" s="48" t="str">
        <x:v>GAS_CCS</x:v>
      </x:c>
      <x:c r="C81" s="48" t="str">
        <x:v>CALA</x:v>
      </x:c>
      <x:c r="D81" s="48" t="str">
        <x:v>SCALABLE_IN_SLOW</x:v>
      </x:c>
      <x:c r="E81" s="48" t="str">
        <x:v>METHANE</x:v>
      </x:c>
      <x:c r="F81" s="62" t="n">
        <x:v>0.492887687322</x:v>
      </x:c>
      <x:c r="G81" s="62" t="n">
        <x:v>1.082953481266477</x:v>
      </x:c>
      <x:c r="H81" s="62" t="n">
        <x:v>1.575841168588477</x:v>
      </x:c>
      <x:c r="I81" s="48" t="str">
        <x:v>SELECTED V2 INCREMENT</x:v>
      </x:c>
    </x:row>
    <x:row r="82">
      <x:c r="A82" s="48" t="n">
        <x:v>2050</x:v>
      </x:c>
      <x:c r="B82" s="48" t="str">
        <x:v>GAS_CCS</x:v>
      </x:c>
      <x:c r="C82" s="48" t="str">
        <x:v>SICI</x:v>
      </x:c>
      <x:c r="D82" s="48" t="str">
        <x:v>SCALABLE_IN_SLOW</x:v>
      </x:c>
      <x:c r="E82" s="48" t="str">
        <x:v>METHANE</x:v>
      </x:c>
      <x:c r="F82" s="62" t="n">
        <x:v>0.462056620428</x:v>
      </x:c>
      <x:c r="G82" s="62" t="n">
        <x:v>1.01521267117356</x:v>
      </x:c>
      <x:c r="H82" s="62" t="n">
        <x:v>1.4772692916015602</x:v>
      </x:c>
      <x:c r="I82" s="48" t="str">
        <x:v>SELECTED V2 INCREMENT</x:v>
      </x:c>
    </x:row>
    <x:row r="83">
      <x:c r="A83" s="48" t="n">
        <x:v>2050</x:v>
      </x:c>
      <x:c r="B83" s="48" t="str">
        <x:v>GAS_CCS</x:v>
      </x:c>
      <x:c r="C83" s="48" t="str">
        <x:v>SARD</x:v>
      </x:c>
      <x:c r="D83" s="48" t="str">
        <x:v>SCALABLE_IN_SLOW</x:v>
      </x:c>
      <x:c r="E83" s="48" t="str">
        <x:v>METHANE</x:v>
      </x:c>
      <x:c r="F83" s="62" t="n">
        <x:v>0.096898124513</x:v>
      </x:c>
      <x:c r="G83" s="62" t="n">
        <x:v>0.212900756031651</x:v>
      </x:c>
      <x:c r="H83" s="62" t="n">
        <x:v>0.309798880544651</x:v>
      </x:c>
      <x:c r="I83" s="48" t="str">
        <x:v>SELECTED V2 INCREMENT</x:v>
      </x:c>
    </x:row>
    <x:row r="84">
      <x:c r="A84" s="56" t="n">
        <x:v>2050</x:v>
      </x:c>
      <x:c r="B84" s="56" t="str">
        <x:v>GAS_CCS</x:v>
      </x:c>
      <x:c r="C84" s="56" t="str">
        <x:v>ITALY</x:v>
      </x:c>
      <x:c r="D84" s="56" t="str">
        <x:v>SCALABLE_IN_SLOW</x:v>
      </x:c>
      <x:c r="E84" s="56" t="str">
        <x:v>METHANE</x:v>
      </x:c>
      <x:c r="F84" s="65" t="n">
        <x:v>6.450466267974999</x:v>
      </x:c>
      <x:c r="G84" s="65" t="n">
        <x:v>14.172711310055298</x:v>
      </x:c>
      <x:c r="H84" s="65" t="n">
        <x:v>20.623177578030297</x:v>
      </x:c>
      <x:c r="I84" s="56" t="str">
        <x:v>SELECTED V2 INCREMENT</x:v>
      </x:c>
    </x:row>
    <x:row r="85">
      <x:c r="A85" s="48"/>
      <x:c r="B85" s="48"/>
      <x:c r="C85" s="48"/>
      <x:c r="D85" s="48"/>
      <x:c r="E85" s="48"/>
      <x:c r="F85" s="62"/>
      <x:c r="G85" s="62"/>
      <x:c r="H85" s="62"/>
      <x:c r="I85" s="48"/>
    </x:row>
    <x:row r="86">
      <x:c r="A86" s="48" t="n">
        <x:v>2050</x:v>
      </x:c>
      <x:c r="B86" s="48" t="str">
        <x:v>GAS_OTHER_FOSSIL</x:v>
      </x:c>
      <x:c r="C86" s="48" t="str">
        <x:v>NORD</x:v>
      </x:c>
      <x:c r="D86" s="48" t="str">
        <x:v>SCALABLE_IN_SLOW</x:v>
      </x:c>
      <x:c r="E86" s="48" t="str">
        <x:v>METHANE_BASELINE; HYDROGEN_SENSITIVITIES</x:v>
      </x:c>
      <x:c r="F86" s="62" t="n">
        <x:v>0.850138477546</x:v>
      </x:c>
      <x:c r="G86" s="62" t="n">
        <x:v>1.8678908958331581</x:v>
      </x:c>
      <x:c r="H86" s="62" t="n">
        <x:v>2.7180293733791583</x:v>
      </x:c>
      <x:c r="I86" s="48" t="str">
        <x:v>SELECTED V2 INCREMENT</x:v>
      </x:c>
    </x:row>
    <x:row r="87">
      <x:c r="A87" s="48" t="n">
        <x:v>2050</x:v>
      </x:c>
      <x:c r="B87" s="48" t="str">
        <x:v>GAS_OTHER_FOSSIL</x:v>
      </x:c>
      <x:c r="C87" s="48" t="str">
        <x:v>CNOR</x:v>
      </x:c>
      <x:c r="D87" s="48" t="str">
        <x:v>SCALABLE_IN_SLOW</x:v>
      </x:c>
      <x:c r="E87" s="48" t="str">
        <x:v>METHANE_BASELINE; HYDROGEN_SENSITIVITIES</x:v>
      </x:c>
      <x:c r="F87" s="62" t="n">
        <x:v>0.483986138935</x:v>
      </x:c>
      <x:c r="G87" s="62" t="n">
        <x:v>1.063395348526866</x:v>
      </x:c>
      <x:c r="H87" s="62" t="n">
        <x:v>1.547381487461866</x:v>
      </x:c>
      <x:c r="I87" s="48" t="str">
        <x:v>SELECTED V2 INCREMENT</x:v>
      </x:c>
    </x:row>
    <x:row r="88">
      <x:c r="A88" s="48" t="n">
        <x:v>2050</x:v>
      </x:c>
      <x:c r="B88" s="48" t="str">
        <x:v>GAS_OTHER_FOSSIL</x:v>
      </x:c>
      <x:c r="C88" s="48" t="str">
        <x:v>CSUD</x:v>
      </x:c>
      <x:c r="D88" s="48" t="str">
        <x:v>SCALABLE_IN_SLOW</x:v>
      </x:c>
      <x:c r="E88" s="48" t="str">
        <x:v>METHANE_BASELINE; HYDROGEN_SENSITIVITIES</x:v>
      </x:c>
      <x:c r="F88" s="62" t="n">
        <x:v>0.77649858148</x:v>
      </x:c>
      <x:c r="G88" s="62" t="n">
        <x:v>1.706092206484529</x:v>
      </x:c>
      <x:c r="H88" s="62" t="n">
        <x:v>2.4825907879645293</x:v>
      </x:c>
      <x:c r="I88" s="48" t="str">
        <x:v>SELECTED V2 INCREMENT</x:v>
      </x:c>
    </x:row>
    <x:row r="89">
      <x:c r="A89" s="48" t="n">
        <x:v>2050</x:v>
      </x:c>
      <x:c r="B89" s="48" t="str">
        <x:v>GAS_OTHER_FOSSIL</x:v>
      </x:c>
      <x:c r="C89" s="48" t="str">
        <x:v>SUD</x:v>
      </x:c>
      <x:c r="D89" s="48" t="str">
        <x:v>SCALABLE_IN_SLOW</x:v>
      </x:c>
      <x:c r="E89" s="48" t="str">
        <x:v>METHANE_BASELINE; HYDROGEN_SENSITIVITIES</x:v>
      </x:c>
      <x:c r="F89" s="62" t="n">
        <x:v>0.258533138507</x:v>
      </x:c>
      <x:c r="G89" s="62" t="n">
        <x:v>0.568038864776907</x:v>
      </x:c>
      <x:c r="H89" s="62" t="n">
        <x:v>0.8265720032839069</x:v>
      </x:c>
      <x:c r="I89" s="48" t="str">
        <x:v>SELECTED V2 INCREMENT</x:v>
      </x:c>
    </x:row>
    <x:row r="90">
      <x:c r="A90" s="48" t="n">
        <x:v>2050</x:v>
      </x:c>
      <x:c r="B90" s="48" t="str">
        <x:v>GAS_OTHER_FOSSIL</x:v>
      </x:c>
      <x:c r="C90" s="48" t="str">
        <x:v>CALA</x:v>
      </x:c>
      <x:c r="D90" s="48" t="str">
        <x:v>SCALABLE_IN_SLOW</x:v>
      </x:c>
      <x:c r="E90" s="48" t="str">
        <x:v>METHANE_BASELINE; HYDROGEN_SENSITIVITIES</x:v>
      </x:c>
      <x:c r="F90" s="62" t="n">
        <x:v>0.218270900589</x:v>
      </x:c>
      <x:c r="G90" s="62" t="n">
        <x:v>0.479576255873487</x:v>
      </x:c>
      <x:c r="H90" s="62" t="n">
        <x:v>0.697847156462487</x:v>
      </x:c>
      <x:c r="I90" s="48" t="str">
        <x:v>SELECTED V2 INCREMENT</x:v>
      </x:c>
    </x:row>
    <x:row r="91">
      <x:c r="A91" s="48" t="n">
        <x:v>2050</x:v>
      </x:c>
      <x:c r="B91" s="48" t="str">
        <x:v>GAS_OTHER_FOSSIL</x:v>
      </x:c>
      <x:c r="C91" s="48" t="str">
        <x:v>SICI</x:v>
      </x:c>
      <x:c r="D91" s="48" t="str">
        <x:v>SCALABLE_IN_SLOW</x:v>
      </x:c>
      <x:c r="E91" s="48" t="str">
        <x:v>METHANE_BASELINE; HYDROGEN_SENSITIVITIES</x:v>
      </x:c>
      <x:c r="F91" s="62" t="n">
        <x:v>0.6587190679499999</x:v>
      </x:c>
      <x:c r="G91" s="62" t="n">
        <x:v>1.447311682077032</x:v>
      </x:c>
      <x:c r="H91" s="62" t="n">
        <x:v>2.106030750027032</x:v>
      </x:c>
      <x:c r="I91" s="48" t="str">
        <x:v>SELECTED V2 INCREMENT</x:v>
      </x:c>
    </x:row>
    <x:row r="92">
      <x:c r="A92" s="48" t="n">
        <x:v>2050</x:v>
      </x:c>
      <x:c r="B92" s="48" t="str">
        <x:v>GAS_OTHER_FOSSIL</x:v>
      </x:c>
      <x:c r="C92" s="48" t="str">
        <x:v>SARD</x:v>
      </x:c>
      <x:c r="D92" s="48" t="str">
        <x:v>SCALABLE_IN_SLOW</x:v>
      </x:c>
      <x:c r="E92" s="48" t="str">
        <x:v>METHANE_BASELINE; HYDROGEN_SENSITIVITIES</x:v>
      </x:c>
      <x:c r="F92" s="62" t="n">
        <x:v>0.14034848568199998</x:v>
      </x:c>
      <x:c r="G92" s="62" t="n">
        <x:v>0.308368184211722</x:v>
      </x:c>
      <x:c r="H92" s="62" t="n">
        <x:v>0.448716669893722</x:v>
      </x:c>
      <x:c r="I92" s="48" t="str">
        <x:v>SELECTED V2 INCREMENT</x:v>
      </x:c>
    </x:row>
    <x:row r="93">
      <x:c r="A93" s="56" t="n">
        <x:v>2050</x:v>
      </x:c>
      <x:c r="B93" s="56" t="str">
        <x:v>GAS_OTHER_FOSSIL</x:v>
      </x:c>
      <x:c r="C93" s="56" t="str">
        <x:v>ITALY</x:v>
      </x:c>
      <x:c r="D93" s="56" t="str">
        <x:v>SCALABLE_IN_SLOW</x:v>
      </x:c>
      <x:c r="E93" s="56" t="str">
        <x:v>METHANE_BASELINE; HYDROGEN_SENSITIVITIES</x:v>
      </x:c>
      <x:c r="F93" s="65" t="n">
        <x:v>3.3864947906890004</x:v>
      </x:c>
      <x:c r="G93" s="65" t="n">
        <x:v>7.440673437783701</x:v>
      </x:c>
      <x:c r="H93" s="65" t="n">
        <x:v>10.8271682284727</x:v>
      </x:c>
      <x:c r="I93" s="56" t="str">
        <x:v>SELECTED V2 INCREMENT</x:v>
      </x:c>
    </x:row>
    <x:row r="94">
      <x:c r="A94" s="48"/>
      <x:c r="B94" s="48"/>
      <x:c r="C94" s="48"/>
      <x:c r="D94" s="48"/>
      <x:c r="E94" s="48"/>
      <x:c r="F94" s="62"/>
      <x:c r="G94" s="62"/>
      <x:c r="H94" s="62"/>
      <x:c r="I94" s="48"/>
    </x:row>
    <x:row r="95">
      <x:c r="A95" s="57" t="n">
        <x:v>2050</x:v>
      </x:c>
      <x:c r="B95" s="57" t="str">
        <x:v>GEOTHERMAL</x:v>
      </x:c>
      <x:c r="C95" s="57" t="str">
        <x:v>NORD</x:v>
      </x:c>
      <x:c r="D95" s="57" t="str">
        <x:v>FIXED_IN_SLOW</x:v>
      </x:c>
      <x:c r="E95" s="57" t="str">
        <x:v>GEOTHERMAL</x:v>
      </x:c>
      <x:c r="F95" s="66" t="n">
        <x:v>0</x:v>
      </x:c>
      <x:c r="G95" s="66" t="n">
        <x:v>0</x:v>
      </x:c>
      <x:c r="H95" s="66" t="n">
        <x:v>0</x:v>
      </x:c>
      <x:c r="I95" s="57" t="str">
        <x:v>FIXED (INCREMENT = 0)</x:v>
      </x:c>
    </x:row>
    <x:row r="96">
      <x:c r="A96" s="57" t="n">
        <x:v>2050</x:v>
      </x:c>
      <x:c r="B96" s="57" t="str">
        <x:v>GEOTHERMAL</x:v>
      </x:c>
      <x:c r="C96" s="57" t="str">
        <x:v>CNOR</x:v>
      </x:c>
      <x:c r="D96" s="57" t="str">
        <x:v>FIXED_IN_SLOW</x:v>
      </x:c>
      <x:c r="E96" s="57" t="str">
        <x:v>GEOTHERMAL</x:v>
      </x:c>
      <x:c r="F96" s="66" t="n">
        <x:v>0.77179</x:v>
      </x:c>
      <x:c r="G96" s="66" t="n">
        <x:v>0</x:v>
      </x:c>
      <x:c r="H96" s="66" t="n">
        <x:v>0.77179</x:v>
      </x:c>
      <x:c r="I96" s="57" t="str">
        <x:v>FIXED (INCREMENT = 0)</x:v>
      </x:c>
    </x:row>
    <x:row r="97">
      <x:c r="A97" s="57" t="n">
        <x:v>2050</x:v>
      </x:c>
      <x:c r="B97" s="57" t="str">
        <x:v>GEOTHERMAL</x:v>
      </x:c>
      <x:c r="C97" s="57" t="str">
        <x:v>CSUD</x:v>
      </x:c>
      <x:c r="D97" s="57" t="str">
        <x:v>FIXED_IN_SLOW</x:v>
      </x:c>
      <x:c r="E97" s="57" t="str">
        <x:v>GEOTHERMAL</x:v>
      </x:c>
      <x:c r="F97" s="66" t="n">
        <x:v>0</x:v>
      </x:c>
      <x:c r="G97" s="66" t="n">
        <x:v>0</x:v>
      </x:c>
      <x:c r="H97" s="66" t="n">
        <x:v>0</x:v>
      </x:c>
      <x:c r="I97" s="57" t="str">
        <x:v>FIXED (INCREMENT = 0)</x:v>
      </x:c>
    </x:row>
    <x:row r="98">
      <x:c r="A98" s="57" t="n">
        <x:v>2050</x:v>
      </x:c>
      <x:c r="B98" s="57" t="str">
        <x:v>GEOTHERMAL</x:v>
      </x:c>
      <x:c r="C98" s="57" t="str">
        <x:v>SUD</x:v>
      </x:c>
      <x:c r="D98" s="57" t="str">
        <x:v>FIXED_IN_SLOW</x:v>
      </x:c>
      <x:c r="E98" s="57" t="str">
        <x:v>GEOTHERMAL</x:v>
      </x:c>
      <x:c r="F98" s="66" t="n">
        <x:v>0</x:v>
      </x:c>
      <x:c r="G98" s="66" t="n">
        <x:v>0</x:v>
      </x:c>
      <x:c r="H98" s="66" t="n">
        <x:v>0</x:v>
      </x:c>
      <x:c r="I98" s="57" t="str">
        <x:v>FIXED (INCREMENT = 0)</x:v>
      </x:c>
    </x:row>
    <x:row r="99">
      <x:c r="A99" s="57" t="n">
        <x:v>2050</x:v>
      </x:c>
      <x:c r="B99" s="57" t="str">
        <x:v>GEOTHERMAL</x:v>
      </x:c>
      <x:c r="C99" s="57" t="str">
        <x:v>CALA</x:v>
      </x:c>
      <x:c r="D99" s="57" t="str">
        <x:v>FIXED_IN_SLOW</x:v>
      </x:c>
      <x:c r="E99" s="57" t="str">
        <x:v>GEOTHERMAL</x:v>
      </x:c>
      <x:c r="F99" s="66" t="n">
        <x:v>0</x:v>
      </x:c>
      <x:c r="G99" s="66" t="n">
        <x:v>0</x:v>
      </x:c>
      <x:c r="H99" s="66" t="n">
        <x:v>0</x:v>
      </x:c>
      <x:c r="I99" s="57" t="str">
        <x:v>FIXED (INCREMENT = 0)</x:v>
      </x:c>
    </x:row>
    <x:row r="100">
      <x:c r="A100" s="57" t="n">
        <x:v>2050</x:v>
      </x:c>
      <x:c r="B100" s="57" t="str">
        <x:v>GEOTHERMAL</x:v>
      </x:c>
      <x:c r="C100" s="57" t="str">
        <x:v>SICI</x:v>
      </x:c>
      <x:c r="D100" s="57" t="str">
        <x:v>FIXED_IN_SLOW</x:v>
      </x:c>
      <x:c r="E100" s="57" t="str">
        <x:v>GEOTHERMAL</x:v>
      </x:c>
      <x:c r="F100" s="66" t="n">
        <x:v>0</x:v>
      </x:c>
      <x:c r="G100" s="66" t="n">
        <x:v>0</x:v>
      </x:c>
      <x:c r="H100" s="66" t="n">
        <x:v>0</x:v>
      </x:c>
      <x:c r="I100" s="57" t="str">
        <x:v>FIXED (INCREMENT = 0)</x:v>
      </x:c>
    </x:row>
    <x:row r="101">
      <x:c r="A101" s="57" t="n">
        <x:v>2050</x:v>
      </x:c>
      <x:c r="B101" s="57" t="str">
        <x:v>GEOTHERMAL</x:v>
      </x:c>
      <x:c r="C101" s="57" t="str">
        <x:v>SARD</x:v>
      </x:c>
      <x:c r="D101" s="57" t="str">
        <x:v>FIXED_IN_SLOW</x:v>
      </x:c>
      <x:c r="E101" s="57" t="str">
        <x:v>GEOTHERMAL</x:v>
      </x:c>
      <x:c r="F101" s="66" t="n">
        <x:v>0</x:v>
      </x:c>
      <x:c r="G101" s="66" t="n">
        <x:v>0</x:v>
      </x:c>
      <x:c r="H101" s="66" t="n">
        <x:v>0</x:v>
      </x:c>
      <x:c r="I101" s="57" t="str">
        <x:v>FIXED (INCREMENT = 0)</x:v>
      </x:c>
    </x:row>
    <x:row r="102">
      <x:c r="A102" s="58" t="n">
        <x:v>2050</x:v>
      </x:c>
      <x:c r="B102" s="58" t="str">
        <x:v>GEOTHERMAL</x:v>
      </x:c>
      <x:c r="C102" s="58" t="str">
        <x:v>ITALY</x:v>
      </x:c>
      <x:c r="D102" s="58" t="str">
        <x:v>FIXED_IN_SLOW</x:v>
      </x:c>
      <x:c r="E102" s="58" t="str">
        <x:v>GEOTHERMAL</x:v>
      </x:c>
      <x:c r="F102" s="67" t="n">
        <x:v>0.77179</x:v>
      </x:c>
      <x:c r="G102" s="67" t="n">
        <x:v>0</x:v>
      </x:c>
      <x:c r="H102" s="67" t="n">
        <x:v>0.77179</x:v>
      </x:c>
      <x:c r="I102" s="58" t="str">
        <x:v>FIXED (INCREMENT = 0)</x:v>
      </x:c>
    </x:row>
    <x:row r="103">
      <x:c r="A103" s="48"/>
      <x:c r="B103" s="48"/>
      <x:c r="C103" s="48"/>
      <x:c r="D103" s="48"/>
      <x:c r="E103" s="48"/>
      <x:c r="F103" s="62"/>
      <x:c r="G103" s="62"/>
      <x:c r="H103" s="62"/>
      <x:c r="I103" s="48"/>
    </x:row>
    <x:row r="104">
      <x:c r="A104" s="57" t="n">
        <x:v>2050</x:v>
      </x:c>
      <x:c r="B104" s="57" t="str">
        <x:v>NUCLEAR</x:v>
      </x:c>
      <x:c r="C104" s="57" t="str">
        <x:v>NORD</x:v>
      </x:c>
      <x:c r="D104" s="57" t="str">
        <x:v>FIXED_IN_SLOW</x:v>
      </x:c>
      <x:c r="E104" s="57" t="str">
        <x:v>NUCLEAR_FUEL</x:v>
      </x:c>
      <x:c r="F104" s="66" t="n">
        <x:v>5</x:v>
      </x:c>
      <x:c r="G104" s="66" t="n">
        <x:v>0</x:v>
      </x:c>
      <x:c r="H104" s="66" t="n">
        <x:v>5</x:v>
      </x:c>
      <x:c r="I104" s="57" t="str">
        <x:v>FIXED (INCREMENT = 0)</x:v>
      </x:c>
    </x:row>
    <x:row r="105">
      <x:c r="A105" s="57" t="n">
        <x:v>2050</x:v>
      </x:c>
      <x:c r="B105" s="57" t="str">
        <x:v>NUCLEAR</x:v>
      </x:c>
      <x:c r="C105" s="57" t="str">
        <x:v>CNOR</x:v>
      </x:c>
      <x:c r="D105" s="57" t="str">
        <x:v>FIXED_IN_SLOW</x:v>
      </x:c>
      <x:c r="E105" s="57" t="str">
        <x:v>NUCLEAR_FUEL</x:v>
      </x:c>
      <x:c r="F105" s="66" t="n">
        <x:v>0</x:v>
      </x:c>
      <x:c r="G105" s="66" t="n">
        <x:v>0</x:v>
      </x:c>
      <x:c r="H105" s="66" t="n">
        <x:v>0</x:v>
      </x:c>
      <x:c r="I105" s="57" t="str">
        <x:v>FIXED (INCREMENT = 0)</x:v>
      </x:c>
    </x:row>
    <x:row r="106">
      <x:c r="A106" s="57" t="n">
        <x:v>2050</x:v>
      </x:c>
      <x:c r="B106" s="57" t="str">
        <x:v>NUCLEAR</x:v>
      </x:c>
      <x:c r="C106" s="57" t="str">
        <x:v>CSUD</x:v>
      </x:c>
      <x:c r="D106" s="57" t="str">
        <x:v>FIXED_IN_SLOW</x:v>
      </x:c>
      <x:c r="E106" s="57" t="str">
        <x:v>NUCLEAR_FUEL</x:v>
      </x:c>
      <x:c r="F106" s="66" t="n">
        <x:v>3</x:v>
      </x:c>
      <x:c r="G106" s="66" t="n">
        <x:v>0</x:v>
      </x:c>
      <x:c r="H106" s="66" t="n">
        <x:v>3</x:v>
      </x:c>
      <x:c r="I106" s="57" t="str">
        <x:v>FIXED (INCREMENT = 0)</x:v>
      </x:c>
    </x:row>
    <x:row r="107">
      <x:c r="A107" s="57" t="n">
        <x:v>2050</x:v>
      </x:c>
      <x:c r="B107" s="57" t="str">
        <x:v>NUCLEAR</x:v>
      </x:c>
      <x:c r="C107" s="57" t="str">
        <x:v>SUD</x:v>
      </x:c>
      <x:c r="D107" s="57" t="str">
        <x:v>FIXED_IN_SLOW</x:v>
      </x:c>
      <x:c r="E107" s="57" t="str">
        <x:v>NUCLEAR_FUEL</x:v>
      </x:c>
      <x:c r="F107" s="66" t="n">
        <x:v>0</x:v>
      </x:c>
      <x:c r="G107" s="66" t="n">
        <x:v>0</x:v>
      </x:c>
      <x:c r="H107" s="66" t="n">
        <x:v>0</x:v>
      </x:c>
      <x:c r="I107" s="57" t="str">
        <x:v>FIXED (INCREMENT = 0)</x:v>
      </x:c>
    </x:row>
    <x:row r="108">
      <x:c r="A108" s="57" t="n">
        <x:v>2050</x:v>
      </x:c>
      <x:c r="B108" s="57" t="str">
        <x:v>NUCLEAR</x:v>
      </x:c>
      <x:c r="C108" s="57" t="str">
        <x:v>CALA</x:v>
      </x:c>
      <x:c r="D108" s="57" t="str">
        <x:v>FIXED_IN_SLOW</x:v>
      </x:c>
      <x:c r="E108" s="57" t="str">
        <x:v>NUCLEAR_FUEL</x:v>
      </x:c>
      <x:c r="F108" s="66" t="n">
        <x:v>0</x:v>
      </x:c>
      <x:c r="G108" s="66" t="n">
        <x:v>0</x:v>
      </x:c>
      <x:c r="H108" s="66" t="n">
        <x:v>0</x:v>
      </x:c>
      <x:c r="I108" s="57" t="str">
        <x:v>FIXED (INCREMENT = 0)</x:v>
      </x:c>
    </x:row>
    <x:row r="109">
      <x:c r="A109" s="57" t="n">
        <x:v>2050</x:v>
      </x:c>
      <x:c r="B109" s="57" t="str">
        <x:v>NUCLEAR</x:v>
      </x:c>
      <x:c r="C109" s="57" t="str">
        <x:v>SICI</x:v>
      </x:c>
      <x:c r="D109" s="57" t="str">
        <x:v>FIXED_IN_SLOW</x:v>
      </x:c>
      <x:c r="E109" s="57" t="str">
        <x:v>NUCLEAR_FUEL</x:v>
      </x:c>
      <x:c r="F109" s="66" t="n">
        <x:v>0</x:v>
      </x:c>
      <x:c r="G109" s="66" t="n">
        <x:v>0</x:v>
      </x:c>
      <x:c r="H109" s="66" t="n">
        <x:v>0</x:v>
      </x:c>
      <x:c r="I109" s="57" t="str">
        <x:v>FIXED (INCREMENT = 0)</x:v>
      </x:c>
    </x:row>
    <x:row r="110">
      <x:c r="A110" s="57" t="n">
        <x:v>2050</x:v>
      </x:c>
      <x:c r="B110" s="57" t="str">
        <x:v>NUCLEAR</x:v>
      </x:c>
      <x:c r="C110" s="57" t="str">
        <x:v>SARD</x:v>
      </x:c>
      <x:c r="D110" s="57" t="str">
        <x:v>FIXED_IN_SLOW</x:v>
      </x:c>
      <x:c r="E110" s="57" t="str">
        <x:v>NUCLEAR_FUEL</x:v>
      </x:c>
      <x:c r="F110" s="66" t="n">
        <x:v>0</x:v>
      </x:c>
      <x:c r="G110" s="66" t="n">
        <x:v>0</x:v>
      </x:c>
      <x:c r="H110" s="66" t="n">
        <x:v>0</x:v>
      </x:c>
      <x:c r="I110" s="57" t="str">
        <x:v>FIXED (INCREMENT = 0)</x:v>
      </x:c>
    </x:row>
    <x:row r="111">
      <x:c r="A111" s="58" t="n">
        <x:v>2050</x:v>
      </x:c>
      <x:c r="B111" s="58" t="str">
        <x:v>NUCLEAR</x:v>
      </x:c>
      <x:c r="C111" s="58" t="str">
        <x:v>ITALY</x:v>
      </x:c>
      <x:c r="D111" s="58" t="str">
        <x:v>FIXED_IN_SLOW</x:v>
      </x:c>
      <x:c r="E111" s="58" t="str">
        <x:v>NUCLEAR_FUEL</x:v>
      </x:c>
      <x:c r="F111" s="67" t="n">
        <x:v>8</x:v>
      </x:c>
      <x:c r="G111" s="67" t="n">
        <x:v>0</x:v>
      </x:c>
      <x:c r="H111" s="67" t="n">
        <x:v>8</x:v>
      </x:c>
      <x:c r="I111" s="58" t="str">
        <x:v>FIXED (INCREMENT = 0)</x:v>
      </x:c>
    </x:row>
    <x:row r="112">
      <x:c r="A112" s="48"/>
      <x:c r="B112" s="48"/>
      <x:c r="C112" s="48"/>
      <x:c r="D112" s="48"/>
      <x:c r="E112" s="48"/>
      <x:c r="F112" s="62"/>
      <x:c r="G112" s="62"/>
      <x:c r="H112" s="62"/>
      <x:c r="I112" s="48"/>
    </x:row>
    <x:row r="113">
      <x:c r="A113" s="49"/>
      <x:c r="B113" s="49"/>
      <x:c r="C113" s="49"/>
      <x:c r="D113" s="49"/>
      <x:c r="E113" s="49"/>
      <x:c r="F113" s="63"/>
      <x:c r="G113" s="63"/>
      <x:c r="H113" s="63"/>
      <x:c r="I113" s="49"/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3" t="str">
        <x:v>Scenario reconciliation and V2 hard guardrails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43" t="str">
        <x:v>Scenario</x:v>
      </x:c>
      <x:c r="B3" s="43" t="str">
        <x:v>Dispatchable GW</x:v>
      </x:c>
      <x:c r="C3" s="43" t="str">
        <x:v>Target GW</x:v>
      </x:c>
      <x:c r="D3" s="43" t="str">
        <x:v>Difference GW</x:v>
      </x:c>
      <x:c r="E3" s="43" t="str">
        <x:v>Hydro GW</x:v>
      </x:c>
      <x:c r="F3" s="43" t="str">
        <x:v>Nuclear GW</x:v>
      </x:c>
      <x:c r="G3" s="43" t="str">
        <x:v>Fixed-resource increment GW</x:v>
      </x:c>
      <x:c r="H3" s="43" t="str">
        <x:v>Forbidden-fuel count</x:v>
      </x:c>
      <x:c r="I3" s="43" t="str">
        <x:v>Status</x:v>
      </x:c>
    </x:row>
    <x:row r="4">
      <x:c r="A4" s="47" t="str">
        <x:v>2040 Slow</x:v>
      </x:c>
      <x:c r="B4" s="61" t="n">
        <x:f>'2040 Slow'!J27</x:f>
        <x:v>68.213325410976</x:v>
      </x:c>
      <x:c r="C4" s="61" t="n">
        <x:v>68.213325410972</x:v>
      </x:c>
      <x:c r="D4" s="61" t="n">
        <x:f>B4-C4</x:f>
        <x:v>3.993250174971763e-12</x:v>
      </x:c>
      <x:c r="E4" s="61" t="n">
        <x:f>'2040 Slow'!J16</x:f>
        <x:v>23.294000000002</x:v>
      </x:c>
      <x:c r="F4" s="61" t="n">
        <x:v>0</x:v>
      </x:c>
      <x:c r="G4" s="61" t="n">
        <x:v>0</x:v>
      </x:c>
      <x:c r="H4" s="61" t="n">
        <x:v>0</x:v>
      </x:c>
      <x:c r="I4" s="47" t="str">
        <x:f>IF(AND(ABS(D4)&lt;0.0001,ABS(G4)&lt;0.0001,H4=0),"PASS","FAIL")</x:f>
        <x:v>PASS</x:v>
      </x:c>
    </x:row>
    <x:row r="5">
      <x:c r="A5" s="48" t="str">
        <x:v>2040 Base</x:v>
      </x:c>
      <x:c r="B5" s="62" t="n">
        <x:f>'2040 Base'!J27</x:f>
        <x:v>55.00000000000401</x:v>
      </x:c>
      <x:c r="C5" s="62" t="n">
        <x:v>55</x:v>
      </x:c>
      <x:c r="D5" s="62" t="n">
        <x:f>B5-C5</x:f>
        <x:v>4.007461029686965e-12</x:v>
      </x:c>
      <x:c r="E5" s="62" t="n">
        <x:f>'2040 Base'!J16</x:f>
        <x:v>23.294000000002</x:v>
      </x:c>
      <x:c r="F5" s="62" t="n">
        <x:v>0</x:v>
      </x:c>
      <x:c r="G5" s="62" t="n">
        <x:v>0</x:v>
      </x:c>
      <x:c r="H5" s="62" t="n">
        <x:v>0</x:v>
      </x:c>
      <x:c r="I5" s="48" t="str">
        <x:f>IF(AND(ABS(D5)&lt;0.0001,ABS(G5)&lt;0.0001,H5=0),"PASS","FAIL")</x:f>
        <x:v>PASS</x:v>
      </x:c>
    </x:row>
    <x:row r="6">
      <x:c r="A6" s="48" t="str">
        <x:v>2040 High</x:v>
      </x:c>
      <x:c r="B6" s="62" t="n">
        <x:f>'2040 High'!J27</x:f>
        <x:v>55.00000000000401</x:v>
      </x:c>
      <x:c r="C6" s="62" t="n">
        <x:v>55</x:v>
      </x:c>
      <x:c r="D6" s="62" t="n">
        <x:f>B6-C6</x:f>
        <x:v>4.007461029686965e-12</x:v>
      </x:c>
      <x:c r="E6" s="62" t="n">
        <x:f>'2040 High'!J16</x:f>
        <x:v>23.294000000002</x:v>
      </x:c>
      <x:c r="F6" s="62" t="n">
        <x:v>0</x:v>
      </x:c>
      <x:c r="G6" s="62" t="n">
        <x:v>0</x:v>
      </x:c>
      <x:c r="H6" s="62" t="n">
        <x:v>0</x:v>
      </x:c>
      <x:c r="I6" s="48" t="str">
        <x:f>IF(AND(ABS(D6)&lt;0.0001,ABS(G6)&lt;0.0001,H6=0),"PASS","FAIL")</x:f>
        <x:v>PASS</x:v>
      </x:c>
    </x:row>
    <x:row r="7">
      <x:c r="A7" s="48" t="str">
        <x:v>2050 Slow</x:v>
      </x:c>
      <x:c r="B7" s="62" t="n">
        <x:f>'2050 Slow'!J27</x:f>
        <x:v>51.61338474784199</x:v>
      </x:c>
      <x:c r="C7" s="62" t="n">
        <x:v>51.613384747839</x:v>
      </x:c>
      <x:c r="D7" s="62" t="n">
        <x:f>B7-C7</x:f>
        <x:v>2.9913849175500218e-12</x:v>
      </x:c>
      <x:c r="E7" s="62" t="n">
        <x:f>'2050 Slow'!J16</x:f>
        <x:v>23.294000000002</x:v>
      </x:c>
      <x:c r="F7" s="62" t="n">
        <x:f>'2050 Slow'!J26</x:f>
        <x:v>8</x:v>
      </x:c>
      <x:c r="G7" s="62" t="n">
        <x:v>0</x:v>
      </x:c>
      <x:c r="H7" s="62" t="n">
        <x:v>0</x:v>
      </x:c>
      <x:c r="I7" s="48" t="str">
        <x:f>IF(AND(ABS(D7)&lt;0.0001,ABS(G7)&lt;0.0001,H7=0),"PASS","FAIL")</x:f>
        <x:v>PASS</x:v>
      </x:c>
    </x:row>
    <x:row r="8">
      <x:c r="A8" s="48" t="str">
        <x:v>2050 Base</x:v>
      </x:c>
      <x:c r="B8" s="62" t="n">
        <x:f>'2050 Base'!J27</x:f>
        <x:v>30.000000000003</x:v>
      </x:c>
      <x:c r="C8" s="62" t="n">
        <x:v>30</x:v>
      </x:c>
      <x:c r="D8" s="62" t="n">
        <x:f>B8-C8</x:f>
        <x:v>2.9984903449076228e-12</x:v>
      </x:c>
      <x:c r="E8" s="62" t="n">
        <x:f>'2050 Base'!J16</x:f>
        <x:v>23.294000000002</x:v>
      </x:c>
      <x:c r="F8" s="62" t="n">
        <x:f>'2050 Base'!J26</x:f>
        <x:v>8</x:v>
      </x:c>
      <x:c r="G8" s="62" t="n">
        <x:v>0</x:v>
      </x:c>
      <x:c r="H8" s="62" t="n">
        <x:v>0</x:v>
      </x:c>
      <x:c r="I8" s="48" t="str">
        <x:f>IF(AND(ABS(D8)&lt;0.0001,ABS(G8)&lt;0.0001,H8=0),"PASS","FAIL")</x:f>
        <x:v>PASS</x:v>
      </x:c>
    </x:row>
    <x:row r="9">
      <x:c r="A9" s="48" t="str">
        <x:v>2050 High</x:v>
      </x:c>
      <x:c r="B9" s="62" t="n">
        <x:f>'2050 High'!J27</x:f>
        <x:v>30.000000000003</x:v>
      </x:c>
      <x:c r="C9" s="62" t="n">
        <x:v>30</x:v>
      </x:c>
      <x:c r="D9" s="62" t="n">
        <x:f>B9-C9</x:f>
        <x:v>2.9984903449076228e-12</x:v>
      </x:c>
      <x:c r="E9" s="62" t="n">
        <x:f>'2050 High'!J16</x:f>
        <x:v>23.294000000002</x:v>
      </x:c>
      <x:c r="F9" s="62" t="n">
        <x:f>'2050 High'!J26</x:f>
        <x:v>8</x:v>
      </x:c>
      <x:c r="G9" s="62" t="n">
        <x:v>0</x:v>
      </x:c>
      <x:c r="H9" s="62" t="n">
        <x:v>0</x:v>
      </x:c>
      <x:c r="I9" s="48" t="str">
        <x:f>IF(AND(ABS(D9)&lt;0.0001,ABS(G9)&lt;0.0001,H9=0),"PASS","FAIL")</x:f>
        <x:v>PASS</x:v>
      </x:c>
    </x:row>
    <x:row r="10">
      <x:c r="A10" s="48"/>
      <x:c r="B10" s="62"/>
      <x:c r="C10" s="62"/>
      <x:c r="D10" s="62"/>
      <x:c r="E10" s="62"/>
      <x:c r="F10" s="62"/>
      <x:c r="G10" s="62"/>
      <x:c r="H10" s="62"/>
      <x:c r="I10" s="48"/>
    </x:row>
    <x:row r="11">
      <x:c r="A11" s="48" t="str">
        <x:v>Hydrogen is a fuel split within GAS_OTHER_FOSSIL, never additive capacity. Coal and oil are absent. Hydro remains 23.294 GW in every scenario.</x:v>
      </x:c>
      <x:c r="B11" s="62"/>
      <x:c r="C11" s="62"/>
      <x:c r="D11" s="62"/>
      <x:c r="E11" s="62"/>
      <x:c r="F11" s="62"/>
      <x:c r="G11" s="62"/>
      <x:c r="H11" s="62"/>
      <x:c r="I11" s="48"/>
    </x:row>
    <x:row r="12">
      <x:c r="A12" s="49"/>
      <x:c r="B12" s="63"/>
      <x:c r="C12" s="63"/>
      <x:c r="D12" s="63"/>
      <x:c r="E12" s="63"/>
      <x:c r="F12" s="63"/>
      <x:c r="G12" s="63"/>
      <x:c r="H12" s="63"/>
      <x:c r="I12" s="49"/>
    </x:row>
    <x:row r="13">
      <x:c r="B13" s="64"/>
      <x:c r="C13" s="64"/>
      <x:c r="D13" s="64"/>
      <x:c r="E13" s="64"/>
      <x:c r="F13" s="64"/>
      <x:c r="G13" s="64"/>
      <x:c r="H13" s="64"/>
    </x:row>
    <x:row r="14">
      <x:c r="B14" s="64"/>
      <x:c r="C14" s="64"/>
      <x:c r="D14" s="64"/>
      <x:c r="E14" s="64"/>
      <x:c r="F14" s="64"/>
      <x:c r="G14" s="64"/>
      <x:c r="H14" s="64"/>
    </x:row>
    <x:row r="15">
      <x:c r="B15" s="64"/>
      <x:c r="C15" s="64"/>
      <x:c r="D15" s="64"/>
      <x:c r="E15" s="64"/>
      <x:c r="F15" s="64"/>
      <x:c r="G15" s="64"/>
      <x:c r="H15" s="64"/>
    </x:row>
    <x:row r="16">
      <x:c r="B16" s="64"/>
      <x:c r="C16" s="64"/>
      <x:c r="D16" s="64"/>
      <x:c r="E16" s="64"/>
      <x:c r="F16" s="64"/>
      <x:c r="G16" s="64"/>
      <x:c r="H16" s="64"/>
    </x:row>
    <x:row r="17">
      <x:c r="B17" s="64"/>
      <x:c r="C17" s="64"/>
      <x:c r="D17" s="64"/>
      <x:c r="E17" s="64"/>
      <x:c r="F17" s="64"/>
      <x:c r="G17" s="64"/>
      <x:c r="H17" s="64"/>
    </x:row>
    <x:row r="18">
      <x:c r="B18" s="64"/>
      <x:c r="C18" s="64"/>
      <x:c r="D18" s="64"/>
      <x:c r="E18" s="64"/>
      <x:c r="F18" s="64"/>
      <x:c r="G18" s="64"/>
      <x:c r="H18" s="64"/>
    </x:row>
    <x:row r="19">
      <x:c r="B19" s="64"/>
      <x:c r="C19" s="64"/>
      <x:c r="D19" s="64"/>
      <x:c r="E19" s="64"/>
      <x:c r="F19" s="64"/>
      <x:c r="G19" s="64"/>
      <x:c r="H19" s="64"/>
    </x:row>
    <x:row r="20">
      <x:c r="B20" s="64"/>
      <x:c r="C20" s="64"/>
      <x:c r="D20" s="64"/>
      <x:c r="E20" s="64"/>
      <x:c r="F20" s="64"/>
      <x:c r="G20" s="64"/>
      <x:c r="H20" s="64"/>
    </x:row>
  </x:sheetData>
  <x:mergeCells>
    <x:mergeCell ref="A1:I1"/>
    <x:mergeCell ref="A11:I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17" hidden="0" customWidth="1"/>
    <x:col min="4" max="4" width="17" hidden="0" customWidth="1"/>
    <x:col min="5" max="5" width="31" hidden="0" customWidth="1"/>
    <x:col min="6" max="6" width="5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3" t="str">
        <x:v>Controlling Phase 4A assumptions and evidence classes</x:v>
      </x:c>
      <x:c r="B1" s="3"/>
      <x:c r="C1" s="3"/>
      <x:c r="D1" s="3"/>
      <x:c r="E1" s="3"/>
      <x:c r="F1" s="3"/>
    </x:row>
    <x:row r="3">
      <x:c r="A3" s="43" t="str">
        <x:v>Assumption</x:v>
      </x:c>
      <x:c r="B3" s="43" t="str">
        <x:v>Value</x:v>
      </x:c>
      <x:c r="C3" s="43" t="str">
        <x:v>Unit</x:v>
      </x:c>
      <x:c r="D3" s="43" t="str">
        <x:v>Evidence class</x:v>
      </x:c>
      <x:c r="E3" s="43" t="str">
        <x:v>Status</x:v>
      </x:c>
      <x:c r="F3" s="43" t="str">
        <x:v>Guardrail</x:v>
      </x:c>
    </x:row>
    <x:row r="4">
      <x:c r="A4" s="47" t="str">
        <x:v>2040 Slow increment</x:v>
      </x:c>
      <x:c r="B4" s="47" t="n">
        <x:v>13.213325410972</x:v>
      </x:c>
      <x:c r="C4" s="47" t="str">
        <x:v>GW</x:v>
      </x:c>
      <x:c r="D4" s="47" t="str">
        <x:v>ACCEPTED PROJECT DERIVATION</x:v>
      </x:c>
      <x:c r="E4" s="47" t="str">
        <x:v>UNCHANGED</x:v>
      </x:c>
      <x:c r="F4" s="47" t="str">
        <x:v>Only methane technologies scale.</x:v>
      </x:c>
    </x:row>
    <x:row r="5">
      <x:c r="A5" s="48" t="str">
        <x:v>2050 Slow increment</x:v>
      </x:c>
      <x:c r="B5" s="48" t="n">
        <x:v>21.613384747839</x:v>
      </x:c>
      <x:c r="C5" s="48" t="str">
        <x:v>GW</x:v>
      </x:c>
      <x:c r="D5" s="48" t="str">
        <x:v>ACCEPTED PROJECT DERIVATION</x:v>
      </x:c>
      <x:c r="E5" s="48" t="str">
        <x:v>UNCHANGED</x:v>
      </x:c>
      <x:c r="F5" s="48" t="str">
        <x:v>Only GAS_CCS/GAS_OTHER_FOSSIL scale.</x:v>
      </x:c>
    </x:row>
    <x:row r="6">
      <x:c r="A6" s="48" t="str">
        <x:v>Slow fixed resources</x:v>
      </x:c>
      <x:c r="B6" s="48" t="str">
        <x:v>BIOENERGY | BIOENERGY_CCS | GEOTHERMAL | NUCLEAR</x:v>
      </x:c>
      <x:c r="C6" s="48" t="str"/>
      <x:c r="D6" s="48" t="str">
        <x:v>USER CONTROLLING DECISION</x:v>
      </x:c>
      <x:c r="E6" s="48" t="str">
        <x:v>FROZEN</x:v>
      </x:c>
      <x:c r="F6" s="48" t="str">
        <x:v>All increments exactly zero.</x:v>
      </x:c>
    </x:row>
    <x:row r="7">
      <x:c r="A7" s="48" t="str">
        <x:v>2040 combustion fuel</x:v>
      </x:c>
      <x:c r="B7" s="48" t="str">
        <x:v>METHANE</x:v>
      </x:c>
      <x:c r="C7" s="48" t="str"/>
      <x:c r="D7" s="48" t="str">
        <x:v>USER CONTROLLING DECISION</x:v>
      </x:c>
      <x:c r="E7" s="48" t="str">
        <x:v>FROZEN</x:v>
      </x:c>
      <x:c r="F7" s="48" t="str">
        <x:v>No coal/oil/hydrogen/unspecified fossil.</x:v>
      </x:c>
    </x:row>
    <x:row r="8">
      <x:c r="A8" s="48" t="str">
        <x:v>2050 combustion fuels</x:v>
      </x:c>
      <x:c r="B8" s="48" t="str">
        <x:v>METHANE | HYDROGEN | BIOENERGY</x:v>
      </x:c>
      <x:c r="C8" s="48" t="str"/>
      <x:c r="D8" s="48" t="str">
        <x:v>USER CONTROLLING DECISION</x:v>
      </x:c>
      <x:c r="E8" s="48" t="str">
        <x:v>FROZEN ARCHITECTURE</x:v>
      </x:c>
      <x:c r="F8" s="48" t="str">
        <x:v>Hydrogen substitutes within gas capacity.</x:v>
      </x:c>
    </x:row>
    <x:row r="9">
      <x:c r="A9" s="48" t="str">
        <x:v>2050 methane/hydrogen split</x:v>
      </x:c>
      <x:c r="B9" s="48" t="str">
        <x:v>100% methane baseline; 25%/50% H2 sensitivities</x:v>
      </x:c>
      <x:c r="C9" s="48" t="str"/>
      <x:c r="D9" s="48" t="str">
        <x:v>PROJECT ASSUMPTION</x:v>
      </x:c>
      <x:c r="E9" s="48" t="str">
        <x:v>PARTIAL</x:v>
      </x:c>
      <x:c r="F9" s="48" t="str">
        <x:v>No direct source precision claimed.</x:v>
      </x:c>
    </x:row>
    <x:row r="10">
      <x:c r="A10" s="48" t="str">
        <x:v>Future CHP representation</x:v>
      </x:c>
      <x:c r="B10" s="48" t="str">
        <x:v>AGGREGATED ELECTRICITY ONLY</x:v>
      </x:c>
      <x:c r="C10" s="48" t="str"/>
      <x:c r="D10" s="48" t="str">
        <x:v>USER/PROJECT DECISION</x:v>
      </x:c>
      <x:c r="E10" s="48" t="str">
        <x:v>FROZEN</x:v>
      </x:c>
      <x:c r="F10" s="48" t="str">
        <x:v>Heat-led sensitivity remains mandatory later.</x:v>
      </x:c>
    </x:row>
    <x:row r="11">
      <x:c r="A11" s="48" t="str">
        <x:v>Oil residual</x:v>
      </x:c>
      <x:c r="B11" s="48" t="str">
        <x:v>NON-MATERIAL</x:v>
      </x:c>
      <x:c r="C11" s="48" t="str"/>
      <x:c r="D11" s="48" t="str">
        <x:v>BOUNDING TEST</x:v>
      </x:c>
      <x:c r="E11" s="48" t="str">
        <x:v>ACCEPTED_NON_MATERIAL_PROJECT_ALLOCATION</x:v>
      </x:c>
      <x:c r="F11" s="48" t="str">
        <x:v>No further research if accepted.</x:v>
      </x:c>
    </x:row>
    <x:row r="12">
      <x:c r="A12" s="48" t="str">
        <x:v>Coal residual</x:v>
      </x:c>
      <x:c r="B12" s="48" t="str">
        <x:v>NON-MATERIAL</x:v>
      </x:c>
      <x:c r="C12" s="48" t="str"/>
      <x:c r="D12" s="48" t="str">
        <x:v>BOUNDING TEST</x:v>
      </x:c>
      <x:c r="E12" s="48" t="str">
        <x:v>ACCEPTED_NON_MATERIAL_CONTROL_RESIDUAL</x:v>
      </x:c>
      <x:c r="F12" s="48" t="str">
        <x:v>No further research if accepted.</x:v>
      </x:c>
    </x:row>
    <x:row r="13">
      <x:c r="A13" s="48" t="str">
        <x:v>Hydro installed capacity</x:v>
      </x:c>
      <x:c r="B13" s="48" t="n">
        <x:v>23.294</x:v>
      </x:c>
      <x:c r="C13" s="48" t="str">
        <x:v>GW</x:v>
      </x:c>
      <x:c r="D13" s="48" t="str">
        <x:v>FROZEN CURRENT CONTROL</x:v>
      </x:c>
      <x:c r="E13" s="48" t="str">
        <x:v>UNCHANGED</x:v>
      </x:c>
      <x:c r="F13" s="48" t="str">
        <x:v>Operational parameters remain separate.</x:v>
      </x:c>
    </x:row>
    <x:row r="14">
      <x:c r="A14" s="49" t="str">
        <x:v>Canonical workbook promotion</x:v>
      </x:c>
      <x:c r="B14" s="49" t="str">
        <x:v>BLOCKED</x:v>
      </x:c>
      <x:c r="C14" s="49" t="str"/>
      <x:c r="D14" s="49" t="str">
        <x:v>RELEASE GATE</x:v>
      </x:c>
      <x:c r="E14" s="49" t="str">
        <x:v>UNCHANGED</x:v>
      </x:c>
      <x:c r="F14" s="49" t="str">
        <x:v>Standalone package only.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70" hidden="0" customWidth="1"/>
    <x:col min="4" max="4" width="5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3" t="str">
        <x:v>Phase 4A controlling sources and decision lineage</x:v>
      </x:c>
      <x:c r="B1" s="3"/>
      <x:c r="C1" s="3"/>
      <x:c r="D1" s="3"/>
      <x:c r="E1" s="3"/>
    </x:row>
    <x:row r="3">
      <x:c r="A3" s="43" t="str">
        <x:v>Source ID</x:v>
      </x:c>
      <x:c r="B3" s="43" t="str">
        <x:v>Title</x:v>
      </x:c>
      <x:c r="C3" s="43" t="str">
        <x:v>URL</x:v>
      </x:c>
      <x:c r="D3" s="43" t="str">
        <x:v>Use</x:v>
      </x:c>
      <x:c r="E3" s="43" t="str">
        <x:v>Class</x:v>
      </x:c>
    </x:row>
    <x:row r="4">
      <x:c r="A4" s="47" t="str">
        <x:v>MEM_PHASE4A_USER_DECISION_20260902</x:v>
      </x:c>
      <x:c r="B4" s="47" t="str">
        <x:v>MEM Phase 4A controlling user decision</x:v>
      </x:c>
      <x:c r="C4" s="47" t="str"/>
      <x:c r="D4" s="47" t="str">
        <x:v>Slow fixed-resource rule; 2040 methane-only; 2050 methane/hydrogen architecture; aggregated future CHP</x:v>
      </x:c>
      <x:c r="E4" s="47" t="str">
        <x:v>PROJECT CONTROL</x:v>
      </x:c>
    </x:row>
    <x:row r="5">
      <x:c r="A5" s="48" t="str">
        <x:v>TERNA_2050_PERSPECTIVES_FIG55_56</x:v>
      </x:c>
      <x:c r="B5" s="48" t="str">
        <x:v>Terna — Prospettive di Sviluppo del Sistema Energetico 2050</x:v>
      </x:c>
      <x:c r="C5" s="48" t="str">
        <x:v>https://download.terna.it/terna/Terna_Prospettive_Sviluppo_Sistema_Energetico_2050_Copertura_domanda_elettrica_8de15802728e7d1.pdf</x:v>
      </x:c>
      <x:c r="D5" s="48" t="str">
        <x:v>Accepted CDP ratios and illustrative 15% rating</x:v>
      </x:c>
      <x:c r="E5" s="48" t="str">
        <x:v>PRIMARY</x:v>
      </x:c>
    </x:row>
    <x:row r="6">
      <x:c r="A6" s="48" t="str">
        <x:v>TERNA_2024_IMPIANTI_GENERAZIONE_TABLE19</x:v>
      </x:c>
      <x:c r="B6" s="48" t="str">
        <x:v>Terna — Impianti di Generazione 2024</x:v>
      </x:c>
      <x:c r="C6" s="48" t="str">
        <x:v>https://download.terna.it/terna/03_IMPIANTI%20DI%20GENERAZIONE_8dec285ed22347a.pdf</x:v>
      </x:c>
      <x:c r="D6" s="48" t="str">
        <x:v>Coal/oil national controls used in residual materiality tests</x:v>
      </x:c>
      <x:c r="E6" s="48" t="str">
        <x:v>PRIMARY</x:v>
      </x:c>
    </x:row>
    <x:row r="7">
      <x:c r="A7" s="49" t="str">
        <x:v>MEM_SCENARIO_CAPACITY_PACKAGE_V1</x:v>
      </x:c>
      <x:c r="B7" s="49" t="str">
        <x:v>Accepted baseline candidate capacity package</x:v>
      </x:c>
      <x:c r="C7" s="49" t="str"/>
      <x:c r="D7" s="49" t="str">
        <x:v>Base/High capacities, geography and total Slow requirements</x:v>
      </x:c>
      <x:c r="E7" s="49" t="str">
        <x:v>PROJECT CONTROL</x:v>
      </x:c>
    </x:row>
  </x:sheetData>
  <x:mergeCells>
    <x:mergeCell ref="A1:E1"/>
  </x:mergeCells>
  <x:pageMargins left="0.7" right="0.7" top="0.75" bottom="0.75" header="0.3" footer="0.3"/>
</x:worksheet>
</file>